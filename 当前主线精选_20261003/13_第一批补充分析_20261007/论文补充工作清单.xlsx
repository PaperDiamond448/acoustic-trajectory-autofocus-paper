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补充清单" sheetId="1" state="visible" r:id="rId3"/>
    <sheet name="执行顺序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<sst xmlns="http://schemas.openxmlformats.org/spreadsheetml/2006/main" count="140" uniqueCount="93">
  <si>
    <t xml:space="preserve">论文补充工作清单（按 JASA 标准）</t>
  </si>
  <si>
    <t xml:space="preserve">浅黄底的"状态"和"备注"两列可编辑；状态从下拉列表选择。其余列为讨论结论。第 8 项为填写示例（已部分完成）。</t>
  </si>
  <si>
    <t xml:space="preserve">优先级</t>
  </si>
  <si>
    <t xml:space="preserve">编号</t>
  </si>
  <si>
    <t xml:space="preserve">内容</t>
  </si>
  <si>
    <t xml:space="preserve">解决什么</t>
  </si>
  <si>
    <t xml:space="preserve">谁来做</t>
  </si>
  <si>
    <t xml:space="preserve">依赖 / 说明</t>
  </si>
  <si>
    <t xml:space="preserve">批次</t>
  </si>
  <si>
    <t xml:space="preserve">状态</t>
  </si>
  <si>
    <t xml:space="preserve">备注</t>
  </si>
  <si>
    <t xml:space="preserve">P0</t>
  </si>
  <si>
    <t xml:space="preserve">理论 (a)：推导频率误差谱与相干损失的关系；测出各前端轨迹的误差谱，对比预测的可回收损失与模块的实际增益</t>
  </si>
  <si>
    <t xml:space="preserve">把经验结论变成有机理、能预测的结论；解释图 2、节点间隔在 10 s 左右饱和、时长效应和 PC-TBD 的结果</t>
  </si>
  <si>
    <r>
      <rPr>
        <sz val="10"/>
        <rFont val="Arial"/>
        <family val="0"/>
        <charset val="1"/>
      </rPr>
      <t xml:space="preserve">Claude + </t>
    </r>
    <r>
      <rPr>
        <sz val="10"/>
        <rFont val="Noto Sans CJK SC"/>
        <family val="2"/>
        <charset val="1"/>
      </rPr>
      <t xml:space="preserve">用户</t>
    </r>
  </si>
  <si>
    <t xml:space="preserve">推导和初步检验由 Claude 做；各前端轨迹在本机 MAT 分块中，随第 2 批导出</t>
  </si>
  <si>
    <t xml:space="preserve">第 1 批</t>
  </si>
  <si>
    <t xml:space="preserve">进行中</t>
  </si>
  <si>
    <r>
      <rPr>
        <sz val="10"/>
        <rFont val="Noto Sans CJK SC"/>
        <family val="2"/>
        <charset val="1"/>
      </rPr>
      <t xml:space="preserve">推导完成，构造误差与已有数据初步验证通过；定量检验待任务 </t>
    </r>
    <r>
      <rPr>
        <sz val="10"/>
        <rFont val="Arial"/>
        <family val="0"/>
        <charset val="1"/>
      </rPr>
      <t xml:space="preserve">A</t>
    </r>
  </si>
  <si>
    <t xml:space="preserve">跨前端补强：PC-TBD 两种频率读出（原文状态网格、本文相位差）都接上模块；加一个更强的功率型前端（如 [12] 动态参数 HMM）；把"两者都跟住时等效"的分解写进正文</t>
  </si>
  <si>
    <t xml:space="preserve">把 PC-TBD 从反例变成机理验证；让"模块面向功率型方法"的口径有更硬的依据</t>
  </si>
  <si>
    <t xml:space="preserve">用户（本机 MATLAB）</t>
  </si>
  <si>
    <t xml:space="preserve">冻结配置、写定新种子后运行</t>
  </si>
  <si>
    <t xml:space="preserve">第 2 批</t>
  </si>
  <si>
    <t xml:space="preserve">未开始</t>
  </si>
  <si>
    <t xml:space="preserve">真实背景注入：用最终配置重跑，注入信号的频率变化采用 GPS 推算的实际多普勒曲线，PC-TBD 一起比较</t>
  </si>
  <si>
    <t xml:space="preserve">实测部分有了定量的 η，大部分峰归属的防守可以撤掉</t>
  </si>
  <si>
    <t xml:space="preserve">基于 mft_real_inject 现有代码修改</t>
  </si>
  <si>
    <r>
      <rPr>
        <sz val="10"/>
        <rFont val="Noto Sans CJK SC"/>
        <family val="2"/>
        <charset val="1"/>
      </rPr>
      <t xml:space="preserve">旧注入背景含真实 </t>
    </r>
    <r>
      <rPr>
        <sz val="10"/>
        <rFont val="Arial"/>
        <family val="0"/>
        <charset val="1"/>
      </rPr>
      <t xml:space="preserve">100 Hz </t>
    </r>
    <r>
      <rPr>
        <sz val="10"/>
        <rFont val="Noto Sans CJK SC"/>
        <family val="2"/>
        <charset val="1"/>
      </rPr>
      <t xml:space="preserve">线谱，必须重做；频带改用 </t>
    </r>
    <r>
      <rPr>
        <sz val="10"/>
        <rFont val="Arial"/>
        <family val="0"/>
        <charset val="1"/>
      </rPr>
      <t xml:space="preserve">263.5/315 Hz</t>
    </r>
  </si>
  <si>
    <t xml:space="preserve">叙事重构：理论放第 2 节，由理论推出方法；给方法起固定简称；LPS 写成对照实验，主结果同时给出相对 VIT 的增益；局部扩张降为设计细节；全文去掉防御性句式</t>
  </si>
  <si>
    <t xml:space="preserve">文章结构与可读性</t>
  </si>
  <si>
    <t xml:space="preserve">依赖第 1–3 项的结果</t>
  </si>
  <si>
    <t xml:space="preserve">第 3 批</t>
  </si>
  <si>
    <t xml:space="preserve">P1</t>
  </si>
  <si>
    <t xml:space="preserve">强线引导弱线：把 94 Hz 强线修正后的轨迹按频率比缩放，用来补偿 100 Hz 等弱线，作为实测的参考上限</t>
  </si>
  <si>
    <t xml:space="preserve">给实测一个"回收了多少差距"的参照；同时是 (b) 的试点</t>
  </si>
  <si>
    <t xml:space="preserve">Claude</t>
  </si>
  <si>
    <t xml:space="preserve">用仓库数据即可，不需要 MATLAB</t>
  </si>
  <si>
    <t xml:space="preserve">完成</t>
  </si>
  <si>
    <r>
      <rPr>
        <sz val="10"/>
        <rFont val="Noto Sans CJK SC"/>
        <family val="2"/>
        <charset val="1"/>
      </rPr>
      <t xml:space="preserve">共享轨迹不可行（各线有 </t>
    </r>
    <r>
      <rPr>
        <sz val="10"/>
        <rFont val="Arial"/>
        <family val="0"/>
        <charset val="1"/>
      </rPr>
      <t xml:space="preserve">6–16 mHz </t>
    </r>
    <r>
      <rPr>
        <sz val="10"/>
        <rFont val="Noto Sans CJK SC"/>
        <family val="2"/>
        <charset val="1"/>
      </rPr>
      <t xml:space="preserve">频率特有起伏）；改为强线引导锚定，见任务 </t>
    </r>
    <r>
      <rPr>
        <sz val="10"/>
        <rFont val="Arial"/>
        <family val="0"/>
        <charset val="1"/>
      </rPr>
      <t xml:space="preserve">E</t>
    </r>
    <r>
      <rPr>
        <sz val="10"/>
        <rFont val="Noto Sans CJK SC"/>
        <family val="2"/>
        <charset val="1"/>
      </rPr>
      <t xml:space="preserve">；另发现 </t>
    </r>
    <r>
      <rPr>
        <sz val="10"/>
        <rFont val="Arial"/>
        <family val="0"/>
        <charset val="1"/>
      </rPr>
      <t xml:space="preserve">100 Hz </t>
    </r>
    <r>
      <rPr>
        <sz val="10"/>
        <rFont val="Noto Sans CJK SC"/>
        <family val="2"/>
        <charset val="1"/>
      </rPr>
      <t xml:space="preserve">脊线偏离发射线谱预测位置约 </t>
    </r>
    <r>
      <rPr>
        <sz val="10"/>
        <rFont val="Arial"/>
        <family val="0"/>
        <charset val="1"/>
      </rPr>
      <t xml:space="preserve">0.09 Hz</t>
    </r>
  </si>
  <si>
    <t xml:space="preserve">不同积累时长下与 PC-TBD 对比（扩展 X1）</t>
  </si>
  <si>
    <t xml:space="preserve">检验模块是否在长记录上有独特优势</t>
  </si>
  <si>
    <t xml:space="preserve">与第 7 项同批</t>
  </si>
  <si>
    <t xml:space="preserve">从真实轨迹出发跑模块（真值起点检验）</t>
  </si>
  <si>
    <t xml:space="preserve">判断两条链路都停在 0.836 是否碰到了同一个估计下限</t>
  </si>
  <si>
    <t xml:space="preserve">与第 6 项同批</t>
  </si>
  <si>
    <t xml:space="preserve">实测修正量的频谱，以及各链路的绝对谱峰对比</t>
  </si>
  <si>
    <t xml:space="preserve">把理论带到实测；补上实测缺失的绝对比较</t>
  </si>
  <si>
    <t xml:space="preserve">绝对谱峰已算好（见"PC-TBD与模块链路对比分析.xlsx"）</t>
  </si>
  <si>
    <t xml:space="preserve">弱线修正量 88% 为周期 &gt;60 s 的慢分量；相位变化与增益秩相关 0.93</t>
  </si>
  <si>
    <t xml:space="preserve">P2</t>
  </si>
  <si>
    <t xml:space="preserve">机动、非匀速运动、源频率漂移下的对比</t>
  </si>
  <si>
    <t xml:space="preserve">检验模块不依赖运动模型的优势（PC-TBD 有运动模型）</t>
  </si>
  <si>
    <t xml:space="preserve">可并入第 3 项的注入设置</t>
  </si>
  <si>
    <t xml:space="preserve">有余力再做</t>
  </si>
  <si>
    <t xml:space="preserve">分阶段求解与单阶段求解的消融</t>
  </si>
  <si>
    <t xml:space="preserve">修订稿自己承认没有比较过，审稿人可能会问</t>
  </si>
  <si>
    <t xml:space="preserve">更长（超过 30 s）、更近频或与目标交叉的邻频干扰</t>
  </si>
  <si>
    <t xml:space="preserve">如果保留扩张规则，需要检验它的适用边界</t>
  </si>
  <si>
    <t xml:space="preserve">取决于扩张规则是否保留</t>
  </si>
  <si>
    <t xml:space="preserve">其他阵元、S59 航次或自然舰船数据（ShipsEar、DeepShip 等）</t>
  </si>
  <si>
    <t xml:space="preserve">回应"单阵元、受控声源"的局限</t>
  </si>
  <si>
    <t xml:space="preserve">用户</t>
  </si>
  <si>
    <t xml:space="preserve">自然舰船数据集需先核实单段录音时长是否够长</t>
  </si>
  <si>
    <t xml:space="preserve">决策点</t>
  </si>
  <si>
    <r>
      <rPr>
        <sz val="10"/>
        <rFont val="Arial"/>
        <family val="0"/>
        <charset val="1"/>
      </rPr>
      <t xml:space="preserve">(b) </t>
    </r>
    <r>
      <rPr>
        <sz val="10"/>
        <rFont val="Noto Sans CJK SC"/>
        <family val="2"/>
        <charset val="1"/>
      </rPr>
      <t xml:space="preserve">多谐波联合修正：看第 </t>
    </r>
    <r>
      <rPr>
        <sz val="10"/>
        <rFont val="Arial"/>
        <family val="0"/>
        <charset val="1"/>
      </rPr>
      <t xml:space="preserve">5 </t>
    </r>
    <r>
      <rPr>
        <sz val="10"/>
        <rFont val="Noto Sans CJK SC"/>
        <family val="2"/>
        <charset val="1"/>
      </rPr>
      <t xml:space="preserve">项结果再定</t>
    </r>
  </si>
  <si>
    <t xml:space="preserve">若强线引导能明显提升弱线、甚至救回前端丢掉的案例，可作为第二个方法贡献；效果一般则留作下一篇</t>
  </si>
  <si>
    <t xml:space="preserve">用户决定</t>
  </si>
  <si>
    <t xml:space="preserve">依赖第 5 项</t>
  </si>
  <si>
    <t xml:space="preserve">第 1 批之后</t>
  </si>
  <si>
    <r>
      <rPr>
        <sz val="10"/>
        <rFont val="Noto Sans CJK SC"/>
        <family val="2"/>
        <charset val="1"/>
      </rPr>
      <t xml:space="preserve">原形式放弃；改为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  <charset val="1"/>
      </rPr>
      <t xml:space="preserve">强线引导锚定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  <charset val="1"/>
      </rPr>
      <t xml:space="preserve">逐线修正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  <charset val="1"/>
      </rPr>
      <t xml:space="preserve">，作为第 </t>
    </r>
    <r>
      <rPr>
        <sz val="10"/>
        <rFont val="Arial"/>
        <family val="0"/>
        <charset val="1"/>
      </rPr>
      <t xml:space="preserve">5 </t>
    </r>
    <r>
      <rPr>
        <sz val="10"/>
        <rFont val="Noto Sans CJK SC"/>
        <family val="2"/>
        <charset val="1"/>
      </rPr>
      <t xml:space="preserve">节内容</t>
    </r>
  </si>
  <si>
    <t xml:space="preserve">进度汇总</t>
  </si>
  <si>
    <t xml:space="preserve">总数</t>
  </si>
  <si>
    <t xml:space="preserve">完成率</t>
  </si>
  <si>
    <t xml:space="preserve">合计</t>
  </si>
  <si>
    <t xml:space="preserve">执行顺序</t>
  </si>
  <si>
    <t xml:space="preserve">阶段</t>
  </si>
  <si>
    <t xml:space="preserve">时间</t>
  </si>
  <si>
    <t xml:space="preserve">包含项目</t>
  </si>
  <si>
    <t xml:space="preserve">要做的事</t>
  </si>
  <si>
    <t xml:space="preserve">产出 / 决定</t>
  </si>
  <si>
    <t xml:space="preserve">这两天</t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</si>
  <si>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  <charset val="1"/>
      </rPr>
      <t xml:space="preserve">（及 </t>
    </r>
    <r>
      <rPr>
        <sz val="10"/>
        <rFont val="Arial"/>
        <family val="0"/>
        <charset val="1"/>
      </rPr>
      <t xml:space="preserve">13 </t>
    </r>
    <r>
      <rPr>
        <sz val="10"/>
        <rFont val="Noto Sans CJK SC"/>
        <family val="2"/>
        <charset val="1"/>
      </rPr>
      <t xml:space="preserve">的判断）</t>
    </r>
  </si>
  <si>
    <r>
      <rPr>
        <sz val="10"/>
        <rFont val="Arial"/>
        <family val="0"/>
        <charset val="1"/>
      </rPr>
      <t xml:space="preserve">Claude </t>
    </r>
    <r>
      <rPr>
        <sz val="10"/>
        <rFont val="Noto Sans CJK SC"/>
        <family val="2"/>
        <charset val="1"/>
      </rPr>
      <t xml:space="preserve">推导理论公式，用仓库现有数据（图 </t>
    </r>
    <r>
      <rPr>
        <sz val="10"/>
        <rFont val="Arial"/>
        <family val="0"/>
        <charset val="1"/>
      </rPr>
      <t xml:space="preserve">2 </t>
    </r>
    <r>
      <rPr>
        <sz val="10"/>
        <rFont val="Noto Sans CJK SC"/>
        <family val="2"/>
        <charset val="1"/>
      </rPr>
      <t xml:space="preserve">构造例子、</t>
    </r>
    <r>
      <rPr>
        <sz val="10"/>
        <rFont val="Arial"/>
        <family val="0"/>
        <charset val="1"/>
      </rPr>
      <t xml:space="preserve">X1 </t>
    </r>
    <r>
      <rPr>
        <sz val="10"/>
        <rFont val="Noto Sans CJK SC"/>
        <family val="2"/>
        <charset val="1"/>
      </rPr>
      <t xml:space="preserve">系数文件）初步检验；做强线引导弱线和实测修正量频谱</t>
    </r>
  </si>
  <si>
    <t xml:space="preserve">理论是否站得住；第 5 项是否值得扩展成 (b)</t>
  </si>
  <si>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  <charset val="1"/>
      </rPr>
      <t xml:space="preserve">（</t>
    </r>
    <r>
      <rPr>
        <sz val="10"/>
        <rFont val="Arial"/>
        <family val="0"/>
        <charset val="1"/>
      </rPr>
      <t xml:space="preserve">P2 </t>
    </r>
    <r>
      <rPr>
        <sz val="10"/>
        <rFont val="Noto Sans CJK SC"/>
        <family val="2"/>
        <charset val="1"/>
      </rPr>
      <t xml:space="preserve">中 </t>
    </r>
    <r>
      <rPr>
        <sz val="10"/>
        <rFont val="Arial"/>
        <family val="0"/>
        <charset val="1"/>
      </rPr>
      <t xml:space="preserve">9–11 </t>
    </r>
    <r>
      <rPr>
        <sz val="10"/>
        <rFont val="Noto Sans CJK SC"/>
        <family val="2"/>
        <charset val="1"/>
      </rPr>
      <t xml:space="preserve">可并入）</t>
    </r>
  </si>
  <si>
    <t xml:space="preserve">把新 MATLAB 实验合成一批：先冻结配置、写定新种子，再一次跑完；同时导出第 1 项需要的各前端轨迹</t>
  </si>
  <si>
    <t xml:space="preserve">跨前端、注入、时长、真值起点的完整结果</t>
  </si>
  <si>
    <t xml:space="preserve">最后</t>
  </si>
  <si>
    <t xml:space="preserve">4</t>
  </si>
  <si>
    <t xml:space="preserve">按"理论 → 方法 → 验证"的新叙事重写全文，同步摘要、结论、图注和交叉引用</t>
  </si>
  <si>
    <t xml:space="preserve">新主稿</t>
  </si>
  <si>
    <t xml:space="preserve">预期：P0 和 P1 做完，冲 JASA 有底气；只做 P0，也明显比现在扎实。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</si>
</sst>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Noto Sans CJK SC"/>
      <family val="2"/>
      <charset val="1"/>
    </font>
    <font>
      <i val="true"/>
      <sz val="9"/>
      <color rgb="FF555555"/>
      <name val="Noto Sans CJK SC"/>
      <family val="2"/>
      <charset val="1"/>
    </font>
    <font>
      <b val="true"/>
      <sz val="10"/>
      <color rgb="FFFFFFFF"/>
      <name val="Noto Sans CJK SC"/>
      <family val="2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name val="Noto Sans CJK SC"/>
      <family val="2"/>
      <charset val="1"/>
    </font>
    <font>
      <b val="true"/>
      <sz val="10"/>
      <name val="Noto Sans CJK SC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8CBAD"/>
        <bgColor rgb="FFFFE699"/>
      </patternFill>
    </fill>
    <fill>
      <patternFill patternType="solid">
        <fgColor rgb="FFFFF2CC"/>
        <bgColor rgb="FFE2EFDA"/>
      </patternFill>
    </fill>
    <fill>
      <patternFill patternType="solid">
        <fgColor rgb="FFFFE699"/>
        <bgColor rgb="FFFFF2CC"/>
      </patternFill>
    </fill>
    <fill>
      <patternFill patternType="solid">
        <fgColor rgb="FFE2EFDA"/>
        <bgColor rgb="FFDDEBF7"/>
      </patternFill>
    </fill>
    <fill>
      <patternFill patternType="solid">
        <fgColor rgb="FFD9D2E9"/>
        <bgColor rgb="FFBDD7EE"/>
      </patternFill>
    </fill>
    <fill>
      <patternFill patternType="solid">
        <fgColor rgb="FFDDEBF7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7" fillId="8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Arial"/>
        <charset val="1"/>
        <family val="0"/>
        <color rgb="FF006100"/>
        <sz val="10"/>
      </font>
      <fill>
        <patternFill>
          <bgColor rgb="FFC6EFCE"/>
        </patternFill>
      </fill>
    </dxf>
    <dxf>
      <fill>
        <patternFill>
          <bgColor rgb="FFBDD7E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D2E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E699"/>
      <rgbColor rgb="FFBDD7EE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6"/>
    <col collapsed="false" customWidth="true" hidden="false" outlineLevel="0" max="3" min="3" style="1" width="52"/>
    <col collapsed="false" customWidth="true" hidden="false" outlineLevel="0" max="4" min="4" style="1" width="42"/>
    <col collapsed="false" customWidth="true" hidden="false" outlineLevel="0" max="5" min="5" style="1" width="16"/>
    <col collapsed="false" customWidth="true" hidden="false" outlineLevel="0" max="6" min="6" style="1" width="30"/>
    <col collapsed="false" customWidth="true" hidden="false" outlineLevel="0" max="7" min="7" style="1" width="11"/>
    <col collapsed="false" customWidth="true" hidden="false" outlineLevel="0" max="8" min="8" style="1" width="10"/>
    <col collapsed="false" customWidth="true" hidden="false" outlineLevel="0" max="9" min="9" style="1" width="26"/>
  </cols>
  <sheetData>
    <row r="1" customFormat="false" ht="19.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</row>
    <row r="5" customFormat="false" ht="57.75" hidden="false" customHeight="true" outlineLevel="0" collapsed="false">
      <c r="A5" s="5" t="s">
        <v>11</v>
      </c>
      <c r="B5" s="6" t="n">
        <v>1</v>
      </c>
      <c r="C5" s="7" t="s">
        <v>12</v>
      </c>
      <c r="D5" s="7" t="s">
        <v>13</v>
      </c>
      <c r="E5" s="8" t="s">
        <v>14</v>
      </c>
      <c r="F5" s="7" t="s">
        <v>15</v>
      </c>
      <c r="G5" s="9" t="s">
        <v>16</v>
      </c>
      <c r="H5" s="10" t="s">
        <v>17</v>
      </c>
      <c r="I5" s="11" t="s">
        <v>18</v>
      </c>
    </row>
    <row r="6" customFormat="false" ht="57.75" hidden="false" customHeight="true" outlineLevel="0" collapsed="false">
      <c r="A6" s="5" t="s">
        <v>11</v>
      </c>
      <c r="B6" s="6" t="n">
        <v>2</v>
      </c>
      <c r="C6" s="7" t="s">
        <v>19</v>
      </c>
      <c r="D6" s="7" t="s">
        <v>20</v>
      </c>
      <c r="E6" s="7" t="s">
        <v>21</v>
      </c>
      <c r="F6" s="7" t="s">
        <v>22</v>
      </c>
      <c r="G6" s="9" t="s">
        <v>23</v>
      </c>
      <c r="H6" s="10" t="s">
        <v>24</v>
      </c>
      <c r="I6" s="11"/>
    </row>
    <row r="7" customFormat="false" ht="57.75" hidden="false" customHeight="true" outlineLevel="0" collapsed="false">
      <c r="A7" s="5" t="s">
        <v>11</v>
      </c>
      <c r="B7" s="6" t="n">
        <v>3</v>
      </c>
      <c r="C7" s="7" t="s">
        <v>25</v>
      </c>
      <c r="D7" s="7" t="s">
        <v>26</v>
      </c>
      <c r="E7" s="7" t="s">
        <v>21</v>
      </c>
      <c r="F7" s="7" t="s">
        <v>27</v>
      </c>
      <c r="G7" s="9" t="s">
        <v>23</v>
      </c>
      <c r="H7" s="10" t="s">
        <v>24</v>
      </c>
      <c r="I7" s="11" t="s">
        <v>28</v>
      </c>
    </row>
    <row r="8" customFormat="false" ht="57.75" hidden="false" customHeight="true" outlineLevel="0" collapsed="false">
      <c r="A8" s="5" t="s">
        <v>11</v>
      </c>
      <c r="B8" s="6" t="n">
        <v>4</v>
      </c>
      <c r="C8" s="7" t="s">
        <v>29</v>
      </c>
      <c r="D8" s="7" t="s">
        <v>30</v>
      </c>
      <c r="E8" s="8" t="s">
        <v>14</v>
      </c>
      <c r="F8" s="7" t="s">
        <v>31</v>
      </c>
      <c r="G8" s="9" t="s">
        <v>32</v>
      </c>
      <c r="H8" s="10" t="s">
        <v>24</v>
      </c>
      <c r="I8" s="11"/>
    </row>
    <row r="9" customFormat="false" ht="57.75" hidden="false" customHeight="true" outlineLevel="0" collapsed="false">
      <c r="A9" s="12" t="s">
        <v>33</v>
      </c>
      <c r="B9" s="6" t="n">
        <v>5</v>
      </c>
      <c r="C9" s="7" t="s">
        <v>34</v>
      </c>
      <c r="D9" s="7" t="s">
        <v>35</v>
      </c>
      <c r="E9" s="8" t="s">
        <v>36</v>
      </c>
      <c r="F9" s="7" t="s">
        <v>37</v>
      </c>
      <c r="G9" s="9" t="s">
        <v>16</v>
      </c>
      <c r="H9" s="10" t="s">
        <v>38</v>
      </c>
      <c r="I9" s="11" t="s">
        <v>39</v>
      </c>
    </row>
    <row r="10" customFormat="false" ht="57.75" hidden="false" customHeight="true" outlineLevel="0" collapsed="false">
      <c r="A10" s="12" t="s">
        <v>33</v>
      </c>
      <c r="B10" s="6" t="n">
        <v>6</v>
      </c>
      <c r="C10" s="7" t="s">
        <v>40</v>
      </c>
      <c r="D10" s="7" t="s">
        <v>41</v>
      </c>
      <c r="E10" s="7" t="s">
        <v>21</v>
      </c>
      <c r="F10" s="7" t="s">
        <v>42</v>
      </c>
      <c r="G10" s="9" t="s">
        <v>23</v>
      </c>
      <c r="H10" s="10" t="s">
        <v>24</v>
      </c>
      <c r="I10" s="11"/>
    </row>
    <row r="11" customFormat="false" ht="57.75" hidden="false" customHeight="true" outlineLevel="0" collapsed="false">
      <c r="A11" s="12" t="s">
        <v>33</v>
      </c>
      <c r="B11" s="6" t="n">
        <v>7</v>
      </c>
      <c r="C11" s="7" t="s">
        <v>43</v>
      </c>
      <c r="D11" s="7" t="s">
        <v>44</v>
      </c>
      <c r="E11" s="7" t="s">
        <v>21</v>
      </c>
      <c r="F11" s="7" t="s">
        <v>45</v>
      </c>
      <c r="G11" s="9" t="s">
        <v>23</v>
      </c>
      <c r="H11" s="10" t="s">
        <v>24</v>
      </c>
      <c r="I11" s="11"/>
    </row>
    <row r="12" customFormat="false" ht="57.75" hidden="false" customHeight="true" outlineLevel="0" collapsed="false">
      <c r="A12" s="12" t="s">
        <v>33</v>
      </c>
      <c r="B12" s="6" t="n">
        <v>8</v>
      </c>
      <c r="C12" s="7" t="s">
        <v>46</v>
      </c>
      <c r="D12" s="7" t="s">
        <v>47</v>
      </c>
      <c r="E12" s="8" t="s">
        <v>36</v>
      </c>
      <c r="F12" s="7" t="s">
        <v>48</v>
      </c>
      <c r="G12" s="9" t="s">
        <v>16</v>
      </c>
      <c r="H12" s="10" t="s">
        <v>38</v>
      </c>
      <c r="I12" s="11" t="s">
        <v>49</v>
      </c>
    </row>
    <row r="13" customFormat="false" ht="57.75" hidden="false" customHeight="true" outlineLevel="0" collapsed="false">
      <c r="A13" s="13" t="s">
        <v>50</v>
      </c>
      <c r="B13" s="6" t="n">
        <v>9</v>
      </c>
      <c r="C13" s="7" t="s">
        <v>51</v>
      </c>
      <c r="D13" s="7" t="s">
        <v>52</v>
      </c>
      <c r="E13" s="7" t="s">
        <v>21</v>
      </c>
      <c r="F13" s="7" t="s">
        <v>53</v>
      </c>
      <c r="G13" s="9" t="s">
        <v>54</v>
      </c>
      <c r="H13" s="10" t="s">
        <v>24</v>
      </c>
      <c r="I13" s="11"/>
    </row>
    <row r="14" customFormat="false" ht="57.75" hidden="false" customHeight="true" outlineLevel="0" collapsed="false">
      <c r="A14" s="13" t="s">
        <v>50</v>
      </c>
      <c r="B14" s="6" t="n">
        <v>10</v>
      </c>
      <c r="C14" s="7" t="s">
        <v>55</v>
      </c>
      <c r="D14" s="7" t="s">
        <v>56</v>
      </c>
      <c r="E14" s="7" t="s">
        <v>21</v>
      </c>
      <c r="F14" s="8"/>
      <c r="G14" s="9" t="s">
        <v>54</v>
      </c>
      <c r="H14" s="10" t="s">
        <v>24</v>
      </c>
      <c r="I14" s="11"/>
    </row>
    <row r="15" customFormat="false" ht="57.75" hidden="false" customHeight="true" outlineLevel="0" collapsed="false">
      <c r="A15" s="13" t="s">
        <v>50</v>
      </c>
      <c r="B15" s="6" t="n">
        <v>11</v>
      </c>
      <c r="C15" s="7" t="s">
        <v>57</v>
      </c>
      <c r="D15" s="7" t="s">
        <v>58</v>
      </c>
      <c r="E15" s="7" t="s">
        <v>21</v>
      </c>
      <c r="F15" s="7" t="s">
        <v>59</v>
      </c>
      <c r="G15" s="9" t="s">
        <v>54</v>
      </c>
      <c r="H15" s="10" t="s">
        <v>24</v>
      </c>
      <c r="I15" s="11"/>
    </row>
    <row r="16" customFormat="false" ht="57.75" hidden="false" customHeight="true" outlineLevel="0" collapsed="false">
      <c r="A16" s="13" t="s">
        <v>50</v>
      </c>
      <c r="B16" s="6" t="n">
        <v>12</v>
      </c>
      <c r="C16" s="7" t="s">
        <v>60</v>
      </c>
      <c r="D16" s="7" t="s">
        <v>61</v>
      </c>
      <c r="E16" s="7" t="s">
        <v>62</v>
      </c>
      <c r="F16" s="7" t="s">
        <v>63</v>
      </c>
      <c r="G16" s="9" t="s">
        <v>54</v>
      </c>
      <c r="H16" s="10" t="s">
        <v>24</v>
      </c>
      <c r="I16" s="11"/>
    </row>
    <row r="17" customFormat="false" ht="57.75" hidden="false" customHeight="true" outlineLevel="0" collapsed="false">
      <c r="A17" s="14" t="s">
        <v>64</v>
      </c>
      <c r="B17" s="6" t="n">
        <v>13</v>
      </c>
      <c r="C17" s="8" t="s">
        <v>65</v>
      </c>
      <c r="D17" s="7" t="s">
        <v>66</v>
      </c>
      <c r="E17" s="7" t="s">
        <v>67</v>
      </c>
      <c r="F17" s="7" t="s">
        <v>68</v>
      </c>
      <c r="G17" s="9" t="s">
        <v>69</v>
      </c>
      <c r="H17" s="10" t="s">
        <v>17</v>
      </c>
      <c r="I17" s="11" t="s">
        <v>70</v>
      </c>
    </row>
    <row r="20" customFormat="false" ht="15" hidden="false" customHeight="true" outlineLevel="0" collapsed="false">
      <c r="A20" s="15" t="s">
        <v>71</v>
      </c>
    </row>
    <row r="21" customFormat="false" ht="15" hidden="false" customHeight="true" outlineLevel="0" collapsed="false">
      <c r="A21" s="4" t="s">
        <v>2</v>
      </c>
      <c r="B21" s="4" t="s">
        <v>72</v>
      </c>
      <c r="C21" s="4" t="s">
        <v>38</v>
      </c>
      <c r="D21" s="4" t="s">
        <v>17</v>
      </c>
      <c r="E21" s="4" t="s">
        <v>24</v>
      </c>
      <c r="F21" s="4" t="s">
        <v>73</v>
      </c>
    </row>
    <row r="22" customFormat="false" ht="15" hidden="false" customHeight="true" outlineLevel="0" collapsed="false">
      <c r="A22" s="16" t="s">
        <v>11</v>
      </c>
      <c r="B22" s="6" t="n">
        <f aca="false">COUNTIF($A$5:$A$17,A22)</f>
        <v>4</v>
      </c>
      <c r="C22" s="6" t="n">
        <f aca="false">COUNTIFS($A$5:$A$17,$A22,$H$5:$H$17,"完成")</f>
        <v>0</v>
      </c>
      <c r="D22" s="6" t="n">
        <f aca="false">COUNTIFS($A$5:$A$17,$A22,$H$5:$H$17,"进行中")</f>
        <v>1</v>
      </c>
      <c r="E22" s="6" t="n">
        <f aca="false">COUNTIFS($A$5:$A$17,$A22,$H$5:$H$17,"未开始")</f>
        <v>3</v>
      </c>
      <c r="F22" s="17" t="n">
        <f aca="false">IF(B22=0,0,C22/B22)</f>
        <v>0</v>
      </c>
    </row>
    <row r="23" customFormat="false" ht="15" hidden="false" customHeight="true" outlineLevel="0" collapsed="false">
      <c r="A23" s="16" t="s">
        <v>33</v>
      </c>
      <c r="B23" s="6" t="n">
        <f aca="false">COUNTIF($A$5:$A$17,A23)</f>
        <v>4</v>
      </c>
      <c r="C23" s="6" t="n">
        <f aca="false">COUNTIFS($A$5:$A$17,$A23,$H$5:$H$17,"完成")</f>
        <v>2</v>
      </c>
      <c r="D23" s="6" t="n">
        <f aca="false">COUNTIFS($A$5:$A$17,$A23,$H$5:$H$17,"进行中")</f>
        <v>0</v>
      </c>
      <c r="E23" s="6" t="n">
        <f aca="false">COUNTIFS($A$5:$A$17,$A23,$H$5:$H$17,"未开始")</f>
        <v>2</v>
      </c>
      <c r="F23" s="17" t="n">
        <f aca="false">IF(B23=0,0,C23/B23)</f>
        <v>0.5</v>
      </c>
    </row>
    <row r="24" customFormat="false" ht="15" hidden="false" customHeight="true" outlineLevel="0" collapsed="false">
      <c r="A24" s="16" t="s">
        <v>50</v>
      </c>
      <c r="B24" s="6" t="n">
        <f aca="false">COUNTIF($A$5:$A$17,A24)</f>
        <v>4</v>
      </c>
      <c r="C24" s="6" t="n">
        <f aca="false">COUNTIFS($A$5:$A$17,$A24,$H$5:$H$17,"完成")</f>
        <v>0</v>
      </c>
      <c r="D24" s="6" t="n">
        <f aca="false">COUNTIFS($A$5:$A$17,$A24,$H$5:$H$17,"进行中")</f>
        <v>0</v>
      </c>
      <c r="E24" s="6" t="n">
        <f aca="false">COUNTIFS($A$5:$A$17,$A24,$H$5:$H$17,"未开始")</f>
        <v>4</v>
      </c>
      <c r="F24" s="17" t="n">
        <f aca="false">IF(B24=0,0,C24/B24)</f>
        <v>0</v>
      </c>
    </row>
    <row r="25" customFormat="false" ht="15" hidden="false" customHeight="true" outlineLevel="0" collapsed="false">
      <c r="A25" s="18" t="s">
        <v>64</v>
      </c>
      <c r="B25" s="6" t="n">
        <f aca="false">COUNTIF($A$5:$A$17,A25)</f>
        <v>1</v>
      </c>
      <c r="C25" s="6" t="n">
        <f aca="false">COUNTIFS($A$5:$A$17,$A25,$H$5:$H$17,"完成")</f>
        <v>0</v>
      </c>
      <c r="D25" s="6" t="n">
        <f aca="false">COUNTIFS($A$5:$A$17,$A25,$H$5:$H$17,"进行中")</f>
        <v>1</v>
      </c>
      <c r="E25" s="6" t="n">
        <f aca="false">COUNTIFS($A$5:$A$17,$A25,$H$5:$H$17,"未开始")</f>
        <v>0</v>
      </c>
      <c r="F25" s="17" t="n">
        <f aca="false">IF(B25=0,0,C25/B25)</f>
        <v>0</v>
      </c>
    </row>
    <row r="26" customFormat="false" ht="15" hidden="false" customHeight="true" outlineLevel="0" collapsed="false">
      <c r="A26" s="19" t="s">
        <v>74</v>
      </c>
      <c r="B26" s="19" t="n">
        <f aca="false">SUM(B22:B25)</f>
        <v>13</v>
      </c>
      <c r="C26" s="19" t="n">
        <f aca="false">SUM(C22:C25)</f>
        <v>2</v>
      </c>
      <c r="D26" s="19" t="n">
        <f aca="false">SUM(D22:D25)</f>
        <v>2</v>
      </c>
      <c r="E26" s="19" t="n">
        <f aca="false">SUM(E22:E25)</f>
        <v>9</v>
      </c>
      <c r="F26" s="20" t="n">
        <f aca="false">IF(B26=0,0,C26/B26)</f>
        <v>0.153846153846154</v>
      </c>
    </row>
  </sheetData>
  <conditionalFormatting sqref="H5:H17">
    <cfRule type="cellIs" priority="2" operator="equal" aboveAverage="0" equalAverage="0" bottom="0" percent="0" rank="0" text="" dxfId="0">
      <formula>"完成"</formula>
    </cfRule>
    <cfRule type="cellIs" priority="3" operator="equal" aboveAverage="0" equalAverage="0" bottom="0" percent="0" rank="0" text="" dxfId="1">
      <formula>"进行中"</formula>
    </cfRule>
  </conditionalFormatting>
  <dataValidations count="1">
    <dataValidation allowBlank="false" errorStyle="stop" operator="between" showDropDown="false" showErrorMessage="false" showInputMessage="false" sqref="H5:H17" type="list">
      <formula1>"未开始,进行中,完成,暂缓"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2"/>
    <col collapsed="false" customWidth="true" hidden="false" outlineLevel="0" max="3" min="3" style="1" width="24"/>
    <col collapsed="false" customWidth="true" hidden="false" outlineLevel="0" max="4" min="4" style="1" width="60"/>
    <col collapsed="false" customWidth="true" hidden="false" outlineLevel="0" max="5" min="5" style="1" width="36"/>
  </cols>
  <sheetData>
    <row r="1" customFormat="false" ht="15.75" hidden="false" customHeight="true" outlineLevel="0" collapsed="false">
      <c r="A1" s="2" t="s">
        <v>75</v>
      </c>
    </row>
    <row r="3" customFormat="false" ht="15" hidden="false" customHeight="true" outlineLevel="0" collapsed="false">
      <c r="A3" s="4" t="s">
        <v>76</v>
      </c>
      <c r="B3" s="4" t="s">
        <v>77</v>
      </c>
      <c r="C3" s="4" t="s">
        <v>78</v>
      </c>
      <c r="D3" s="4" t="s">
        <v>79</v>
      </c>
      <c r="E3" s="4" t="s">
        <v>80</v>
      </c>
    </row>
    <row r="4" customFormat="false" ht="60" hidden="false" customHeight="true" outlineLevel="0" collapsed="false">
      <c r="A4" s="21" t="s">
        <v>16</v>
      </c>
      <c r="B4" s="7" t="s">
        <v>81</v>
      </c>
      <c r="C4" s="8" t="s">
        <v>82</v>
      </c>
      <c r="D4" s="8" t="s">
        <v>83</v>
      </c>
      <c r="E4" s="7" t="s">
        <v>84</v>
      </c>
    </row>
    <row r="5" customFormat="false" ht="60" hidden="false" customHeight="true" outlineLevel="0" collapsed="false">
      <c r="A5" s="21" t="s">
        <v>23</v>
      </c>
      <c r="B5" s="7" t="s">
        <v>69</v>
      </c>
      <c r="C5" s="8" t="s">
        <v>85</v>
      </c>
      <c r="D5" s="7" t="s">
        <v>86</v>
      </c>
      <c r="E5" s="7" t="s">
        <v>87</v>
      </c>
    </row>
    <row r="6" customFormat="false" ht="60" hidden="false" customHeight="true" outlineLevel="0" collapsed="false">
      <c r="A6" s="21" t="s">
        <v>32</v>
      </c>
      <c r="B6" s="7" t="s">
        <v>88</v>
      </c>
      <c r="C6" s="8" t="s">
        <v>89</v>
      </c>
      <c r="D6" s="7" t="s">
        <v>90</v>
      </c>
      <c r="E6" s="7" t="s">
        <v>91</v>
      </c>
    </row>
    <row r="8" customFormat="false" ht="15" hidden="false" customHeight="true" outlineLevel="0" collapsed="false">
      <c r="A8" s="3" t="s">
        <v>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2026-10-07T04:43:10Z</dcterms:created>
  <dc:creator>openpyxl</dc:creator>
  <dc:description/>
  <dc:language>en-US</dc:language>
  <cp:lastModifiedBy/>
  <dcterms:modified xsi:type="dcterms:W3CDTF">2026-10-07T04:59:00Z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