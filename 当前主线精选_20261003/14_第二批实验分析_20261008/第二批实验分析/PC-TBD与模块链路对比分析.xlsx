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要点" sheetId="1" state="visible" r:id="rId3"/>
    <sheet name="跟住分组" sheetId="2" state="visible" r:id="rId4"/>
    <sheet name="分场景与信噪比" sheetId="3" state="visible" r:id="rId5"/>
    <sheet name="实测对比" sheetId="4" state="visible" r:id="rId6"/>
    <sheet name="耗时" sheetId="5" state="visible" r:id="rId7"/>
    <sheet name="逐记录数据" sheetId="6" state="visible" r:id="rId8"/>
    <sheet name="说明" sheetId="7" state="visible" r:id="rId9"/>
  </sheets>
  <definedNames>
    <definedName function="false" hidden="true" localSheetId="5" name="_xlnm._FilterDatabase" vbProcedure="false">逐记录数据!$A$1:$T$1401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Python </t>
        </r>
        <r>
          <rPr>
            <sz val="10"/>
            <rFont val="Noto Sans CJK SC"/>
            <family val="2"/>
          </rPr>
          <t xml:space="preserve">计算：以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场景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Noto Sans CJK SC"/>
            <family val="2"/>
          </rPr>
          <t xml:space="preserve">记录编号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Noto Sans CJK SC"/>
            <family val="2"/>
          </rPr>
          <t xml:space="preserve">为单位重抽样 </t>
        </r>
        <r>
          <rPr>
            <sz val="10"/>
            <rFont val="Arial"/>
            <family val="2"/>
          </rPr>
          <t xml:space="preserve">2000 </t>
        </r>
        <r>
          <rPr>
            <sz val="10"/>
            <rFont val="Noto Sans CJK SC"/>
            <family val="2"/>
          </rPr>
          <t xml:space="preserve">次，记录加权，</t>
        </r>
        <r>
          <rPr>
            <sz val="10"/>
            <rFont val="Arial"/>
            <family val="2"/>
          </rPr>
          <t xml:space="preserve">numpy </t>
        </r>
        <r>
          <rPr>
            <sz val="10"/>
            <rFont val="Noto Sans CJK SC"/>
            <family val="2"/>
          </rPr>
          <t xml:space="preserve">随机种子 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；同一种子在各信噪比下的记录一起抽取。</t>
        </r>
      </text>
    </comment>
  </commentList>
</comments>
</file>

<file path=xl/sharedStrings.xml><?xml version="1.0" encoding="utf-8"?>
<sst xmlns="http://schemas.openxmlformats.org/spreadsheetml/2006/main" count="1556" uniqueCount="117">
  <si>
    <r>
      <rPr>
        <b val="true"/>
        <sz val="13"/>
        <rFont val="Arial"/>
        <family val="0"/>
        <charset val="1"/>
      </rPr>
      <t xml:space="preserve">PC-TBD </t>
    </r>
    <r>
      <rPr>
        <b val="true"/>
        <sz val="13"/>
        <rFont val="Noto Sans CJK SC"/>
        <family val="2"/>
      </rPr>
      <t xml:space="preserve">与 </t>
    </r>
    <r>
      <rPr>
        <b val="true"/>
        <sz val="13"/>
        <rFont val="Arial"/>
        <family val="0"/>
        <charset val="1"/>
      </rPr>
      <t xml:space="preserve">VIT–LPS+</t>
    </r>
    <r>
      <rPr>
        <b val="true"/>
        <sz val="13"/>
        <rFont val="Noto Sans CJK SC"/>
        <family val="2"/>
      </rPr>
      <t xml:space="preserve">模块的对比：要点</t>
    </r>
  </si>
  <si>
    <r>
      <rPr>
        <i val="true"/>
        <sz val="9"/>
        <color rgb="FF555555"/>
        <rFont val="Noto Sans CJK SC"/>
        <family val="2"/>
      </rPr>
      <t xml:space="preserve">数字由其他工作表的公式实时计算；蓝色字为从仓库 </t>
    </r>
    <r>
      <rPr>
        <i val="true"/>
        <sz val="9"/>
        <color rgb="FF555555"/>
        <rFont val="Arial"/>
        <family val="0"/>
        <charset val="1"/>
      </rPr>
      <t xml:space="preserve">CSV </t>
    </r>
    <r>
      <rPr>
        <i val="true"/>
        <sz val="9"/>
        <color rgb="FF555555"/>
        <rFont val="Noto Sans CJK SC"/>
        <family val="2"/>
      </rPr>
      <t xml:space="preserve">或修订稿直接取的值。</t>
    </r>
  </si>
  <si>
    <t xml:space="preserve">#</t>
  </si>
  <si>
    <t xml:space="preserve">发现</t>
  </si>
  <si>
    <t xml:space="preserve">依据（实时数值）</t>
  </si>
  <si>
    <t xml:space="preserve">对论文的含义</t>
  </si>
  <si>
    <r>
      <rPr>
        <sz val="10"/>
        <rFont val="Noto Sans CJK SC"/>
        <family val="2"/>
      </rPr>
      <t xml:space="preserve">总平均差距全部来自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至少一个前端没跟住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的记录。</t>
    </r>
  </si>
  <si>
    <r>
      <rPr>
        <sz val="10"/>
        <rFont val="Noto Sans CJK SC"/>
        <family val="2"/>
      </rPr>
      <t xml:space="preserve">跟住条件下两条路等效；表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可从反例改写为支撑证据。</t>
    </r>
  </si>
  <si>
    <t xml:space="preserve">跟住时的差别取决于场景。</t>
  </si>
  <si>
    <r>
      <rPr>
        <sz val="10"/>
        <rFont val="Noto Sans CJK SC"/>
        <family val="2"/>
      </rPr>
      <t xml:space="preserve">局部干扰下 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略优，正文需如实报告。</t>
    </r>
  </si>
  <si>
    <r>
      <rPr>
        <sz val="10"/>
        <rFont val="Noto Sans CJK SC"/>
        <family val="2"/>
      </rPr>
      <t xml:space="preserve">无干扰场景下，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的优势在捕获线谱。</t>
    </r>
  </si>
  <si>
    <t xml:space="preserve">实测结果与仿真一致。</t>
  </si>
  <si>
    <r>
      <rPr>
        <sz val="10"/>
        <rFont val="Noto Sans CJK SC"/>
        <family val="2"/>
      </rPr>
      <t xml:space="preserve">跟住时等效、丢线时 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占优，与仿真分解相同。</t>
    </r>
  </si>
  <si>
    <r>
      <rPr>
        <sz val="10"/>
        <rFont val="Noto Sans CJK SC"/>
        <family val="2"/>
      </rPr>
      <t xml:space="preserve">论文中的 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依赖本文自加的相位差频率读出。</t>
    </r>
  </si>
  <si>
    <r>
      <rPr>
        <sz val="10"/>
        <color rgb="FF0000FF"/>
        <rFont val="Noto Sans CJK SC"/>
        <family val="2"/>
      </rPr>
      <t xml:space="preserve">开发记录上，按状态网格读出的合并 </t>
    </r>
    <r>
      <rPr>
        <sz val="10"/>
        <color rgb="FF0000FF"/>
        <rFont val="Arial"/>
        <family val="0"/>
        <charset val="1"/>
      </rPr>
      <t xml:space="preserve">η </t>
    </r>
    <r>
      <rPr>
        <sz val="10"/>
        <color rgb="FF0000FF"/>
        <rFont val="Noto Sans CJK SC"/>
        <family val="2"/>
      </rPr>
      <t xml:space="preserve">中位数 </t>
    </r>
    <r>
      <rPr>
        <sz val="10"/>
        <color rgb="FF0000FF"/>
        <rFont val="Arial"/>
        <family val="0"/>
        <charset val="1"/>
      </rPr>
      <t xml:space="preserve">0.276</t>
    </r>
    <r>
      <rPr>
        <sz val="10"/>
        <color rgb="FF0000FF"/>
        <rFont val="Noto Sans CJK SC"/>
        <family val="2"/>
      </rPr>
      <t xml:space="preserve">，改用相位差读出后 </t>
    </r>
    <r>
      <rPr>
        <sz val="10"/>
        <color rgb="FF0000FF"/>
        <rFont val="Arial"/>
        <family val="0"/>
        <charset val="1"/>
      </rPr>
      <t xml:space="preserve">0.684</t>
    </r>
    <r>
      <rPr>
        <sz val="10"/>
        <color rgb="FF0000FF"/>
        <rFont val="Noto Sans CJK SC"/>
        <family val="2"/>
      </rPr>
      <t xml:space="preserve">（修订稿附录 </t>
    </r>
    <r>
      <rPr>
        <sz val="10"/>
        <color rgb="FF0000FF"/>
        <rFont val="Arial"/>
        <family val="0"/>
        <charset val="1"/>
      </rPr>
      <t xml:space="preserve">B.3</t>
    </r>
    <r>
      <rPr>
        <sz val="10"/>
        <color rgb="FF0000FF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</si>
  <si>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现成 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即可给出适合长时积累的轨迹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不成立；它同样靠相位信息定频率，与本文核心论点一致。</t>
    </r>
  </si>
  <si>
    <r>
      <rPr>
        <sz val="10"/>
        <rFont val="Noto Sans CJK SC"/>
        <family val="2"/>
      </rPr>
      <t xml:space="preserve">耗时：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链路更省。</t>
    </r>
  </si>
  <si>
    <t xml:space="preserve">两者都远小于记录时长，耗时不是决定性因素，但不能作为模块的卖点。</t>
  </si>
  <si>
    <r>
      <rPr>
        <sz val="10"/>
        <rFont val="Noto Sans CJK SC"/>
        <family val="2"/>
      </rPr>
      <t xml:space="preserve">积累时长下与 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的比较是空白。</t>
    </r>
  </si>
  <si>
    <r>
      <rPr>
        <sz val="10"/>
        <color rgb="FF0000FF"/>
        <rFont val="Arial"/>
        <family val="0"/>
        <charset val="1"/>
      </rPr>
      <t xml:space="preserve">X1 </t>
    </r>
    <r>
      <rPr>
        <sz val="10"/>
        <color rgb="FF0000FF"/>
        <rFont val="Noto Sans CJK SC"/>
        <family val="2"/>
      </rPr>
      <t xml:space="preserve">时长实验只含 </t>
    </r>
    <r>
      <rPr>
        <sz val="10"/>
        <color rgb="FF0000FF"/>
        <rFont val="Arial"/>
        <family val="0"/>
        <charset val="1"/>
      </rPr>
      <t xml:space="preserve">LPS</t>
    </r>
    <r>
      <rPr>
        <sz val="10"/>
        <color rgb="FF0000FF"/>
        <rFont val="Noto Sans CJK SC"/>
        <family val="2"/>
      </rPr>
      <t xml:space="preserve">、固定 </t>
    </r>
    <r>
      <rPr>
        <sz val="10"/>
        <color rgb="FF0000FF"/>
        <rFont val="Arial"/>
        <family val="0"/>
        <charset val="1"/>
      </rPr>
      <t xml:space="preserve">±0.02 Hz</t>
    </r>
    <r>
      <rPr>
        <sz val="10"/>
        <color rgb="FF0000FF"/>
        <rFont val="Noto Sans CJK SC"/>
        <family val="2"/>
      </rPr>
      <t xml:space="preserve">、不设幅度界和自适应扩张四种方法，没有 </t>
    </r>
    <r>
      <rPr>
        <sz val="10"/>
        <color rgb="FF0000FF"/>
        <rFont val="Arial"/>
        <family val="0"/>
        <charset val="1"/>
      </rPr>
      <t xml:space="preserve">PC-TBD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</si>
  <si>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可能是模块独有优势的方向（整段相干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相邻 </t>
    </r>
    <r>
      <rPr>
        <sz val="10"/>
        <rFont val="Arial"/>
        <family val="0"/>
        <charset val="1"/>
      </rPr>
      <t xml:space="preserve">8 s </t>
    </r>
    <r>
      <rPr>
        <sz val="10"/>
        <rFont val="Noto Sans CJK SC"/>
        <family val="2"/>
      </rPr>
      <t xml:space="preserve">块），属猜测，需新实验验证。</t>
    </r>
  </si>
  <si>
    <r>
      <rPr>
        <b val="true"/>
        <sz val="13"/>
        <rFont val="Noto Sans CJK SC"/>
        <family val="2"/>
      </rPr>
      <t xml:space="preserve">按</t>
    </r>
    <r>
      <rPr>
        <b val="true"/>
        <sz val="13"/>
        <rFont val="Arial"/>
        <family val="0"/>
        <charset val="1"/>
      </rPr>
      <t xml:space="preserve">"</t>
    </r>
    <r>
      <rPr>
        <b val="true"/>
        <sz val="13"/>
        <rFont val="Noto Sans CJK SC"/>
        <family val="2"/>
      </rPr>
      <t xml:space="preserve">前端是否跟住线谱</t>
    </r>
    <r>
      <rPr>
        <b val="true"/>
        <sz val="13"/>
        <rFont val="Arial"/>
        <family val="0"/>
        <charset val="1"/>
      </rPr>
      <t xml:space="preserve">"</t>
    </r>
    <r>
      <rPr>
        <b val="true"/>
        <sz val="13"/>
        <rFont val="Noto Sans CJK SC"/>
        <family val="2"/>
      </rPr>
      <t xml:space="preserve">分组（跨前端实验 </t>
    </r>
    <r>
      <rPr>
        <b val="true"/>
        <sz val="13"/>
        <rFont val="Arial"/>
        <family val="0"/>
        <charset val="1"/>
      </rPr>
      <t xml:space="preserve">X2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1400 </t>
    </r>
    <r>
      <rPr>
        <b val="true"/>
        <sz val="13"/>
        <rFont val="Noto Sans CJK SC"/>
        <family val="2"/>
      </rPr>
      <t xml:space="preserve">条记录）</t>
    </r>
  </si>
  <si>
    <r>
      <rPr>
        <i val="true"/>
        <sz val="9"/>
        <color rgb="FF555555"/>
        <rFont val="Noto Sans CJK SC"/>
        <family val="2"/>
      </rPr>
      <t xml:space="preserve">跟住判据（仓库 </t>
    </r>
    <r>
      <rPr>
        <i val="true"/>
        <sz val="9"/>
        <color rgb="FF555555"/>
        <rFont val="Arial"/>
        <family val="0"/>
        <charset val="1"/>
      </rPr>
      <t xml:space="preserve">input_usable</t>
    </r>
    <r>
      <rPr>
        <i val="true"/>
        <sz val="9"/>
        <color rgb="FF555555"/>
        <rFont val="Noto Sans CJK SC"/>
        <family val="2"/>
      </rPr>
      <t xml:space="preserve">）：去掉平均偏差后，≥</t>
    </r>
    <r>
      <rPr>
        <i val="true"/>
        <sz val="9"/>
        <color rgb="FF555555"/>
        <rFont val="Arial"/>
        <family val="0"/>
        <charset val="1"/>
      </rPr>
      <t xml:space="preserve">90% </t>
    </r>
    <r>
      <rPr>
        <i val="true"/>
        <sz val="9"/>
        <color rgb="FF555555"/>
        <rFont val="Noto Sans CJK SC"/>
        <family val="2"/>
      </rPr>
      <t xml:space="preserve">时间与真实轨迹相差 ≤</t>
    </r>
    <r>
      <rPr>
        <i val="true"/>
        <sz val="9"/>
        <color rgb="FF555555"/>
        <rFont val="Arial"/>
        <family val="0"/>
        <charset val="1"/>
      </rPr>
      <t xml:space="preserve">0.1 Hz</t>
    </r>
    <r>
      <rPr>
        <i val="true"/>
        <sz val="9"/>
        <color rgb="FF555555"/>
        <rFont val="Noto Sans CJK SC"/>
        <family val="2"/>
      </rPr>
      <t xml:space="preserve">。分组用到仿真真值，属事后分解。</t>
    </r>
  </si>
  <si>
    <t xml:space="preserve">分组</t>
  </si>
  <si>
    <t xml:space="preserve">记录数</t>
  </si>
  <si>
    <t xml:space="preserve">占比</t>
  </si>
  <si>
    <r>
      <rPr>
        <b val="true"/>
        <sz val="10"/>
        <color rgb="FFFFFFFF"/>
        <rFont val="Arial"/>
        <family val="0"/>
        <charset val="1"/>
      </rPr>
      <t xml:space="preserve">VIT–LPS+</t>
    </r>
    <r>
      <rPr>
        <b val="true"/>
        <sz val="10"/>
        <color rgb="FFFFFFFF"/>
        <rFont val="Noto Sans CJK SC"/>
        <family val="2"/>
      </rPr>
      <t xml:space="preserve">模块 </t>
    </r>
    <r>
      <rPr>
        <b val="true"/>
        <sz val="10"/>
        <color rgb="FFFFFFFF"/>
        <rFont val="Arial"/>
        <family val="0"/>
        <charset val="1"/>
      </rPr>
      <t xml:space="preserve">η</t>
    </r>
  </si>
  <si>
    <t xml:space="preserve">PC-TBD η</t>
  </si>
  <si>
    <r>
      <rPr>
        <b val="true"/>
        <sz val="10"/>
        <color rgb="FFFFFFFF"/>
        <rFont val="Noto Sans CJK SC"/>
        <family val="2"/>
      </rPr>
      <t xml:space="preserve">差值（模块链路 − </t>
    </r>
    <r>
      <rPr>
        <b val="true"/>
        <sz val="10"/>
        <color rgb="FFFFFFFF"/>
        <rFont val="Arial"/>
        <family val="0"/>
        <charset val="1"/>
      </rPr>
      <t xml:space="preserve">PC-TBD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</si>
  <si>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模块链路高 </t>
    </r>
    <r>
      <rPr>
        <b val="true"/>
        <sz val="10"/>
        <color rgb="FFFFFFFF"/>
        <rFont val="Arial"/>
        <family val="0"/>
        <charset val="1"/>
      </rPr>
      <t xml:space="preserve">&gt;0.01 </t>
    </r>
    <r>
      <rPr>
        <b val="true"/>
        <sz val="10"/>
        <color rgb="FFFFFFFF"/>
        <rFont val="Noto Sans CJK SC"/>
        <family val="2"/>
      </rPr>
      <t xml:space="preserve">的比例</t>
    </r>
  </si>
  <si>
    <r>
      <rPr>
        <b val="true"/>
        <sz val="10"/>
        <color rgb="FFFFFFFF"/>
        <rFont val="Arial"/>
        <family val="0"/>
        <charset val="1"/>
      </rPr>
      <t xml:space="preserve">PC-TBD </t>
    </r>
    <r>
      <rPr>
        <b val="true"/>
        <sz val="10"/>
        <color rgb="FFFFFFFF"/>
        <rFont val="Noto Sans CJK SC"/>
        <family val="2"/>
      </rPr>
      <t xml:space="preserve">高 </t>
    </r>
    <r>
      <rPr>
        <b val="true"/>
        <sz val="10"/>
        <color rgb="FFFFFFFF"/>
        <rFont val="Arial"/>
        <family val="0"/>
        <charset val="1"/>
      </rPr>
      <t xml:space="preserve">&gt;0.01 </t>
    </r>
    <r>
      <rPr>
        <b val="true"/>
        <sz val="10"/>
        <color rgb="FFFFFFFF"/>
        <rFont val="Noto Sans CJK SC"/>
        <family val="2"/>
      </rPr>
      <t xml:space="preserve">的比例</t>
    </r>
  </si>
  <si>
    <t xml:space="preserve">占总差距的份额</t>
  </si>
  <si>
    <t xml:space="preserve">两者都跟住</t>
  </si>
  <si>
    <r>
      <rPr>
        <b val="true"/>
        <sz val="10"/>
        <rFont val="Noto Sans CJK SC"/>
        <family val="2"/>
      </rPr>
      <t xml:space="preserve">仅 </t>
    </r>
    <r>
      <rPr>
        <b val="true"/>
        <sz val="10"/>
        <rFont val="Arial"/>
        <family val="0"/>
        <charset val="1"/>
      </rPr>
      <t xml:space="preserve">PC-TBD </t>
    </r>
    <r>
      <rPr>
        <b val="true"/>
        <sz val="10"/>
        <rFont val="Noto Sans CJK SC"/>
        <family val="2"/>
      </rPr>
      <t xml:space="preserve">跟住</t>
    </r>
  </si>
  <si>
    <r>
      <rPr>
        <b val="true"/>
        <sz val="10"/>
        <rFont val="Noto Sans CJK SC"/>
        <family val="2"/>
      </rPr>
      <t xml:space="preserve">仅 </t>
    </r>
    <r>
      <rPr>
        <b val="true"/>
        <sz val="10"/>
        <rFont val="Arial"/>
        <family val="0"/>
        <charset val="1"/>
      </rPr>
      <t xml:space="preserve">VIT-LPS </t>
    </r>
    <r>
      <rPr>
        <b val="true"/>
        <sz val="10"/>
        <rFont val="Noto Sans CJK SC"/>
        <family val="2"/>
      </rPr>
      <t xml:space="preserve">跟住</t>
    </r>
  </si>
  <si>
    <t xml:space="preserve">都没跟住</t>
  </si>
  <si>
    <t xml:space="preserve">全部</t>
  </si>
  <si>
    <r>
      <rPr>
        <i val="true"/>
        <sz val="9"/>
        <color rgb="FF555555"/>
        <rFont val="Noto Sans CJK SC"/>
        <family val="2"/>
      </rPr>
      <t xml:space="preserve">注：每个场景</t>
    </r>
    <r>
      <rPr>
        <i val="true"/>
        <sz val="9"/>
        <color rgb="FF555555"/>
        <rFont val="Arial"/>
        <family val="0"/>
        <charset val="1"/>
      </rPr>
      <t xml:space="preserve">×</t>
    </r>
    <r>
      <rPr>
        <i val="true"/>
        <sz val="9"/>
        <color rgb="FF555555"/>
        <rFont val="Noto Sans CJK SC"/>
        <family val="2"/>
      </rPr>
      <t xml:space="preserve">信噪比单元均为 </t>
    </r>
    <r>
      <rPr>
        <i val="true"/>
        <sz val="9"/>
        <color rgb="FF555555"/>
        <rFont val="Arial"/>
        <family val="0"/>
        <charset val="1"/>
      </rPr>
      <t xml:space="preserve">100 </t>
    </r>
    <r>
      <rPr>
        <i val="true"/>
        <sz val="9"/>
        <color rgb="FF555555"/>
        <rFont val="Noto Sans CJK SC"/>
        <family val="2"/>
      </rPr>
      <t xml:space="preserve">条，记录加权平均与论文的等权单元平均相同（全部：</t>
    </r>
    <r>
      <rPr>
        <i val="true"/>
        <sz val="9"/>
        <color rgb="FF555555"/>
        <rFont val="Arial"/>
        <family val="0"/>
        <charset val="1"/>
      </rPr>
      <t xml:space="preserve">0.742 / 0.775</t>
    </r>
    <r>
      <rPr>
        <i val="true"/>
        <sz val="9"/>
        <color rgb="FF555555"/>
        <rFont val="Noto Sans CJK SC"/>
        <family val="2"/>
      </rPr>
      <t xml:space="preserve">）。</t>
    </r>
  </si>
  <si>
    <t xml:space="preserve">分场景比较与逐信噪比明细</t>
  </si>
  <si>
    <r>
      <rPr>
        <b val="true"/>
        <sz val="10"/>
        <rFont val="Arial"/>
        <family val="0"/>
        <charset val="1"/>
      </rPr>
      <t xml:space="preserve">(a) </t>
    </r>
    <r>
      <rPr>
        <b val="true"/>
        <sz val="10"/>
        <rFont val="Noto Sans CJK SC"/>
        <family val="2"/>
      </rPr>
      <t xml:space="preserve">分场景：全部记录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两者都跟住</t>
    </r>
  </si>
  <si>
    <t xml:space="preserve">场景</t>
  </si>
  <si>
    <t xml:space="preserve">子集</t>
  </si>
  <si>
    <r>
      <rPr>
        <b val="true"/>
        <sz val="10"/>
        <color rgb="FFFFFFFF"/>
        <rFont val="Arial"/>
        <family val="0"/>
        <charset val="1"/>
      </rPr>
      <t xml:space="preserve">95% </t>
    </r>
    <r>
      <rPr>
        <b val="true"/>
        <sz val="10"/>
        <color rgb="FFFFFFFF"/>
        <rFont val="Noto Sans CJK SC"/>
        <family val="2"/>
      </rPr>
      <t xml:space="preserve">区间下限</t>
    </r>
  </si>
  <si>
    <r>
      <rPr>
        <b val="true"/>
        <sz val="10"/>
        <color rgb="FFFFFFFF"/>
        <rFont val="Arial"/>
        <family val="0"/>
        <charset val="1"/>
      </rPr>
      <t xml:space="preserve">95% </t>
    </r>
    <r>
      <rPr>
        <b val="true"/>
        <sz val="10"/>
        <color rgb="FFFFFFFF"/>
        <rFont val="Noto Sans CJK SC"/>
        <family val="2"/>
      </rPr>
      <t xml:space="preserve">区间上限</t>
    </r>
  </si>
  <si>
    <t xml:space="preserve">S0</t>
  </si>
  <si>
    <t xml:space="preserve">S2</t>
  </si>
  <si>
    <r>
      <rPr>
        <i val="true"/>
        <sz val="9"/>
        <color rgb="FF555555"/>
        <rFont val="Arial"/>
        <family val="0"/>
        <charset val="1"/>
      </rPr>
      <t xml:space="preserve">S0 = </t>
    </r>
    <r>
      <rPr>
        <i val="true"/>
        <sz val="9"/>
        <color rgb="FF555555"/>
        <rFont val="Noto Sans CJK SC"/>
        <family val="2"/>
      </rPr>
      <t xml:space="preserve">无干扰；</t>
    </r>
    <r>
      <rPr>
        <i val="true"/>
        <sz val="9"/>
        <color rgb="FF555555"/>
        <rFont val="Arial"/>
        <family val="0"/>
        <charset val="1"/>
      </rPr>
      <t xml:space="preserve">S2 = </t>
    </r>
    <r>
      <rPr>
        <i val="true"/>
        <sz val="9"/>
        <color rgb="FF555555"/>
        <rFont val="Noto Sans CJK SC"/>
        <family val="2"/>
      </rPr>
      <t xml:space="preserve">局部邻频干扰（</t>
    </r>
    <r>
      <rPr>
        <i val="true"/>
        <sz val="9"/>
        <color rgb="FF555555"/>
        <rFont val="Arial"/>
        <family val="0"/>
        <charset val="1"/>
      </rPr>
      <t xml:space="preserve">+0.18 Hz</t>
    </r>
    <r>
      <rPr>
        <i val="true"/>
        <sz val="9"/>
        <color rgb="FF555555"/>
        <rFont val="Noto Sans CJK SC"/>
        <family val="2"/>
      </rPr>
      <t xml:space="preserve">，持续 </t>
    </r>
    <r>
      <rPr>
        <i val="true"/>
        <sz val="9"/>
        <color rgb="FF555555"/>
        <rFont val="Arial"/>
        <family val="0"/>
        <charset val="1"/>
      </rPr>
      <t xml:space="preserve">20 s</t>
    </r>
    <r>
      <rPr>
        <i val="true"/>
        <sz val="9"/>
        <color rgb="FF555555"/>
        <rFont val="Noto Sans CJK SC"/>
        <family val="2"/>
      </rPr>
      <t xml:space="preserve">）。区间为 </t>
    </r>
    <r>
      <rPr>
        <i val="true"/>
        <sz val="9"/>
        <color rgb="FF555555"/>
        <rFont val="Arial"/>
        <family val="0"/>
        <charset val="1"/>
      </rPr>
      <t xml:space="preserve">Python </t>
    </r>
    <r>
      <rPr>
        <i val="true"/>
        <sz val="9"/>
        <color rgb="FF555555"/>
        <rFont val="Noto Sans CJK SC"/>
        <family val="2"/>
      </rPr>
      <t xml:space="preserve">计算后填入的固定值（见 </t>
    </r>
    <r>
      <rPr>
        <i val="true"/>
        <sz val="9"/>
        <color rgb="FF555555"/>
        <rFont val="Arial"/>
        <family val="0"/>
        <charset val="1"/>
      </rPr>
      <t xml:space="preserve">G5 </t>
    </r>
    <r>
      <rPr>
        <i val="true"/>
        <sz val="9"/>
        <color rgb="FF555555"/>
        <rFont val="Noto Sans CJK SC"/>
        <family val="2"/>
      </rPr>
      <t xml:space="preserve">批注），不随数据表变化。</t>
    </r>
  </si>
  <si>
    <r>
      <rPr>
        <b val="true"/>
        <sz val="10"/>
        <rFont val="Arial"/>
        <family val="0"/>
        <charset val="1"/>
      </rPr>
      <t xml:space="preserve">(b) </t>
    </r>
    <r>
      <rPr>
        <b val="true"/>
        <sz val="10"/>
        <rFont val="Noto Sans CJK SC"/>
        <family val="2"/>
      </rPr>
      <t xml:space="preserve">逐场景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信噪比</t>
    </r>
  </si>
  <si>
    <r>
      <rPr>
        <b val="true"/>
        <sz val="10"/>
        <color rgb="FFFFFFFF"/>
        <rFont val="Noto Sans CJK SC"/>
        <family val="2"/>
      </rPr>
      <t xml:space="preserve">信噪比</t>
    </r>
    <r>
      <rPr>
        <b val="true"/>
        <sz val="10"/>
        <color rgb="FFFFFFFF"/>
        <rFont val="Arial"/>
        <family val="0"/>
        <charset val="1"/>
      </rPr>
      <t xml:space="preserve">/dB</t>
    </r>
  </si>
  <si>
    <r>
      <rPr>
        <b val="true"/>
        <sz val="10"/>
        <color rgb="FFFFFFFF"/>
        <rFont val="Arial"/>
        <family val="0"/>
        <charset val="1"/>
      </rPr>
      <t xml:space="preserve">VIT–LPS </t>
    </r>
    <r>
      <rPr>
        <b val="true"/>
        <sz val="10"/>
        <color rgb="FFFFFFFF"/>
        <rFont val="Noto Sans CJK SC"/>
        <family val="2"/>
      </rPr>
      <t xml:space="preserve">修正前 </t>
    </r>
    <r>
      <rPr>
        <b val="true"/>
        <sz val="10"/>
        <color rgb="FFFFFFFF"/>
        <rFont val="Arial"/>
        <family val="0"/>
        <charset val="1"/>
      </rPr>
      <t xml:space="preserve">η</t>
    </r>
  </si>
  <si>
    <r>
      <rPr>
        <b val="true"/>
        <sz val="10"/>
        <color rgb="FFFFFFFF"/>
        <rFont val="Arial"/>
        <family val="0"/>
        <charset val="1"/>
      </rPr>
      <t xml:space="preserve">PC-TBD+</t>
    </r>
    <r>
      <rPr>
        <b val="true"/>
        <sz val="10"/>
        <color rgb="FFFFFFFF"/>
        <rFont val="Noto Sans CJK SC"/>
        <family val="2"/>
      </rPr>
      <t xml:space="preserve">模块 </t>
    </r>
    <r>
      <rPr>
        <b val="true"/>
        <sz val="10"/>
        <color rgb="FFFFFFFF"/>
        <rFont val="Arial"/>
        <family val="0"/>
        <charset val="1"/>
      </rPr>
      <t xml:space="preserve">η</t>
    </r>
  </si>
  <si>
    <r>
      <rPr>
        <b val="true"/>
        <sz val="10"/>
        <color rgb="FFFFFFFF"/>
        <rFont val="Arial"/>
        <family val="0"/>
        <charset val="1"/>
      </rPr>
      <t xml:space="preserve">VIT–LPS </t>
    </r>
    <r>
      <rPr>
        <b val="true"/>
        <sz val="10"/>
        <color rgb="FFFFFFFF"/>
        <rFont val="Noto Sans CJK SC"/>
        <family val="2"/>
      </rPr>
      <t xml:space="preserve">跟住比例</t>
    </r>
  </si>
  <si>
    <r>
      <rPr>
        <b val="true"/>
        <sz val="10"/>
        <color rgb="FFFFFFFF"/>
        <rFont val="Arial"/>
        <family val="0"/>
        <charset val="1"/>
      </rPr>
      <t xml:space="preserve">PC-TBD </t>
    </r>
    <r>
      <rPr>
        <b val="true"/>
        <sz val="10"/>
        <color rgb="FFFFFFFF"/>
        <rFont val="Noto Sans CJK SC"/>
        <family val="2"/>
      </rPr>
      <t xml:space="preserve">跟住比例</t>
    </r>
  </si>
  <si>
    <r>
      <rPr>
        <b val="true"/>
        <sz val="13"/>
        <rFont val="Arial"/>
        <family val="0"/>
        <charset val="1"/>
      </rPr>
      <t xml:space="preserve">SWellEx-96 </t>
    </r>
    <r>
      <rPr>
        <b val="true"/>
        <sz val="13"/>
        <rFont val="Noto Sans CJK SC"/>
        <family val="2"/>
      </rPr>
      <t xml:space="preserve">实测：各链路的绝对谱峰</t>
    </r>
  </si>
  <si>
    <r>
      <rPr>
        <i val="true"/>
        <sz val="9"/>
        <color rgb="FF555555"/>
        <rFont val="Noto Sans CJK SC"/>
        <family val="2"/>
      </rPr>
      <t xml:space="preserve">数值取自 </t>
    </r>
    <r>
      <rPr>
        <i val="true"/>
        <sz val="9"/>
        <color rgb="FF555555"/>
        <rFont val="Arial"/>
        <family val="0"/>
        <charset val="1"/>
      </rPr>
      <t xml:space="preserve">phaseD/X3_real/X3_cases.csv </t>
    </r>
    <r>
      <rPr>
        <i val="true"/>
        <sz val="9"/>
        <color rgb="FF555555"/>
        <rFont val="Noto Sans CJK SC"/>
        <family val="2"/>
      </rPr>
      <t xml:space="preserve">的 </t>
    </r>
    <r>
      <rPr>
        <i val="true"/>
        <sz val="9"/>
        <color rgb="FF555555"/>
        <rFont val="Arial"/>
        <family val="0"/>
        <charset val="1"/>
      </rPr>
      <t xml:space="preserve">peak_relative_periodogram_db</t>
    </r>
    <r>
      <rPr>
        <i val="true"/>
        <sz val="9"/>
        <color rgb="FF555555"/>
        <rFont val="Noto Sans CJK SC"/>
        <family val="2"/>
      </rPr>
      <t xml:space="preserve">（以同一案例未补偿周期图在 </t>
    </r>
    <r>
      <rPr>
        <i val="true"/>
        <sz val="9"/>
        <color rgb="FF555555"/>
        <rFont val="Arial"/>
        <family val="0"/>
        <charset val="1"/>
      </rPr>
      <t xml:space="preserve">±1.5 Hz </t>
    </r>
    <r>
      <rPr>
        <i val="true"/>
        <sz val="9"/>
        <color rgb="FF555555"/>
        <rFont val="Noto Sans CJK SC"/>
        <family val="2"/>
      </rPr>
      <t xml:space="preserve">搜索带内最大值为 </t>
    </r>
    <r>
      <rPr>
        <i val="true"/>
        <sz val="9"/>
        <color rgb="FF555555"/>
        <rFont val="Arial"/>
        <family val="0"/>
        <charset val="1"/>
      </rPr>
      <t xml:space="preserve">0 dB</t>
    </r>
    <r>
      <rPr>
        <i val="true"/>
        <sz val="9"/>
        <color rgb="FF555555"/>
        <rFont val="Noto Sans CJK SC"/>
        <family val="2"/>
      </rPr>
      <t xml:space="preserve">）。</t>
    </r>
  </si>
  <si>
    <r>
      <rPr>
        <b val="true"/>
        <sz val="10"/>
        <color rgb="FFFFFFFF"/>
        <rFont val="Noto Sans CJK SC"/>
        <family val="2"/>
      </rPr>
      <t xml:space="preserve">频点</t>
    </r>
    <r>
      <rPr>
        <b val="true"/>
        <sz val="10"/>
        <color rgb="FFFFFFFF"/>
        <rFont val="Arial"/>
        <family val="0"/>
        <charset val="1"/>
      </rPr>
      <t xml:space="preserve">/Hz</t>
    </r>
  </si>
  <si>
    <r>
      <rPr>
        <b val="true"/>
        <sz val="10"/>
        <color rgb="FFFFFFFF"/>
        <rFont val="Noto Sans CJK SC"/>
        <family val="2"/>
      </rPr>
      <t xml:space="preserve">时段</t>
    </r>
    <r>
      <rPr>
        <b val="true"/>
        <sz val="10"/>
        <color rgb="FFFFFFFF"/>
        <rFont val="Arial"/>
        <family val="0"/>
        <charset val="1"/>
      </rPr>
      <t xml:space="preserve">/s</t>
    </r>
  </si>
  <si>
    <t xml:space="preserve">LPS</t>
  </si>
  <si>
    <r>
      <rPr>
        <b val="true"/>
        <sz val="10"/>
        <color rgb="FFFFFFFF"/>
        <rFont val="Arial"/>
        <family val="0"/>
        <charset val="1"/>
      </rPr>
      <t xml:space="preserve">VIT–LPS+</t>
    </r>
    <r>
      <rPr>
        <b val="true"/>
        <sz val="10"/>
        <color rgb="FFFFFFFF"/>
        <rFont val="Noto Sans CJK SC"/>
        <family val="2"/>
      </rPr>
      <t xml:space="preserve">模块</t>
    </r>
  </si>
  <si>
    <t xml:space="preserve">PC-TBD</t>
  </si>
  <si>
    <r>
      <rPr>
        <b val="true"/>
        <sz val="10"/>
        <color rgb="FFFFFFFF"/>
        <rFont val="Noto Sans CJK SC"/>
        <family val="2"/>
      </rPr>
      <t xml:space="preserve">差值（模块链路 − </t>
    </r>
    <r>
      <rPr>
        <b val="true"/>
        <sz val="10"/>
        <color rgb="FFFFFFFF"/>
        <rFont val="Arial"/>
        <family val="0"/>
        <charset val="1"/>
      </rPr>
      <t xml:space="preserve">PC-TBD</t>
    </r>
    <r>
      <rPr>
        <b val="true"/>
        <sz val="10"/>
        <color rgb="FFFFFFFF"/>
        <rFont val="Noto Sans CJK SC"/>
        <family val="2"/>
      </rPr>
      <t xml:space="preserve">）</t>
    </r>
    <r>
      <rPr>
        <b val="true"/>
        <sz val="10"/>
        <color rgb="FFFFFFFF"/>
        <rFont val="Arial"/>
        <family val="0"/>
        <charset val="1"/>
      </rPr>
      <t xml:space="preserve">/dB</t>
    </r>
  </si>
  <si>
    <r>
      <rPr>
        <b val="true"/>
        <sz val="10"/>
        <color rgb="FFFFFFFF"/>
        <rFont val="Arial"/>
        <family val="0"/>
        <charset val="1"/>
      </rPr>
      <t xml:space="preserve">PC-TBD+</t>
    </r>
    <r>
      <rPr>
        <b val="true"/>
        <sz val="10"/>
        <color rgb="FFFFFFFF"/>
        <rFont val="Noto Sans CJK SC"/>
        <family val="2"/>
      </rPr>
      <t xml:space="preserve">模块</t>
    </r>
  </si>
  <si>
    <r>
      <rPr>
        <b val="true"/>
        <sz val="10"/>
        <color rgb="FFFFFFFF"/>
        <rFont val="Arial"/>
        <family val="0"/>
        <charset val="1"/>
      </rPr>
      <t xml:space="preserve">VIT </t>
    </r>
    <r>
      <rPr>
        <b val="true"/>
        <sz val="10"/>
        <color rgb="FFFFFFFF"/>
        <rFont val="Noto Sans CJK SC"/>
        <family val="2"/>
      </rPr>
      <t xml:space="preserve">前端状态（修订稿表 </t>
    </r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</si>
  <si>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600–900</t>
  </si>
  <si>
    <t xml:space="preserve">沿筛选脊线</t>
  </si>
  <si>
    <t xml:space="preserve">900–1200</t>
  </si>
  <si>
    <t xml:space="preserve">1200–1500</t>
  </si>
  <si>
    <t xml:space="preserve">1500–1800</t>
  </si>
  <si>
    <t xml:space="preserve">1800–2100</t>
  </si>
  <si>
    <t xml:space="preserve">停在频带下沿（丢线）</t>
  </si>
  <si>
    <t xml:space="preserve">0–300</t>
  </si>
  <si>
    <t xml:space="preserve">停在频带上沿（丢线）</t>
  </si>
  <si>
    <r>
      <rPr>
        <b val="true"/>
        <sz val="10"/>
        <rFont val="Arial"/>
        <family val="0"/>
        <charset val="1"/>
      </rPr>
      <t xml:space="preserve">100 Hz </t>
    </r>
    <r>
      <rPr>
        <b val="true"/>
        <sz val="10"/>
        <rFont val="Noto Sans CJK SC"/>
        <family val="2"/>
      </rPr>
      <t xml:space="preserve">五段</t>
    </r>
  </si>
  <si>
    <t xml:space="preserve">中位数</t>
  </si>
  <si>
    <r>
      <rPr>
        <i val="true"/>
        <sz val="9"/>
        <color rgb="FF555555"/>
        <rFont val="Noto Sans CJK SC"/>
        <family val="2"/>
      </rPr>
      <t xml:space="preserve">列名对应仓库方法代码：</t>
    </r>
    <r>
      <rPr>
        <i val="true"/>
        <sz val="9"/>
        <color rgb="FF555555"/>
        <rFont val="Arial"/>
        <family val="0"/>
        <charset val="1"/>
      </rPr>
      <t xml:space="preserve">LPS = SMR</t>
    </r>
    <r>
      <rPr>
        <i val="true"/>
        <sz val="9"/>
        <color rgb="FF555555"/>
        <rFont val="Noto Sans CJK SC"/>
        <family val="2"/>
      </rPr>
      <t xml:space="preserve">，</t>
    </r>
    <r>
      <rPr>
        <i val="true"/>
        <sz val="9"/>
        <color rgb="FF555555"/>
        <rFont val="Arial"/>
        <family val="0"/>
        <charset val="1"/>
      </rPr>
      <t xml:space="preserve">VIT–LPS+</t>
    </r>
    <r>
      <rPr>
        <i val="true"/>
        <sz val="9"/>
        <color rgb="FF555555"/>
        <rFont val="Noto Sans CJK SC"/>
        <family val="2"/>
      </rPr>
      <t xml:space="preserve">模块 </t>
    </r>
    <r>
      <rPr>
        <i val="true"/>
        <sz val="9"/>
        <color rgb="FF555555"/>
        <rFont val="Arial"/>
        <family val="0"/>
        <charset val="1"/>
      </rPr>
      <t xml:space="preserve">= VS_FM</t>
    </r>
    <r>
      <rPr>
        <i val="true"/>
        <sz val="9"/>
        <color rgb="FF555555"/>
        <rFont val="Noto Sans CJK SC"/>
        <family val="2"/>
      </rPr>
      <t xml:space="preserve">（含自适应扩张），</t>
    </r>
    <r>
      <rPr>
        <i val="true"/>
        <sz val="9"/>
        <color rgb="FF555555"/>
        <rFont val="Arial"/>
        <family val="0"/>
        <charset val="1"/>
      </rPr>
      <t xml:space="preserve">PC-TBD = SUV</t>
    </r>
    <r>
      <rPr>
        <i val="true"/>
        <sz val="9"/>
        <color rgb="FF555555"/>
        <rFont val="Noto Sans CJK SC"/>
        <family val="2"/>
      </rPr>
      <t xml:space="preserve">，</t>
    </r>
    <r>
      <rPr>
        <i val="true"/>
        <sz val="9"/>
        <color rgb="FF555555"/>
        <rFont val="Arial"/>
        <family val="0"/>
        <charset val="1"/>
      </rPr>
      <t xml:space="preserve">PC-TBD+</t>
    </r>
    <r>
      <rPr>
        <i val="true"/>
        <sz val="9"/>
        <color rgb="FF555555"/>
        <rFont val="Noto Sans CJK SC"/>
        <family val="2"/>
      </rPr>
      <t xml:space="preserve">模块 </t>
    </r>
    <r>
      <rPr>
        <i val="true"/>
        <sz val="9"/>
        <color rgb="FF555555"/>
        <rFont val="Arial"/>
        <family val="0"/>
        <charset val="1"/>
      </rPr>
      <t xml:space="preserve">= SUV_FM</t>
    </r>
    <r>
      <rPr>
        <i val="true"/>
        <sz val="9"/>
        <color rgb="FF555555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</si>
  <si>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300 s </t>
    </r>
    <r>
      <rPr>
        <b val="true"/>
        <sz val="13"/>
        <rFont val="Noto Sans CJK SC"/>
        <family val="2"/>
      </rPr>
      <t xml:space="preserve">记录的中位耗时（</t>
    </r>
    <r>
      <rPr>
        <b val="true"/>
        <sz val="13"/>
        <rFont val="Arial"/>
        <family val="0"/>
        <charset val="1"/>
      </rPr>
      <t xml:space="preserve">X2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1400 </t>
    </r>
    <r>
      <rPr>
        <b val="true"/>
        <sz val="13"/>
        <rFont val="Noto Sans CJK SC"/>
        <family val="2"/>
      </rPr>
      <t xml:space="preserve">条，</t>
    </r>
    <r>
      <rPr>
        <b val="true"/>
        <sz val="13"/>
        <rFont val="Arial"/>
        <family val="0"/>
        <charset val="1"/>
      </rPr>
      <t xml:space="preserve">6 </t>
    </r>
    <r>
      <rPr>
        <b val="true"/>
        <sz val="13"/>
        <rFont val="Noto Sans CJK SC"/>
        <family val="2"/>
      </rPr>
      <t xml:space="preserve">进程并发墙钟时间）</t>
    </r>
  </si>
  <si>
    <t xml:space="preserve">链路</t>
  </si>
  <si>
    <r>
      <rPr>
        <b val="true"/>
        <sz val="10"/>
        <color rgb="FFFFFFFF"/>
        <rFont val="Noto Sans CJK SC"/>
        <family val="2"/>
      </rPr>
      <t xml:space="preserve">前端中位耗时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</si>
  <si>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Noto Sans CJK SC"/>
        <family val="2"/>
      </rPr>
      <t xml:space="preserve">模块中位耗时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</si>
  <si>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Noto Sans CJK SC"/>
        <family val="2"/>
      </rPr>
      <t xml:space="preserve">链路合计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</si>
  <si>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rFont val="Arial"/>
        <family val="0"/>
        <charset val="1"/>
      </rPr>
      <t xml:space="preserve">VIT–LPS+</t>
    </r>
    <r>
      <rPr>
        <b val="true"/>
        <sz val="10"/>
        <rFont val="Noto Sans CJK SC"/>
        <family val="2"/>
      </rPr>
      <t xml:space="preserve">模块</t>
    </r>
  </si>
  <si>
    <r>
      <rPr>
        <b val="true"/>
        <sz val="10"/>
        <rFont val="Arial"/>
        <family val="0"/>
        <charset val="1"/>
      </rPr>
      <t xml:space="preserve">PC-TBD+</t>
    </r>
    <r>
      <rPr>
        <b val="true"/>
        <sz val="10"/>
        <rFont val="Noto Sans CJK SC"/>
        <family val="2"/>
      </rPr>
      <t xml:space="preserve">模块</t>
    </r>
  </si>
  <si>
    <r>
      <rPr>
        <b val="true"/>
        <sz val="10"/>
        <rFont val="Arial"/>
        <family val="0"/>
        <charset val="1"/>
      </rPr>
      <t xml:space="preserve">PC-TBD </t>
    </r>
    <r>
      <rPr>
        <b val="true"/>
        <sz val="10"/>
        <rFont val="Noto Sans CJK SC"/>
        <family val="2"/>
      </rPr>
      <t xml:space="preserve">单独</t>
    </r>
  </si>
  <si>
    <t xml:space="preserve">前端耗时含共用的分帧匹配与噪声尺度估计；链路合计为两个中位数之和，与逐条合计的中位数略有差别。</t>
  </si>
  <si>
    <t xml:space="preserve">记录编号</t>
  </si>
  <si>
    <t xml:space="preserve">随机种子</t>
  </si>
  <si>
    <r>
      <rPr>
        <b val="true"/>
        <sz val="10"/>
        <color rgb="FFFFFFFF"/>
        <rFont val="Arial"/>
        <family val="0"/>
        <charset val="1"/>
      </rPr>
      <t xml:space="preserve">VIT–LPS </t>
    </r>
    <r>
      <rPr>
        <b val="true"/>
        <sz val="10"/>
        <color rgb="FFFFFFFF"/>
        <rFont val="Noto Sans CJK SC"/>
        <family val="2"/>
      </rPr>
      <t xml:space="preserve">跟住</t>
    </r>
    <r>
      <rPr>
        <b val="true"/>
        <sz val="10"/>
        <color rgb="FFFFFFFF"/>
        <rFont val="Arial"/>
        <family val="0"/>
        <charset val="1"/>
      </rPr>
      <t xml:space="preserve">(1/0)</t>
    </r>
  </si>
  <si>
    <r>
      <rPr>
        <b val="true"/>
        <sz val="10"/>
        <color rgb="FFFFFFFF"/>
        <rFont val="Arial"/>
        <family val="0"/>
        <charset val="1"/>
      </rPr>
      <t xml:space="preserve">PC-TBD </t>
    </r>
    <r>
      <rPr>
        <b val="true"/>
        <sz val="10"/>
        <color rgb="FFFFFFFF"/>
        <rFont val="Noto Sans CJK SC"/>
        <family val="2"/>
      </rPr>
      <t xml:space="preserve">跟住</t>
    </r>
    <r>
      <rPr>
        <b val="true"/>
        <sz val="10"/>
        <color rgb="FFFFFFFF"/>
        <rFont val="Arial"/>
        <family val="0"/>
        <charset val="1"/>
      </rPr>
      <t xml:space="preserve">(1/0)</t>
    </r>
  </si>
  <si>
    <t xml:space="preserve">跟住分组</t>
  </si>
  <si>
    <r>
      <rPr>
        <b val="true"/>
        <sz val="10"/>
        <color rgb="FFFFFFFF"/>
        <rFont val="Arial"/>
        <family val="0"/>
        <charset val="1"/>
      </rPr>
      <t xml:space="preserve">VIT–LPS+</t>
    </r>
    <r>
      <rPr>
        <b val="true"/>
        <sz val="10"/>
        <color rgb="FFFFFFFF"/>
        <rFont val="Noto Sans CJK SC"/>
        <family val="2"/>
      </rPr>
      <t xml:space="preserve">模块 − </t>
    </r>
    <r>
      <rPr>
        <b val="true"/>
        <sz val="10"/>
        <color rgb="FFFFFFFF"/>
        <rFont val="Arial"/>
        <family val="0"/>
        <charset val="1"/>
      </rPr>
      <t xml:space="preserve">PC-TBD</t>
    </r>
  </si>
  <si>
    <r>
      <rPr>
        <b val="true"/>
        <sz val="10"/>
        <color rgb="FFFFFFFF"/>
        <rFont val="Noto Sans CJK SC"/>
        <family val="2"/>
      </rPr>
      <t xml:space="preserve">共用分帧耗时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</si>
  <si>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Arial"/>
        <family val="0"/>
        <charset val="1"/>
      </rPr>
      <t xml:space="preserve">VIT </t>
    </r>
    <r>
      <rPr>
        <b val="true"/>
        <sz val="10"/>
        <color rgb="FFFFFFFF"/>
        <rFont val="Noto Sans CJK SC"/>
        <family val="2"/>
      </rPr>
      <t xml:space="preserve">耗时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</si>
  <si>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Arial"/>
        <family val="0"/>
        <charset val="1"/>
      </rPr>
      <t xml:space="preserve">LPS </t>
    </r>
    <r>
      <rPr>
        <b val="true"/>
        <sz val="10"/>
        <color rgb="FFFFFFFF"/>
        <rFont val="Noto Sans CJK SC"/>
        <family val="2"/>
      </rPr>
      <t xml:space="preserve">耗时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</si>
  <si>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Arial"/>
        <family val="0"/>
        <charset val="1"/>
      </rPr>
      <t xml:space="preserve">PC-TBD </t>
    </r>
    <r>
      <rPr>
        <b val="true"/>
        <sz val="10"/>
        <color rgb="FFFFFFFF"/>
        <rFont val="Noto Sans CJK SC"/>
        <family val="2"/>
      </rPr>
      <t xml:space="preserve">耗时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</si>
  <si>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Noto Sans CJK SC"/>
        <family val="2"/>
      </rPr>
      <t xml:space="preserve">模块耗时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接 </t>
    </r>
    <r>
      <rPr>
        <b val="true"/>
        <sz val="10"/>
        <color rgb="FFFFFFFF"/>
        <rFont val="Arial"/>
        <family val="0"/>
        <charset val="1"/>
      </rPr>
      <t xml:space="preserve">VIT–LPS)/s</t>
    </r>
  </si>
  <si>
    <r>
      <rPr>
        <b val="true"/>
        <sz val="10"/>
        <color rgb="FFFFFFFF"/>
        <rFont val="Noto Sans CJK SC"/>
        <family val="2"/>
      </rPr>
      <t xml:space="preserve">模块耗时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接 </t>
    </r>
    <r>
      <rPr>
        <b val="true"/>
        <sz val="10"/>
        <color rgb="FFFFFFFF"/>
        <rFont val="Arial"/>
        <family val="0"/>
        <charset val="1"/>
      </rPr>
      <t xml:space="preserve">PC-TBD)/s</t>
    </r>
  </si>
  <si>
    <r>
      <rPr>
        <b val="true"/>
        <sz val="10"/>
        <color rgb="FFFFFFFF"/>
        <rFont val="Arial"/>
        <family val="0"/>
        <charset val="1"/>
      </rPr>
      <t xml:space="preserve">VIT–LPS </t>
    </r>
    <r>
      <rPr>
        <b val="true"/>
        <sz val="10"/>
        <color rgb="FFFFFFFF"/>
        <rFont val="Noto Sans CJK SC"/>
        <family val="2"/>
      </rPr>
      <t xml:space="preserve">前端合计</t>
    </r>
    <r>
      <rPr>
        <b val="true"/>
        <sz val="10"/>
        <color rgb="FFFFFFFF"/>
        <rFont val="Arial"/>
        <family val="0"/>
        <charset val="1"/>
      </rPr>
      <t xml:space="preserve">/s</t>
    </r>
  </si>
  <si>
    <r>
      <rPr>
        <b val="true"/>
        <sz val="10"/>
        <color rgb="FFFFFFFF"/>
        <rFont val="Arial"/>
        <family val="0"/>
        <charset val="1"/>
      </rPr>
      <t xml:space="preserve">PC-TBD </t>
    </r>
    <r>
      <rPr>
        <b val="true"/>
        <sz val="10"/>
        <color rgb="FFFFFFFF"/>
        <rFont val="Noto Sans CJK SC"/>
        <family val="2"/>
      </rPr>
      <t xml:space="preserve">前端合计</t>
    </r>
    <r>
      <rPr>
        <b val="true"/>
        <sz val="10"/>
        <color rgb="FFFFFFFF"/>
        <rFont val="Arial"/>
        <family val="0"/>
        <charset val="1"/>
      </rPr>
      <t xml:space="preserve">/s</t>
    </r>
  </si>
  <si>
    <t xml:space="preserve">数据来源、定义与图例</t>
  </si>
  <si>
    <t xml:space="preserve">项目</t>
  </si>
  <si>
    <t xml:space="preserve">内容</t>
  </si>
  <si>
    <t xml:space="preserve">数据来源</t>
  </si>
  <si>
    <r>
      <rPr>
        <sz val="10"/>
        <rFont val="Arial"/>
        <family val="0"/>
        <charset val="1"/>
      </rPr>
      <t xml:space="preserve">GitHub </t>
    </r>
    <r>
      <rPr>
        <sz val="10"/>
        <rFont val="Noto Sans CJK SC"/>
        <family val="2"/>
      </rPr>
      <t xml:space="preserve">仓库 </t>
    </r>
    <r>
      <rPr>
        <sz val="10"/>
        <rFont val="Arial"/>
        <family val="0"/>
        <charset val="1"/>
      </rPr>
      <t xml:space="preserve">PaperDiamond448/acoustic-trajectory-autofocus-paper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phaseD/X2_frontend/X2_records.csv</t>
    </r>
    <r>
      <rPr>
        <sz val="10"/>
        <rFont val="Noto Sans CJK SC"/>
        <family val="2"/>
      </rPr>
      <t xml:space="preserve">（仿真跨前端实验），</t>
    </r>
    <r>
      <rPr>
        <sz val="10"/>
        <rFont val="Arial"/>
        <family val="0"/>
        <charset val="1"/>
      </rPr>
      <t xml:space="preserve">phaseD/X3_real/X3_cases.csv</t>
    </r>
    <r>
      <rPr>
        <sz val="10"/>
        <rFont val="Noto Sans CJK SC"/>
        <family val="2"/>
      </rPr>
      <t xml:space="preserve">（实测）。仓库文件未作任何改动。</t>
    </r>
  </si>
  <si>
    <t xml:space="preserve">前端代码</t>
  </si>
  <si>
    <r>
      <rPr>
        <sz val="10"/>
        <rFont val="Arial"/>
        <family val="0"/>
        <charset val="1"/>
      </rPr>
      <t xml:space="preserve">VS = VIT–LPS</t>
    </r>
    <r>
      <rPr>
        <sz val="10"/>
        <rFont val="Noto Sans CJK SC"/>
        <family val="2"/>
      </rPr>
      <t xml:space="preserve">（主链路），</t>
    </r>
    <r>
      <rPr>
        <sz val="10"/>
        <rFont val="Arial"/>
        <family val="0"/>
        <charset val="1"/>
      </rPr>
      <t xml:space="preserve">SUV = </t>
    </r>
    <r>
      <rPr>
        <sz val="10"/>
        <rFont val="Noto Sans CJK SC"/>
        <family val="2"/>
      </rPr>
      <t xml:space="preserve">本文单通道相位连续 </t>
    </r>
    <r>
      <rPr>
        <sz val="10"/>
        <rFont val="Arial"/>
        <family val="0"/>
        <charset val="1"/>
      </rPr>
      <t xml:space="preserve">TBD</t>
    </r>
    <r>
      <rPr>
        <sz val="10"/>
        <rFont val="Noto Sans CJK SC"/>
        <family val="2"/>
      </rPr>
      <t xml:space="preserve">（含相位差频率读出）。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模块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指完整修正方法（含自适应扩张，</t>
    </r>
    <r>
      <rPr>
        <sz val="10"/>
        <rFont val="Arial"/>
        <family val="0"/>
        <charset val="1"/>
      </rPr>
      <t xml:space="preserve">ADA_local_c04_t30_A</t>
    </r>
    <r>
      <rPr>
        <sz val="10"/>
        <rFont val="Noto Sans CJK SC"/>
        <family val="2"/>
      </rPr>
      <t xml:space="preserve">）。</t>
    </r>
  </si>
  <si>
    <t xml:space="preserve">η</t>
  </si>
  <si>
    <r>
      <rPr>
        <sz val="10"/>
        <rFont val="Noto Sans CJK SC"/>
        <family val="2"/>
      </rPr>
      <t xml:space="preserve">相干效率（修订稿式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），仿真中由已知目标分量计算。</t>
    </r>
  </si>
  <si>
    <t xml:space="preserve">跟住判据</t>
  </si>
  <si>
    <r>
      <rPr>
        <sz val="10"/>
        <rFont val="Arial"/>
        <family val="0"/>
        <charset val="1"/>
      </rPr>
      <t xml:space="preserve">input_usable</t>
    </r>
    <r>
      <rPr>
        <sz val="10"/>
        <rFont val="Noto Sans CJK SC"/>
        <family val="2"/>
      </rPr>
      <t xml:space="preserve">：去掉平均偏差后，至少 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的时间与真实轨迹相差不超过 </t>
    </r>
    <r>
      <rPr>
        <sz val="10"/>
        <rFont val="Arial"/>
        <family val="0"/>
        <charset val="1"/>
      </rPr>
      <t xml:space="preserve">0.1 Hz</t>
    </r>
    <r>
      <rPr>
        <sz val="10"/>
        <rFont val="Noto Sans CJK SC"/>
        <family val="2"/>
      </rPr>
      <t xml:space="preserve">。见仓库 </t>
    </r>
    <r>
      <rPr>
        <sz val="10"/>
        <rFont val="Arial"/>
        <family val="0"/>
        <charset val="1"/>
      </rPr>
      <t xml:space="preserve">codeX/phaseX2_one.m</t>
    </r>
    <r>
      <rPr>
        <sz val="10"/>
        <rFont val="Noto Sans CJK SC"/>
        <family val="2"/>
      </rPr>
      <t xml:space="preserve">。</t>
    </r>
  </si>
  <si>
    <t xml:space="preserve">仿真设置</t>
  </si>
  <si>
    <r>
      <rPr>
        <sz val="10"/>
        <rFont val="Arial"/>
        <family val="0"/>
        <charset val="1"/>
      </rPr>
      <t xml:space="preserve">300 s </t>
    </r>
    <r>
      <rPr>
        <sz val="10"/>
        <rFont val="Noto Sans CJK SC"/>
        <family val="2"/>
      </rPr>
      <t xml:space="preserve">记录；场景 </t>
    </r>
    <r>
      <rPr>
        <sz val="10"/>
        <rFont val="Arial"/>
        <family val="0"/>
        <charset val="1"/>
      </rPr>
      <t xml:space="preserve">S0 </t>
    </r>
    <r>
      <rPr>
        <sz val="10"/>
        <rFont val="Noto Sans CJK SC"/>
        <family val="2"/>
      </rPr>
      <t xml:space="preserve">无干扰、</t>
    </r>
    <r>
      <rPr>
        <sz val="10"/>
        <rFont val="Arial"/>
        <family val="0"/>
        <charset val="1"/>
      </rPr>
      <t xml:space="preserve">S2 </t>
    </r>
    <r>
      <rPr>
        <sz val="10"/>
        <rFont val="Noto Sans CJK SC"/>
        <family val="2"/>
      </rPr>
      <t xml:space="preserve">局部邻频干扰；信噪比 −</t>
    </r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至 −</t>
    </r>
    <r>
      <rPr>
        <sz val="10"/>
        <rFont val="Arial"/>
        <family val="0"/>
        <charset val="1"/>
      </rPr>
      <t xml:space="preserve">8 dB</t>
    </r>
    <r>
      <rPr>
        <sz val="10"/>
        <rFont val="Noto Sans CJK SC"/>
        <family val="2"/>
      </rPr>
      <t xml:space="preserve">，间隔 </t>
    </r>
    <r>
      <rPr>
        <sz val="10"/>
        <rFont val="Arial"/>
        <family val="0"/>
        <charset val="1"/>
      </rPr>
      <t xml:space="preserve">2 dB</t>
    </r>
    <r>
      <rPr>
        <sz val="10"/>
        <rFont val="Noto Sans CJK SC"/>
        <family val="2"/>
      </rPr>
      <t xml:space="preserve">；每场景 </t>
    </r>
    <r>
      <rPr>
        <sz val="10"/>
        <rFont val="Arial"/>
        <family val="0"/>
        <charset val="1"/>
      </rPr>
      <t xml:space="preserve">100 </t>
    </r>
    <r>
      <rPr>
        <sz val="10"/>
        <rFont val="Noto Sans CJK SC"/>
        <family val="2"/>
      </rPr>
      <t xml:space="preserve">个种子，种子在各信噪比下共用。</t>
    </r>
  </si>
  <si>
    <t xml:space="preserve">统计口径</t>
  </si>
  <si>
    <r>
      <rPr>
        <sz val="10"/>
        <rFont val="Noto Sans CJK SC"/>
        <family val="2"/>
      </rPr>
      <t xml:space="preserve">本工作簿均为记录加权平均；</t>
    </r>
    <r>
      <rPr>
        <sz val="10"/>
        <rFont val="Arial"/>
        <family val="0"/>
        <charset val="1"/>
      </rPr>
      <t xml:space="preserve">X2 </t>
    </r>
    <r>
      <rPr>
        <sz val="10"/>
        <rFont val="Noto Sans CJK SC"/>
        <family val="2"/>
      </rPr>
      <t xml:space="preserve">各单元记录数相同，因此与论文的等权单元平均一致。重抽样区间在 </t>
    </r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中计算后作为固定值填入。</t>
    </r>
  </si>
  <si>
    <t xml:space="preserve">局限</t>
  </si>
  <si>
    <r>
      <rPr>
        <sz val="10"/>
        <rFont val="Noto Sans CJK SC"/>
        <family val="2"/>
      </rPr>
      <t xml:space="preserve">按跟住与否分组用到仿真真值，属事后描述性分解，正文中应与总平均一并报告。积累时长下的 </t>
    </r>
    <r>
      <rPr>
        <sz val="10"/>
        <rFont val="Arial"/>
        <family val="0"/>
        <charset val="1"/>
      </rPr>
      <t xml:space="preserve">PC-TBD </t>
    </r>
    <r>
      <rPr>
        <sz val="10"/>
        <rFont val="Noto Sans CJK SC"/>
        <family val="2"/>
      </rPr>
      <t xml:space="preserve">对比尚未做。</t>
    </r>
  </si>
  <si>
    <t xml:space="preserve">颜色图例</t>
  </si>
  <si>
    <r>
      <rPr>
        <sz val="10"/>
        <rFont val="Noto Sans CJK SC"/>
        <family val="2"/>
      </rPr>
      <t xml:space="preserve">蓝色字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从 </t>
    </r>
    <r>
      <rPr>
        <sz val="10"/>
        <rFont val="Arial"/>
        <family val="0"/>
        <charset val="1"/>
      </rPr>
      <t xml:space="preserve">CSV </t>
    </r>
    <r>
      <rPr>
        <sz val="10"/>
        <rFont val="Noto Sans CJK SC"/>
        <family val="2"/>
      </rPr>
      <t xml:space="preserve">或修订稿直接取的值；黑色字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公式；浅黄底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关键结果；浅蓝底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汇总行。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</si>
</sst>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.0%"/>
    <numFmt numFmtId="167" formatCode="0.000"/>
    <numFmt numFmtId="168" formatCode="\+0.000;\-0.000;0.000"/>
    <numFmt numFmtId="169" formatCode="0%"/>
    <numFmt numFmtId="170" formatCode="\+0.0000;\-0.0000;0.0000"/>
    <numFmt numFmtId="171" formatCode="0.00"/>
    <numFmt numFmtId="172" formatCode="\+0.00;\-0.00;0.00"/>
    <numFmt numFmtId="173" formatCode="0.0000"/>
    <numFmt numFmtId="174" formatCode="0.0000;\-0.0000;0.0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5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</row>
    <row r="5" customFormat="false" ht="48" hidden="false" customHeight="true" outlineLevel="0" collapsed="false">
      <c r="A5" s="5" t="n">
        <v>1</v>
      </c>
      <c r="B5" s="6" t="s">
        <v>6</v>
      </c>
      <c r="C5" s="6" t="str">
        <f aca="false">"两者都跟住 "&amp;TEXT(跟住分组!B5,"0")&amp;" 条（"&amp;TEXT(跟住分组!C5,"0.0%")&amp;"）：VIT–LPS+模块 "&amp;TEXT(跟住分组!D5,"0.000")&amp;"，PC-TBD "&amp;TEXT(跟住分组!E5,"0.000")&amp;"；该组占总差距 "&amp;TEXT(跟住分组!I5,"0%")</f>
        <v>两者都跟住 1169 条（83.5%）：VIT–LPS+模块 0.836，PC-TBD 0.836；该组占总差距 0%</v>
      </c>
      <c r="D5" s="6" t="s">
        <v>7</v>
      </c>
    </row>
    <row r="6" customFormat="false" ht="48" hidden="false" customHeight="true" outlineLevel="0" collapsed="false">
      <c r="A6" s="5" t="n">
        <v>2</v>
      </c>
      <c r="B6" s="6" t="s">
        <v>8</v>
      </c>
      <c r="C6" s="6" t="str">
        <f aca="false">"无干扰：模块链路高 "&amp;TEXT(分场景与信噪比!E6,"0.000")&amp;"；局部干扰：PC-TBD 高 "&amp;TEXT(-分场景与信噪比!E8,"0.000")&amp;"（种子成簇重抽样 95% 区间见该表）"</f>
        <v>无干扰：模块链路高 0.018；局部干扰：PC-TBD 高 0.020（种子成簇重抽样 95% 区间见该表）</v>
      </c>
      <c r="D6" s="6" t="s">
        <v>9</v>
      </c>
    </row>
    <row r="7" customFormat="false" ht="48" hidden="false" customHeight="true" outlineLevel="0" collapsed="false">
      <c r="A7" s="5" t="n">
        <v>3</v>
      </c>
      <c r="B7" s="6" t="s">
        <v>10</v>
      </c>
      <c r="C7" s="6" t="str">
        <f aca="false">"无干扰 −20 dB：VIT–LPS 跟住 "&amp;TEXT(分场景与信噪比!H14,"0%")&amp;"，PC-TBD 跟住 "&amp;TEXT(分场景与信噪比!I14,"0%")&amp;"；仅 PC-TBD 跟住的 "&amp;TEXT(跟住分组!B6,"0")&amp;" 条上差 "&amp;TEXT(-跟住分组!F6,"0.00")</f>
        <v>无干扰 −20 dB：VIT–LPS 跟住 17%，PC-TBD 跟住 82%；仅 PC-TBD 跟住的 79 条上差 0.54</v>
      </c>
      <c r="D7" s="6" t="str">
        <f aca="false">"这是 TBD 的检测跟踪能力，不在模块作用范围内。但局部干扰、−20 dB 时反而是 VIT–LPS 跟住更多（"&amp;TEXT(分场景与信噪比!H21,"0%")&amp;" vs "&amp;TEXT(分场景与信噪比!I21,"0%")&amp;"），捕获优势不能一概而论。"</f>
        <v>这是 TBD 的检测跟踪能力，不在模块作用范围内。但局部干扰、−20 dB 时反而是 VIT–LPS 跟住更多（55% vs 27%），捕获优势不能一概而论。</v>
      </c>
    </row>
    <row r="8" customFormat="false" ht="48" hidden="false" customHeight="true" outlineLevel="0" collapsed="false">
      <c r="A8" s="5" t="n">
        <v>4</v>
      </c>
      <c r="B8" s="6" t="s">
        <v>11</v>
      </c>
      <c r="C8" s="6" t="str">
        <f aca="false">"100 Hz 五段差值 "&amp;TEXT(MIN(实测对比!F5:F9),"0.00")&amp;" 至 "&amp;TEXT(MAX(实测对比!F5:F9),"+0.00")&amp;" dB；121、133 Hz（VIT 丢线）PC-TBD 高 "&amp;TEXT(-实测对比!F11,"0.0")&amp;"、"&amp;TEXT(-实测对比!F10,"0.0")&amp;" dB"</f>
        <v>100 Hz 五段差值 -0.42 至 +0.05 dB；121、133 Hz（VIT 丢线）PC-TBD 高 10.2、6.0 dB</v>
      </c>
      <c r="D8" s="6" t="s">
        <v>12</v>
      </c>
    </row>
    <row r="9" customFormat="false" ht="48" hidden="false" customHeight="true" outlineLevel="0" collapsed="false">
      <c r="A9" s="5" t="n">
        <v>5</v>
      </c>
      <c r="B9" s="6" t="s">
        <v>13</v>
      </c>
      <c r="C9" s="7" t="s">
        <v>14</v>
      </c>
      <c r="D9" s="8" t="s">
        <v>15</v>
      </c>
    </row>
    <row r="10" customFormat="false" ht="48" hidden="false" customHeight="true" outlineLevel="0" collapsed="false">
      <c r="A10" s="5" t="n">
        <v>6</v>
      </c>
      <c r="B10" s="6" t="s">
        <v>16</v>
      </c>
      <c r="C10" s="8" t="str">
        <f aca="false">"300 s 记录中位耗时：VIT–LPS+模块 "&amp;TEXT(耗时!D5,"0.00")&amp;" s，PC-TBD "&amp;TEXT(耗时!D7,"0.00")&amp;" s"</f>
        <v>300 s 记录中位耗时：VIT–LPS+模块 2.98 s，PC-TBD 0.81 s</v>
      </c>
      <c r="D10" s="6" t="s">
        <v>17</v>
      </c>
    </row>
    <row r="11" customFormat="false" ht="48" hidden="false" customHeight="true" outlineLevel="0" collapsed="false">
      <c r="A11" s="5" t="n">
        <v>7</v>
      </c>
      <c r="B11" s="6" t="s">
        <v>18</v>
      </c>
      <c r="C11" s="9" t="s">
        <v>19</v>
      </c>
      <c r="D11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8" min="7" style="0" width="16"/>
    <col collapsed="false" customWidth="true" hidden="false" outlineLevel="0" max="9" min="9" style="0" width="14"/>
  </cols>
  <sheetData>
    <row r="1" customFormat="false" ht="20.1" hidden="false" customHeight="false" outlineLevel="0" collapsed="false">
      <c r="A1" s="10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4" t="s">
        <v>23</v>
      </c>
      <c r="B4" s="4" t="s">
        <v>24</v>
      </c>
      <c r="C4" s="4" t="s">
        <v>25</v>
      </c>
      <c r="D4" s="3" t="s">
        <v>26</v>
      </c>
      <c r="E4" s="3" t="s">
        <v>27</v>
      </c>
      <c r="F4" s="4" t="s">
        <v>28</v>
      </c>
      <c r="G4" s="4" t="s">
        <v>29</v>
      </c>
      <c r="H4" s="3" t="s">
        <v>30</v>
      </c>
      <c r="I4" s="4" t="s">
        <v>31</v>
      </c>
    </row>
    <row r="5" customFormat="false" ht="15" hidden="false" customHeight="false" outlineLevel="0" collapsed="false">
      <c r="A5" s="11" t="s">
        <v>32</v>
      </c>
      <c r="B5" s="12" t="n">
        <f aca="false">COUNTIF(逐记录数据!$K$2:$K$1401,A5)</f>
        <v>1169</v>
      </c>
      <c r="C5" s="13" t="n">
        <f aca="false">B5/$B$9</f>
        <v>0.835</v>
      </c>
      <c r="D5" s="14" t="n">
        <f aca="false">AVERAGEIFS(逐记录数据!$F$2:$F$1401,逐记录数据!$K$2:$K$1401,A5)</f>
        <v>0.835791256344694</v>
      </c>
      <c r="E5" s="14" t="n">
        <f aca="false">AVERAGEIFS(逐记录数据!$G$2:$G$1401,逐记录数据!$K$2:$K$1401,A5)</f>
        <v>0.835922778923916</v>
      </c>
      <c r="F5" s="15" t="n">
        <f aca="false">D5-E5</f>
        <v>-0.000131522579221777</v>
      </c>
      <c r="G5" s="16" t="n">
        <f aca="false">COUNTIFS(逐记录数据!$K$2:$K$1401,A5,逐记录数据!$L$2:$L$1401,"&gt;0.01")/B5</f>
        <v>0.242942686056459</v>
      </c>
      <c r="H5" s="16" t="n">
        <f aca="false">COUNTIFS(逐记录数据!$K$2:$K$1401,A5,逐记录数据!$L$2:$L$1401,"&lt;-0.01")/B5</f>
        <v>0.307955517536356</v>
      </c>
      <c r="I5" s="16" t="n">
        <f aca="false">SUMIFS(逐记录数据!$L$2:$L$1401,逐记录数据!$K$2:$K$1401,A5)/SUM(逐记录数据!$L$2:$L$1401)</f>
        <v>0.00331674564683947</v>
      </c>
    </row>
    <row r="6" customFormat="false" ht="15" hidden="false" customHeight="false" outlineLevel="0" collapsed="false">
      <c r="A6" s="11" t="s">
        <v>33</v>
      </c>
      <c r="B6" s="12" t="n">
        <f aca="false">COUNTIF(逐记录数据!$K$2:$K$1401,A6)</f>
        <v>79</v>
      </c>
      <c r="C6" s="13" t="n">
        <f aca="false">B6/$B$9</f>
        <v>0.0564285714285714</v>
      </c>
      <c r="D6" s="17" t="n">
        <f aca="false">AVERAGEIFS(逐记录数据!$F$2:$F$1401,逐记录数据!$K$2:$K$1401,A6)</f>
        <v>0.0370975471736294</v>
      </c>
      <c r="E6" s="17" t="n">
        <f aca="false">AVERAGEIFS(逐记录数据!$G$2:$G$1401,逐记录数据!$K$2:$K$1401,A6)</f>
        <v>0.574421551228382</v>
      </c>
      <c r="F6" s="15" t="n">
        <f aca="false">D6-E6</f>
        <v>-0.537324004054753</v>
      </c>
      <c r="G6" s="16" t="n">
        <f aca="false">COUNTIFS(逐记录数据!$K$2:$K$1401,A6,逐记录数据!$L$2:$L$1401,"&gt;0.01")/B6</f>
        <v>0.0126582278481013</v>
      </c>
      <c r="H6" s="16" t="n">
        <f aca="false">COUNTIFS(逐记录数据!$K$2:$K$1401,A6,逐记录数据!$L$2:$L$1401,"&lt;-0.01")/B6</f>
        <v>0.987341772151899</v>
      </c>
      <c r="I6" s="16" t="n">
        <f aca="false">SUMIFS(逐记录数据!$L$2:$L$1401,逐记录数据!$K$2:$K$1401,A6)/SUM(逐记录数据!$L$2:$L$1401)</f>
        <v>0.915715727538273</v>
      </c>
    </row>
    <row r="7" customFormat="false" ht="15" hidden="false" customHeight="false" outlineLevel="0" collapsed="false">
      <c r="A7" s="11" t="s">
        <v>34</v>
      </c>
      <c r="B7" s="12" t="n">
        <f aca="false">COUNTIF(逐记录数据!$K$2:$K$1401,A7)</f>
        <v>82</v>
      </c>
      <c r="C7" s="13" t="n">
        <f aca="false">B7/$B$9</f>
        <v>0.0585714285714286</v>
      </c>
      <c r="D7" s="17" t="n">
        <f aca="false">AVERAGEIFS(逐记录数据!$F$2:$F$1401,逐记录数据!$K$2:$K$1401,A7)</f>
        <v>0.509927583481934</v>
      </c>
      <c r="E7" s="17" t="n">
        <f aca="false">AVERAGEIFS(逐记录数据!$G$2:$G$1401,逐记录数据!$K$2:$K$1401,A7)</f>
        <v>0.473969225845807</v>
      </c>
      <c r="F7" s="15" t="n">
        <f aca="false">D7-E7</f>
        <v>0.0359583576361265</v>
      </c>
      <c r="G7" s="16" t="n">
        <f aca="false">COUNTIFS(逐记录数据!$K$2:$K$1401,A7,逐记录数据!$L$2:$L$1401,"&gt;0.01")/B7</f>
        <v>0.597560975609756</v>
      </c>
      <c r="H7" s="16" t="n">
        <f aca="false">COUNTIFS(逐记录数据!$K$2:$K$1401,A7,逐记录数据!$L$2:$L$1401,"&lt;-0.01")/B7</f>
        <v>0.317073170731707</v>
      </c>
      <c r="I7" s="16" t="n">
        <f aca="false">SUMIFS(逐记录数据!$L$2:$L$1401,逐记录数据!$K$2:$K$1401,A7)/SUM(逐记录数据!$L$2:$L$1401)</f>
        <v>-0.0636078973443604</v>
      </c>
    </row>
    <row r="8" customFormat="false" ht="15" hidden="false" customHeight="false" outlineLevel="0" collapsed="false">
      <c r="A8" s="11" t="s">
        <v>35</v>
      </c>
      <c r="B8" s="12" t="n">
        <f aca="false">COUNTIF(逐记录数据!$K$2:$K$1401,A8)</f>
        <v>70</v>
      </c>
      <c r="C8" s="13" t="n">
        <f aca="false">B8/$B$9</f>
        <v>0.05</v>
      </c>
      <c r="D8" s="17" t="n">
        <f aca="false">AVERAGEIFS(逐记录数据!$F$2:$F$1401,逐记录数据!$K$2:$K$1401,A8)</f>
        <v>0.23344526447647</v>
      </c>
      <c r="E8" s="17" t="n">
        <f aca="false">AVERAGEIFS(逐记录数据!$G$2:$G$1401,逐记录数据!$K$2:$K$1401,A8)</f>
        <v>0.329186514945012</v>
      </c>
      <c r="F8" s="15" t="n">
        <f aca="false">D8-E8</f>
        <v>-0.0957412504685417</v>
      </c>
      <c r="G8" s="16" t="n">
        <f aca="false">COUNTIFS(逐记录数据!$K$2:$K$1401,A8,逐记录数据!$L$2:$L$1401,"&gt;0.01")/B8</f>
        <v>0.228571428571429</v>
      </c>
      <c r="H8" s="16" t="n">
        <f aca="false">COUNTIFS(逐记录数据!$K$2:$K$1401,A8,逐记录数据!$L$2:$L$1401,"&lt;-0.01")/B8</f>
        <v>0.742857142857143</v>
      </c>
      <c r="I8" s="16" t="n">
        <f aca="false">SUMIFS(逐记录数据!$L$2:$L$1401,逐记录数据!$K$2:$K$1401,A8)/SUM(逐记录数据!$L$2:$L$1401)</f>
        <v>0.144575424159248</v>
      </c>
    </row>
    <row r="9" customFormat="false" ht="15" hidden="false" customHeight="false" outlineLevel="0" collapsed="false">
      <c r="A9" s="18" t="s">
        <v>36</v>
      </c>
      <c r="B9" s="19" t="n">
        <f aca="false">COUNT(逐记录数据!$F$2:$F$1401)</f>
        <v>1400</v>
      </c>
      <c r="C9" s="20" t="n">
        <f aca="false">B9/$B$9</f>
        <v>1</v>
      </c>
      <c r="D9" s="21" t="n">
        <f aca="false">AVERAGE(逐记录数据!$F$2:$F$1401)</f>
        <v>0.741518510894668</v>
      </c>
      <c r="E9" s="21" t="n">
        <f aca="false">AVERAGE(逐记录数据!$G$2:$G$1401)</f>
        <v>0.774629688339005</v>
      </c>
      <c r="F9" s="22" t="n">
        <f aca="false">D9-E9</f>
        <v>-0.0331111774443368</v>
      </c>
      <c r="G9" s="23" t="n">
        <f aca="false">COUNTIF(逐记录数据!$L$2:$L$1401,"&gt;0.01")/B9</f>
        <v>0.25</v>
      </c>
      <c r="H9" s="23" t="n">
        <f aca="false">COUNTIF(逐记录数据!$L$2:$L$1401,"&lt;-0.01")/B9</f>
        <v>0.368571428571429</v>
      </c>
      <c r="I9" s="23" t="n">
        <f aca="false">SUM(I5:I8)</f>
        <v>1</v>
      </c>
    </row>
    <row r="11" customFormat="false" ht="15" hidden="false" customHeight="false" outlineLevel="0" collapsed="false">
      <c r="A11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9" min="8" style="0" width="15"/>
  </cols>
  <sheetData>
    <row r="1" customFormat="false" ht="16.15" hidden="false" customHeight="false" outlineLevel="0" collapsed="false">
      <c r="A1" s="10" t="s">
        <v>38</v>
      </c>
    </row>
    <row r="3" customFormat="false" ht="15" hidden="false" customHeight="false" outlineLevel="0" collapsed="false">
      <c r="A3" s="24" t="s">
        <v>39</v>
      </c>
    </row>
    <row r="4" customFormat="false" ht="33.75" hidden="false" customHeight="true" outlineLevel="0" collapsed="false">
      <c r="A4" s="4" t="s">
        <v>40</v>
      </c>
      <c r="B4" s="4" t="s">
        <v>41</v>
      </c>
      <c r="C4" s="4" t="s">
        <v>24</v>
      </c>
      <c r="D4" s="3" t="s">
        <v>26</v>
      </c>
      <c r="E4" s="4" t="s">
        <v>28</v>
      </c>
      <c r="F4" s="3" t="s">
        <v>27</v>
      </c>
      <c r="G4" s="3" t="s">
        <v>42</v>
      </c>
      <c r="H4" s="3" t="s">
        <v>43</v>
      </c>
    </row>
    <row r="5" customFormat="false" ht="15" hidden="false" customHeight="false" outlineLevel="0" collapsed="false">
      <c r="A5" s="25" t="s">
        <v>44</v>
      </c>
      <c r="B5" s="26" t="s">
        <v>36</v>
      </c>
      <c r="C5" s="12" t="n">
        <f aca="false">COUNTIF(逐记录数据!$A$2:$A$1401,A5)</f>
        <v>700</v>
      </c>
      <c r="D5" s="17" t="n">
        <f aca="false">AVERAGEIFS(逐记录数据!$F$2:$F$1401,逐记录数据!$A$2:$A$1401,A5)</f>
        <v>0.811540751588808</v>
      </c>
      <c r="E5" s="15" t="n">
        <f aca="false">D5-F5</f>
        <v>-0.0498539534097902</v>
      </c>
      <c r="F5" s="17" t="n">
        <f aca="false">AVERAGEIFS(逐记录数据!$G$2:$G$1401,逐记录数据!$A$2:$A$1401,A5)</f>
        <v>0.861394704998598</v>
      </c>
      <c r="G5" s="27" t="n">
        <v>-0.0617</v>
      </c>
      <c r="H5" s="27" t="n">
        <v>-0.0384</v>
      </c>
    </row>
    <row r="6" customFormat="false" ht="15" hidden="false" customHeight="false" outlineLevel="0" collapsed="false">
      <c r="A6" s="25" t="s">
        <v>44</v>
      </c>
      <c r="B6" s="26" t="s">
        <v>32</v>
      </c>
      <c r="C6" s="12" t="n">
        <f aca="false">COUNTIFS(逐记录数据!$A$2:$A$1401,A6,逐记录数据!$K$2:$K$1401,B6)</f>
        <v>604</v>
      </c>
      <c r="D6" s="17" t="n">
        <f aca="false">AVERAGEIFS(逐记录数据!$F$2:$F$1401,逐记录数据!$A$2:$A$1401,A6,逐记录数据!$K$2:$K$1401,B6)</f>
        <v>0.933024884186427</v>
      </c>
      <c r="E6" s="28" t="n">
        <f aca="false">D6-F6</f>
        <v>0.0181542364416248</v>
      </c>
      <c r="F6" s="17" t="n">
        <f aca="false">AVERAGEIFS(逐记录数据!$G$2:$G$1401,逐记录数据!$A$2:$A$1401,A6,逐记录数据!$K$2:$K$1401,B6)</f>
        <v>0.914870647744802</v>
      </c>
      <c r="G6" s="27" t="n">
        <v>0.0121</v>
      </c>
      <c r="H6" s="27" t="n">
        <v>0.0237</v>
      </c>
    </row>
    <row r="7" customFormat="false" ht="15" hidden="false" customHeight="false" outlineLevel="0" collapsed="false">
      <c r="A7" s="25" t="s">
        <v>45</v>
      </c>
      <c r="B7" s="26" t="s">
        <v>36</v>
      </c>
      <c r="C7" s="12" t="n">
        <f aca="false">COUNTIF(逐记录数据!$A$2:$A$1401,A7)</f>
        <v>700</v>
      </c>
      <c r="D7" s="17" t="n">
        <f aca="false">AVERAGEIFS(逐记录数据!$F$2:$F$1401,逐记录数据!$A$2:$A$1401,A7)</f>
        <v>0.671496270200529</v>
      </c>
      <c r="E7" s="15" t="n">
        <f aca="false">D7-F7</f>
        <v>-0.0163684014788831</v>
      </c>
      <c r="F7" s="17" t="n">
        <f aca="false">AVERAGEIFS(逐记录数据!$G$2:$G$1401,逐记录数据!$A$2:$A$1401,A7)</f>
        <v>0.687864671679412</v>
      </c>
      <c r="G7" s="27" t="n">
        <v>-0.0215</v>
      </c>
      <c r="H7" s="27" t="n">
        <v>-0.0111</v>
      </c>
    </row>
    <row r="8" customFormat="false" ht="15" hidden="false" customHeight="false" outlineLevel="0" collapsed="false">
      <c r="A8" s="25" t="s">
        <v>45</v>
      </c>
      <c r="B8" s="26" t="s">
        <v>32</v>
      </c>
      <c r="C8" s="12" t="n">
        <f aca="false">COUNTIFS(逐记录数据!$A$2:$A$1401,A8,逐记录数据!$K$2:$K$1401,B8)</f>
        <v>565</v>
      </c>
      <c r="D8" s="17" t="n">
        <f aca="false">AVERAGEIFS(逐记录数据!$F$2:$F$1401,逐记录数据!$A$2:$A$1401,A8,逐记录数据!$K$2:$K$1401,B8)</f>
        <v>0.731845926758133</v>
      </c>
      <c r="E8" s="28" t="n">
        <f aca="false">D8-F8</f>
        <v>-0.0196794844351358</v>
      </c>
      <c r="F8" s="17" t="n">
        <f aca="false">AVERAGEIFS(逐记录数据!$G$2:$G$1401,逐记录数据!$A$2:$A$1401,A8,逐记录数据!$K$2:$K$1401,B8)</f>
        <v>0.751525411193269</v>
      </c>
      <c r="G8" s="27" t="n">
        <v>-0.0241</v>
      </c>
      <c r="H8" s="27" t="n">
        <v>-0.0153</v>
      </c>
    </row>
    <row r="9" customFormat="false" ht="15" hidden="false" customHeight="false" outlineLevel="0" collapsed="false">
      <c r="A9" s="29" t="s">
        <v>46</v>
      </c>
    </row>
    <row r="12" customFormat="false" ht="15" hidden="false" customHeight="false" outlineLevel="0" collapsed="false">
      <c r="A12" s="24" t="s">
        <v>47</v>
      </c>
    </row>
    <row r="13" customFormat="false" ht="33.75" hidden="false" customHeight="true" outlineLevel="0" collapsed="false">
      <c r="A13" s="4" t="s">
        <v>40</v>
      </c>
      <c r="B13" s="4" t="s">
        <v>48</v>
      </c>
      <c r="C13" s="3" t="s">
        <v>49</v>
      </c>
      <c r="D13" s="3" t="s">
        <v>26</v>
      </c>
      <c r="E13" s="3" t="s">
        <v>27</v>
      </c>
      <c r="F13" s="3" t="s">
        <v>50</v>
      </c>
      <c r="G13" s="4" t="s">
        <v>28</v>
      </c>
      <c r="H13" s="3" t="s">
        <v>51</v>
      </c>
      <c r="I13" s="3" t="s">
        <v>52</v>
      </c>
    </row>
    <row r="14" customFormat="false" ht="15" hidden="false" customHeight="false" outlineLevel="0" collapsed="false">
      <c r="A14" s="30" t="s">
        <v>44</v>
      </c>
      <c r="B14" s="31" t="n">
        <v>-20</v>
      </c>
      <c r="C14" s="17" t="n">
        <f aca="false">AVERAGEIFS(逐记录数据!$E$2:$E$1401,逐记录数据!$A$2:$A$1401,$A14,逐记录数据!$B$2:$B$1401,$B14)</f>
        <v>0.0798660977473144</v>
      </c>
      <c r="D14" s="17" t="n">
        <f aca="false">AVERAGEIFS(逐记录数据!$F$2:$F$1401,逐记录数据!$A$2:$A$1401,$A14,逐记录数据!$B$2:$B$1401,$B14)</f>
        <v>0.140684561792536</v>
      </c>
      <c r="E14" s="17" t="n">
        <f aca="false">AVERAGEIFS(逐记录数据!$G$2:$G$1401,逐记录数据!$A$2:$A$1401,$A14,逐记录数据!$B$2:$B$1401,$B14)</f>
        <v>0.522461803331394</v>
      </c>
      <c r="F14" s="17" t="n">
        <f aca="false">AVERAGEIFS(逐记录数据!$H$2:$H$1401,逐记录数据!$A$2:$A$1401,$A14,逐记录数据!$B$2:$B$1401,$B14)</f>
        <v>0.534124137407657</v>
      </c>
      <c r="G14" s="15" t="n">
        <f aca="false">D14-E14</f>
        <v>-0.381777241538858</v>
      </c>
      <c r="H14" s="32" t="n">
        <f aca="false">AVERAGEIFS(逐记录数据!$I$2:$I$1401,逐记录数据!$A$2:$A$1401,$A14,逐记录数据!$B$2:$B$1401,$B14)</f>
        <v>0.17</v>
      </c>
      <c r="I14" s="32" t="n">
        <f aca="false">AVERAGEIFS(逐记录数据!$J$2:$J$1401,逐记录数据!$A$2:$A$1401,$A14,逐记录数据!$B$2:$B$1401,$B14)</f>
        <v>0.82</v>
      </c>
    </row>
    <row r="15" customFormat="false" ht="15" hidden="false" customHeight="false" outlineLevel="0" collapsed="false">
      <c r="A15" s="30" t="s">
        <v>44</v>
      </c>
      <c r="B15" s="31" t="n">
        <v>-18</v>
      </c>
      <c r="C15" s="17" t="n">
        <f aca="false">AVERAGEIFS(逐记录数据!$E$2:$E$1401,逐记录数据!$A$2:$A$1401,$A15,逐记录数据!$B$2:$B$1401,$B15)</f>
        <v>0.418279295048684</v>
      </c>
      <c r="D15" s="17" t="n">
        <f aca="false">AVERAGEIFS(逐记录数据!$F$2:$F$1401,逐记录数据!$A$2:$A$1401,$A15,逐记录数据!$B$2:$B$1401,$B15)</f>
        <v>0.727932388628132</v>
      </c>
      <c r="E15" s="17" t="n">
        <f aca="false">AVERAGEIFS(逐记录数据!$G$2:$G$1401,逐记录数据!$A$2:$A$1401,$A15,逐记录数据!$B$2:$B$1401,$B15)</f>
        <v>0.747340068784497</v>
      </c>
      <c r="F15" s="17" t="n">
        <f aca="false">AVERAGEIFS(逐记录数据!$H$2:$H$1401,逐记录数据!$A$2:$A$1401,$A15,逐记录数据!$B$2:$B$1401,$B15)</f>
        <v>0.755477358315118</v>
      </c>
      <c r="G15" s="15" t="n">
        <f aca="false">D15-E15</f>
        <v>-0.019407680156365</v>
      </c>
      <c r="H15" s="16" t="n">
        <f aca="false">AVERAGEIFS(逐记录数据!$I$2:$I$1401,逐记录数据!$A$2:$A$1401,$A15,逐记录数据!$B$2:$B$1401,$B15)</f>
        <v>0.9</v>
      </c>
      <c r="I15" s="16" t="n">
        <f aca="false">AVERAGEIFS(逐记录数据!$J$2:$J$1401,逐记录数据!$A$2:$A$1401,$A15,逐记录数据!$B$2:$B$1401,$B15)</f>
        <v>0.97</v>
      </c>
    </row>
    <row r="16" customFormat="false" ht="15" hidden="false" customHeight="false" outlineLevel="0" collapsed="false">
      <c r="A16" s="30" t="s">
        <v>44</v>
      </c>
      <c r="B16" s="31" t="n">
        <v>-16</v>
      </c>
      <c r="C16" s="17" t="n">
        <f aca="false">AVERAGEIFS(逐记录数据!$E$2:$E$1401,逐记录数据!$A$2:$A$1401,$A16,逐记录数据!$B$2:$B$1401,$B16)</f>
        <v>0.673126577605333</v>
      </c>
      <c r="D16" s="17" t="n">
        <f aca="false">AVERAGEIFS(逐记录数据!$F$2:$F$1401,逐记录数据!$A$2:$A$1401,$A16,逐记录数据!$B$2:$B$1401,$B16)</f>
        <v>0.917136409465001</v>
      </c>
      <c r="E16" s="17" t="n">
        <f aca="false">AVERAGEIFS(逐记录数据!$G$2:$G$1401,逐记录数据!$A$2:$A$1401,$A16,逐记录数据!$B$2:$B$1401,$B16)</f>
        <v>0.88942453658272</v>
      </c>
      <c r="F16" s="17" t="n">
        <f aca="false">AVERAGEIFS(逐记录数据!$H$2:$H$1401,逐记录数据!$A$2:$A$1401,$A16,逐记录数据!$B$2:$B$1401,$B16)</f>
        <v>0.895573255107557</v>
      </c>
      <c r="G16" s="15" t="n">
        <f aca="false">D16-E16</f>
        <v>0.0277118728822811</v>
      </c>
      <c r="H16" s="16" t="n">
        <f aca="false">AVERAGEIFS(逐记录数据!$I$2:$I$1401,逐记录数据!$A$2:$A$1401,$A16,逐记录数据!$B$2:$B$1401,$B16)</f>
        <v>1</v>
      </c>
      <c r="I16" s="16" t="n">
        <f aca="false">AVERAGEIFS(逐记录数据!$J$2:$J$1401,逐记录数据!$A$2:$A$1401,$A16,逐记录数据!$B$2:$B$1401,$B16)</f>
        <v>0.99</v>
      </c>
    </row>
    <row r="17" customFormat="false" ht="15" hidden="false" customHeight="false" outlineLevel="0" collapsed="false">
      <c r="A17" s="30" t="s">
        <v>44</v>
      </c>
      <c r="B17" s="31" t="n">
        <v>-14</v>
      </c>
      <c r="C17" s="17" t="n">
        <f aca="false">AVERAGEIFS(逐记录数据!$E$2:$E$1401,逐记录数据!$A$2:$A$1401,$A17,逐记录数据!$B$2:$B$1401,$B17)</f>
        <v>0.871762867864023</v>
      </c>
      <c r="D17" s="17" t="n">
        <f aca="false">AVERAGEIFS(逐记录数据!$F$2:$F$1401,逐记录数据!$A$2:$A$1401,$A17,逐记录数据!$B$2:$B$1401,$B17)</f>
        <v>0.957469371416579</v>
      </c>
      <c r="E17" s="17" t="n">
        <f aca="false">AVERAGEIFS(逐记录数据!$G$2:$G$1401,逐记录数据!$A$2:$A$1401,$A17,逐记录数据!$B$2:$B$1401,$B17)</f>
        <v>0.943997201669406</v>
      </c>
      <c r="F17" s="17" t="n">
        <f aca="false">AVERAGEIFS(逐记录数据!$H$2:$H$1401,逐记录数据!$A$2:$A$1401,$A17,逐记录数据!$B$2:$B$1401,$B17)</f>
        <v>0.947394939660671</v>
      </c>
      <c r="G17" s="15" t="n">
        <f aca="false">D17-E17</f>
        <v>0.013472169747173</v>
      </c>
      <c r="H17" s="16" t="n">
        <f aca="false">AVERAGEIFS(逐记录数据!$I$2:$I$1401,逐记录数据!$A$2:$A$1401,$A17,逐记录数据!$B$2:$B$1401,$B17)</f>
        <v>1</v>
      </c>
      <c r="I17" s="16" t="n">
        <f aca="false">AVERAGEIFS(逐记录数据!$J$2:$J$1401,逐记录数据!$A$2:$A$1401,$A17,逐记录数据!$B$2:$B$1401,$B17)</f>
        <v>1</v>
      </c>
    </row>
    <row r="18" customFormat="false" ht="15" hidden="false" customHeight="false" outlineLevel="0" collapsed="false">
      <c r="A18" s="30" t="s">
        <v>44</v>
      </c>
      <c r="B18" s="31" t="n">
        <v>-12</v>
      </c>
      <c r="C18" s="17" t="n">
        <f aca="false">AVERAGEIFS(逐记录数据!$E$2:$E$1401,逐记录数据!$A$2:$A$1401,$A18,逐记录数据!$B$2:$B$1401,$B18)</f>
        <v>0.945215032360903</v>
      </c>
      <c r="D18" s="17" t="n">
        <f aca="false">AVERAGEIFS(逐记录数据!$F$2:$F$1401,逐记录数据!$A$2:$A$1401,$A18,逐记录数据!$B$2:$B$1401,$B18)</f>
        <v>0.971418954446825</v>
      </c>
      <c r="E18" s="17" t="n">
        <f aca="false">AVERAGEIFS(逐记录数据!$G$2:$G$1401,逐记录数据!$A$2:$A$1401,$A18,逐记录数据!$B$2:$B$1401,$B18)</f>
        <v>0.964819486956425</v>
      </c>
      <c r="F18" s="17" t="n">
        <f aca="false">AVERAGEIFS(逐记录数据!$H$2:$H$1401,逐记录数据!$A$2:$A$1401,$A18,逐记录数据!$B$2:$B$1401,$B18)</f>
        <v>0.967813967776124</v>
      </c>
      <c r="G18" s="15" t="n">
        <f aca="false">D18-E18</f>
        <v>0.00659946749039941</v>
      </c>
      <c r="H18" s="16" t="n">
        <f aca="false">AVERAGEIFS(逐记录数据!$I$2:$I$1401,逐记录数据!$A$2:$A$1401,$A18,逐记录数据!$B$2:$B$1401,$B18)</f>
        <v>1</v>
      </c>
      <c r="I18" s="16" t="n">
        <f aca="false">AVERAGEIFS(逐记录数据!$J$2:$J$1401,逐记录数据!$A$2:$A$1401,$A18,逐记录数据!$B$2:$B$1401,$B18)</f>
        <v>1</v>
      </c>
    </row>
    <row r="19" customFormat="false" ht="15" hidden="false" customHeight="false" outlineLevel="0" collapsed="false">
      <c r="A19" s="30" t="s">
        <v>44</v>
      </c>
      <c r="B19" s="31" t="n">
        <v>-10</v>
      </c>
      <c r="C19" s="17" t="n">
        <f aca="false">AVERAGEIFS(逐记录数据!$E$2:$E$1401,逐记录数据!$A$2:$A$1401,$A19,逐记录数据!$B$2:$B$1401,$B19)</f>
        <v>0.970549787478465</v>
      </c>
      <c r="D19" s="17" t="n">
        <f aca="false">AVERAGEIFS(逐记录数据!$F$2:$F$1401,逐记录数据!$A$2:$A$1401,$A19,逐记录数据!$B$2:$B$1401,$B19)</f>
        <v>0.98006666166232</v>
      </c>
      <c r="E19" s="17" t="n">
        <f aca="false">AVERAGEIFS(逐记录数据!$G$2:$G$1401,逐记录数据!$A$2:$A$1401,$A19,逐记录数据!$B$2:$B$1401,$B19)</f>
        <v>0.977134030179017</v>
      </c>
      <c r="F19" s="17" t="n">
        <f aca="false">AVERAGEIFS(逐记录数据!$H$2:$H$1401,逐记录数据!$A$2:$A$1401,$A19,逐记录数据!$B$2:$B$1401,$B19)</f>
        <v>0.979545222476196</v>
      </c>
      <c r="G19" s="15" t="n">
        <f aca="false">D19-E19</f>
        <v>0.00293263148330292</v>
      </c>
      <c r="H19" s="16" t="n">
        <f aca="false">AVERAGEIFS(逐记录数据!$I$2:$I$1401,逐记录数据!$A$2:$A$1401,$A19,逐记录数据!$B$2:$B$1401,$B19)</f>
        <v>1</v>
      </c>
      <c r="I19" s="16" t="n">
        <f aca="false">AVERAGEIFS(逐记录数据!$J$2:$J$1401,逐记录数据!$A$2:$A$1401,$A19,逐记录数据!$B$2:$B$1401,$B19)</f>
        <v>1</v>
      </c>
    </row>
    <row r="20" customFormat="false" ht="15" hidden="false" customHeight="false" outlineLevel="0" collapsed="false">
      <c r="A20" s="30" t="s">
        <v>44</v>
      </c>
      <c r="B20" s="31" t="n">
        <v>-8</v>
      </c>
      <c r="C20" s="17" t="n">
        <f aca="false">AVERAGEIFS(逐记录数据!$E$2:$E$1401,逐记录数据!$A$2:$A$1401,$A20,逐记录数据!$B$2:$B$1401,$B20)</f>
        <v>0.98143228543859</v>
      </c>
      <c r="D20" s="17" t="n">
        <f aca="false">AVERAGEIFS(逐记录数据!$F$2:$F$1401,逐记录数据!$A$2:$A$1401,$A20,逐记录数据!$B$2:$B$1401,$B20)</f>
        <v>0.98607691371026</v>
      </c>
      <c r="E20" s="17" t="n">
        <f aca="false">AVERAGEIFS(逐记录数据!$G$2:$G$1401,逐记录数据!$A$2:$A$1401,$A20,逐记录数据!$B$2:$B$1401,$B20)</f>
        <v>0.984585807486725</v>
      </c>
      <c r="F20" s="17" t="n">
        <f aca="false">AVERAGEIFS(逐记录数据!$H$2:$H$1401,逐记录数据!$A$2:$A$1401,$A20,逐记录数据!$B$2:$B$1401,$B20)</f>
        <v>0.987062326045902</v>
      </c>
      <c r="G20" s="15" t="n">
        <f aca="false">D20-E20</f>
        <v>0.0014911062235351</v>
      </c>
      <c r="H20" s="16" t="n">
        <f aca="false">AVERAGEIFS(逐记录数据!$I$2:$I$1401,逐记录数据!$A$2:$A$1401,$A20,逐记录数据!$B$2:$B$1401,$B20)</f>
        <v>1</v>
      </c>
      <c r="I20" s="16" t="n">
        <f aca="false">AVERAGEIFS(逐记录数据!$J$2:$J$1401,逐记录数据!$A$2:$A$1401,$A20,逐记录数据!$B$2:$B$1401,$B20)</f>
        <v>1</v>
      </c>
    </row>
    <row r="21" customFormat="false" ht="15" hidden="false" customHeight="false" outlineLevel="0" collapsed="false">
      <c r="A21" s="30" t="s">
        <v>45</v>
      </c>
      <c r="B21" s="31" t="n">
        <v>-20</v>
      </c>
      <c r="C21" s="17" t="n">
        <f aca="false">AVERAGEIFS(逐记录数据!$E$2:$E$1401,逐记录数据!$A$2:$A$1401,$A21,逐记录数据!$B$2:$B$1401,$B21)</f>
        <v>0.199341818685741</v>
      </c>
      <c r="D21" s="17" t="n">
        <f aca="false">AVERAGEIFS(逐记录数据!$F$2:$F$1401,逐记录数据!$A$2:$A$1401,$A21,逐记录数据!$B$2:$B$1401,$B21)</f>
        <v>0.351197828629589</v>
      </c>
      <c r="E21" s="17" t="n">
        <f aca="false">AVERAGEIFS(逐记录数据!$G$2:$G$1401,逐记录数据!$A$2:$A$1401,$A21,逐记录数据!$B$2:$B$1401,$B21)</f>
        <v>0.376730671941254</v>
      </c>
      <c r="F21" s="17" t="n">
        <f aca="false">AVERAGEIFS(逐记录数据!$H$2:$H$1401,逐记录数据!$A$2:$A$1401,$A21,逐记录数据!$B$2:$B$1401,$B21)</f>
        <v>0.386657326557119</v>
      </c>
      <c r="G21" s="15" t="n">
        <f aca="false">D21-E21</f>
        <v>-0.0255328433116652</v>
      </c>
      <c r="H21" s="32" t="n">
        <f aca="false">AVERAGEIFS(逐记录数据!$I$2:$I$1401,逐记录数据!$A$2:$A$1401,$A21,逐记录数据!$B$2:$B$1401,$B21)</f>
        <v>0.55</v>
      </c>
      <c r="I21" s="32" t="n">
        <f aca="false">AVERAGEIFS(逐记录数据!$J$2:$J$1401,逐记录数据!$A$2:$A$1401,$A21,逐记录数据!$B$2:$B$1401,$B21)</f>
        <v>0.27</v>
      </c>
    </row>
    <row r="22" customFormat="false" ht="15" hidden="false" customHeight="false" outlineLevel="0" collapsed="false">
      <c r="A22" s="30" t="s">
        <v>45</v>
      </c>
      <c r="B22" s="31" t="n">
        <v>-18</v>
      </c>
      <c r="C22" s="17" t="n">
        <f aca="false">AVERAGEIFS(逐记录数据!$E$2:$E$1401,逐记录数据!$A$2:$A$1401,$A22,逐记录数据!$B$2:$B$1401,$B22)</f>
        <v>0.334332017071093</v>
      </c>
      <c r="D22" s="17" t="n">
        <f aca="false">AVERAGEIFS(逐记录数据!$F$2:$F$1401,逐记录数据!$A$2:$A$1401,$A22,逐记录数据!$B$2:$B$1401,$B22)</f>
        <v>0.56271257958615</v>
      </c>
      <c r="E22" s="17" t="n">
        <f aca="false">AVERAGEIFS(逐记录数据!$G$2:$G$1401,逐记录数据!$A$2:$A$1401,$A22,逐记录数据!$B$2:$B$1401,$B22)</f>
        <v>0.569600176312158</v>
      </c>
      <c r="F22" s="17" t="n">
        <f aca="false">AVERAGEIFS(逐记录数据!$H$2:$H$1401,逐记录数据!$A$2:$A$1401,$A22,逐记录数据!$B$2:$B$1401,$B22)</f>
        <v>0.580763987389596</v>
      </c>
      <c r="G22" s="15" t="n">
        <f aca="false">D22-E22</f>
        <v>-0.00688759672600869</v>
      </c>
      <c r="H22" s="16" t="n">
        <f aca="false">AVERAGEIFS(逐记录数据!$I$2:$I$1401,逐记录数据!$A$2:$A$1401,$A22,逐记录数据!$B$2:$B$1401,$B22)</f>
        <v>0.9</v>
      </c>
      <c r="I22" s="16" t="n">
        <f aca="false">AVERAGEIFS(逐记录数据!$J$2:$J$1401,逐记录数据!$A$2:$A$1401,$A22,逐记录数据!$B$2:$B$1401,$B22)</f>
        <v>0.65</v>
      </c>
    </row>
    <row r="23" customFormat="false" ht="15" hidden="false" customHeight="false" outlineLevel="0" collapsed="false">
      <c r="A23" s="30" t="s">
        <v>45</v>
      </c>
      <c r="B23" s="31" t="n">
        <v>-16</v>
      </c>
      <c r="C23" s="17" t="n">
        <f aca="false">AVERAGEIFS(逐记录数据!$E$2:$E$1401,逐记录数据!$A$2:$A$1401,$A23,逐记录数据!$B$2:$B$1401,$B23)</f>
        <v>0.481606465644255</v>
      </c>
      <c r="D23" s="17" t="n">
        <f aca="false">AVERAGEIFS(逐记录数据!$F$2:$F$1401,逐记录数据!$A$2:$A$1401,$A23,逐记录数据!$B$2:$B$1401,$B23)</f>
        <v>0.67504821667892</v>
      </c>
      <c r="E23" s="17" t="n">
        <f aca="false">AVERAGEIFS(逐记录数据!$G$2:$G$1401,逐记录数据!$A$2:$A$1401,$A23,逐记录数据!$B$2:$B$1401,$B23)</f>
        <v>0.692830950310727</v>
      </c>
      <c r="F23" s="17" t="n">
        <f aca="false">AVERAGEIFS(逐记录数据!$H$2:$H$1401,逐记录数据!$A$2:$A$1401,$A23,逐记录数据!$B$2:$B$1401,$B23)</f>
        <v>0.701625155915041</v>
      </c>
      <c r="G23" s="15" t="n">
        <f aca="false">D23-E23</f>
        <v>-0.0177827336318064</v>
      </c>
      <c r="H23" s="16" t="n">
        <f aca="false">AVERAGEIFS(逐记录数据!$I$2:$I$1401,逐记录数据!$A$2:$A$1401,$A23,逐记录数据!$B$2:$B$1401,$B23)</f>
        <v>0.99</v>
      </c>
      <c r="I23" s="16" t="n">
        <f aca="false">AVERAGEIFS(逐记录数据!$J$2:$J$1401,逐记录数据!$A$2:$A$1401,$A23,逐记录数据!$B$2:$B$1401,$B23)</f>
        <v>0.85</v>
      </c>
    </row>
    <row r="24" customFormat="false" ht="15" hidden="false" customHeight="false" outlineLevel="0" collapsed="false">
      <c r="A24" s="30" t="s">
        <v>45</v>
      </c>
      <c r="B24" s="31" t="n">
        <v>-14</v>
      </c>
      <c r="C24" s="17" t="n">
        <f aca="false">AVERAGEIFS(逐记录数据!$E$2:$E$1401,逐记录数据!$A$2:$A$1401,$A24,逐记录数据!$B$2:$B$1401,$B24)</f>
        <v>0.630326949856026</v>
      </c>
      <c r="D24" s="17" t="n">
        <f aca="false">AVERAGEIFS(逐记录数据!$F$2:$F$1401,逐记录数据!$A$2:$A$1401,$A24,逐记录数据!$B$2:$B$1401,$B24)</f>
        <v>0.73956901207717</v>
      </c>
      <c r="E24" s="17" t="n">
        <f aca="false">AVERAGEIFS(逐记录数据!$G$2:$G$1401,逐记录数据!$A$2:$A$1401,$A24,逐记录数据!$B$2:$B$1401,$B24)</f>
        <v>0.761748726375657</v>
      </c>
      <c r="F24" s="17" t="n">
        <f aca="false">AVERAGEIFS(逐记录数据!$H$2:$H$1401,逐记录数据!$A$2:$A$1401,$A24,逐记录数据!$B$2:$B$1401,$B24)</f>
        <v>0.769180170347996</v>
      </c>
      <c r="G24" s="15" t="n">
        <f aca="false">D24-E24</f>
        <v>-0.022179714298487</v>
      </c>
      <c r="H24" s="16" t="n">
        <f aca="false">AVERAGEIFS(逐记录数据!$I$2:$I$1401,逐记录数据!$A$2:$A$1401,$A24,逐记录数据!$B$2:$B$1401,$B24)</f>
        <v>1</v>
      </c>
      <c r="I24" s="16" t="n">
        <f aca="false">AVERAGEIFS(逐记录数据!$J$2:$J$1401,逐记录数据!$A$2:$A$1401,$A24,逐记录数据!$B$2:$B$1401,$B24)</f>
        <v>0.95</v>
      </c>
    </row>
    <row r="25" customFormat="false" ht="15" hidden="false" customHeight="false" outlineLevel="0" collapsed="false">
      <c r="A25" s="30" t="s">
        <v>45</v>
      </c>
      <c r="B25" s="31" t="n">
        <v>-12</v>
      </c>
      <c r="C25" s="17" t="n">
        <f aca="false">AVERAGEIFS(逐记录数据!$E$2:$E$1401,逐记录数据!$A$2:$A$1401,$A25,逐记录数据!$B$2:$B$1401,$B25)</f>
        <v>0.718335203087381</v>
      </c>
      <c r="D25" s="17" t="n">
        <f aca="false">AVERAGEIFS(逐记录数据!$F$2:$F$1401,逐记录数据!$A$2:$A$1401,$A25,逐记录数据!$B$2:$B$1401,$B25)</f>
        <v>0.768881446166267</v>
      </c>
      <c r="E25" s="17" t="n">
        <f aca="false">AVERAGEIFS(逐记录数据!$G$2:$G$1401,逐记录数据!$A$2:$A$1401,$A25,逐记录数据!$B$2:$B$1401,$B25)</f>
        <v>0.789143476301496</v>
      </c>
      <c r="F25" s="17" t="n">
        <f aca="false">AVERAGEIFS(逐记录数据!$H$2:$H$1401,逐记录数据!$A$2:$A$1401,$A25,逐记录数据!$B$2:$B$1401,$B25)</f>
        <v>0.799336404777724</v>
      </c>
      <c r="G25" s="15" t="n">
        <f aca="false">D25-E25</f>
        <v>-0.0202620301352283</v>
      </c>
      <c r="H25" s="16" t="n">
        <f aca="false">AVERAGEIFS(逐记录数据!$I$2:$I$1401,逐记录数据!$A$2:$A$1401,$A25,逐记录数据!$B$2:$B$1401,$B25)</f>
        <v>1</v>
      </c>
      <c r="I25" s="16" t="n">
        <f aca="false">AVERAGEIFS(逐记录数据!$J$2:$J$1401,逐记录数据!$A$2:$A$1401,$A25,逐记录数据!$B$2:$B$1401,$B25)</f>
        <v>0.98</v>
      </c>
    </row>
    <row r="26" customFormat="false" ht="15" hidden="false" customHeight="false" outlineLevel="0" collapsed="false">
      <c r="A26" s="30" t="s">
        <v>45</v>
      </c>
      <c r="B26" s="31" t="n">
        <v>-10</v>
      </c>
      <c r="C26" s="17" t="n">
        <f aca="false">AVERAGEIFS(逐记录数据!$E$2:$E$1401,逐记录数据!$A$2:$A$1401,$A26,逐记录数据!$B$2:$B$1401,$B26)</f>
        <v>0.754268585205193</v>
      </c>
      <c r="D26" s="17" t="n">
        <f aca="false">AVERAGEIFS(逐记录数据!$F$2:$F$1401,逐记录数据!$A$2:$A$1401,$A26,逐记录数据!$B$2:$B$1401,$B26)</f>
        <v>0.793655227399776</v>
      </c>
      <c r="E26" s="17" t="n">
        <f aca="false">AVERAGEIFS(逐记录数据!$G$2:$G$1401,逐记录数据!$A$2:$A$1401,$A26,逐记录数据!$B$2:$B$1401,$B26)</f>
        <v>0.806874180769833</v>
      </c>
      <c r="F26" s="17" t="n">
        <f aca="false">AVERAGEIFS(逐记录数据!$H$2:$H$1401,逐记录数据!$A$2:$A$1401,$A26,逐记录数据!$B$2:$B$1401,$B26)</f>
        <v>0.818707566707563</v>
      </c>
      <c r="G26" s="15" t="n">
        <f aca="false">D26-E26</f>
        <v>-0.0132189533700571</v>
      </c>
      <c r="H26" s="16" t="n">
        <f aca="false">AVERAGEIFS(逐记录数据!$I$2:$I$1401,逐记录数据!$A$2:$A$1401,$A26,逐记录数据!$B$2:$B$1401,$B26)</f>
        <v>1</v>
      </c>
      <c r="I26" s="16" t="n">
        <f aca="false">AVERAGEIFS(逐记录数据!$J$2:$J$1401,逐记录数据!$A$2:$A$1401,$A26,逐记录数据!$B$2:$B$1401,$B26)</f>
        <v>1</v>
      </c>
    </row>
    <row r="27" customFormat="false" ht="15" hidden="false" customHeight="false" outlineLevel="0" collapsed="false">
      <c r="A27" s="30" t="s">
        <v>45</v>
      </c>
      <c r="B27" s="31" t="n">
        <v>-8</v>
      </c>
      <c r="C27" s="17" t="n">
        <f aca="false">AVERAGEIFS(逐记录数据!$E$2:$E$1401,逐记录数据!$A$2:$A$1401,$A27,逐记录数据!$B$2:$B$1401,$B27)</f>
        <v>0.763404703551605</v>
      </c>
      <c r="D27" s="17" t="n">
        <f aca="false">AVERAGEIFS(逐记录数据!$F$2:$F$1401,逐记录数据!$A$2:$A$1401,$A27,逐记录数据!$B$2:$B$1401,$B27)</f>
        <v>0.809409580865832</v>
      </c>
      <c r="E27" s="17" t="n">
        <f aca="false">AVERAGEIFS(逐记录数据!$G$2:$G$1401,逐记录数据!$A$2:$A$1401,$A27,逐记录数据!$B$2:$B$1401,$B27)</f>
        <v>0.818124519744761</v>
      </c>
      <c r="F27" s="17" t="n">
        <f aca="false">AVERAGEIFS(逐记录数据!$H$2:$H$1401,逐记录数据!$A$2:$A$1401,$A27,逐记录数据!$B$2:$B$1401,$B27)</f>
        <v>0.832472606896424</v>
      </c>
      <c r="G27" s="15" t="n">
        <f aca="false">D27-E27</f>
        <v>-0.00871493887892927</v>
      </c>
      <c r="H27" s="16" t="n">
        <f aca="false">AVERAGEIFS(逐记录数据!$I$2:$I$1401,逐记录数据!$A$2:$A$1401,$A27,逐记录数据!$B$2:$B$1401,$B27)</f>
        <v>1</v>
      </c>
      <c r="I27" s="16" t="n">
        <f aca="false">AVERAGEIFS(逐记录数据!$J$2:$J$1401,逐记录数据!$A$2:$A$1401,$A27,逐记录数据!$B$2:$B$1401,$B27)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22"/>
  </cols>
  <sheetData>
    <row r="1" customFormat="false" ht="20.1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3.75" hidden="false" customHeight="true" outlineLevel="0" collapsed="false">
      <c r="A4" s="4" t="s">
        <v>55</v>
      </c>
      <c r="B4" s="4" t="s">
        <v>56</v>
      </c>
      <c r="C4" s="3" t="s">
        <v>57</v>
      </c>
      <c r="D4" s="3" t="s">
        <v>58</v>
      </c>
      <c r="E4" s="3" t="s">
        <v>59</v>
      </c>
      <c r="F4" s="4" t="s">
        <v>60</v>
      </c>
      <c r="G4" s="3" t="s">
        <v>61</v>
      </c>
      <c r="H4" s="3" t="s">
        <v>62</v>
      </c>
    </row>
    <row r="5" customFormat="false" ht="15" hidden="false" customHeight="false" outlineLevel="0" collapsed="false">
      <c r="A5" s="31" t="n">
        <v>100</v>
      </c>
      <c r="B5" s="30" t="s">
        <v>63</v>
      </c>
      <c r="C5" s="33" t="n">
        <v>1.9198</v>
      </c>
      <c r="D5" s="33" t="n">
        <v>3.8141</v>
      </c>
      <c r="E5" s="33" t="n">
        <v>4.2348</v>
      </c>
      <c r="F5" s="34" t="n">
        <f aca="false">D5-E5</f>
        <v>-0.4207</v>
      </c>
      <c r="G5" s="33" t="n">
        <v>4.2451</v>
      </c>
      <c r="H5" s="35" t="s">
        <v>64</v>
      </c>
    </row>
    <row r="6" customFormat="false" ht="15" hidden="false" customHeight="false" outlineLevel="0" collapsed="false">
      <c r="A6" s="31" t="n">
        <v>100</v>
      </c>
      <c r="B6" s="30" t="s">
        <v>65</v>
      </c>
      <c r="C6" s="33" t="n">
        <v>3.6004</v>
      </c>
      <c r="D6" s="33" t="n">
        <v>5.3441</v>
      </c>
      <c r="E6" s="33" t="n">
        <v>5.3331</v>
      </c>
      <c r="F6" s="34" t="n">
        <f aca="false">D6-E6</f>
        <v>0.0110000000000001</v>
      </c>
      <c r="G6" s="33" t="n">
        <v>5.3397</v>
      </c>
      <c r="H6" s="35" t="s">
        <v>64</v>
      </c>
    </row>
    <row r="7" customFormat="false" ht="15" hidden="false" customHeight="false" outlineLevel="0" collapsed="false">
      <c r="A7" s="31" t="n">
        <v>100</v>
      </c>
      <c r="B7" s="30" t="s">
        <v>66</v>
      </c>
      <c r="C7" s="33" t="n">
        <v>8.3236</v>
      </c>
      <c r="D7" s="33" t="n">
        <v>9.4155</v>
      </c>
      <c r="E7" s="33" t="n">
        <v>9.3704</v>
      </c>
      <c r="F7" s="34" t="n">
        <f aca="false">D7-E7</f>
        <v>0.0450999999999997</v>
      </c>
      <c r="G7" s="33" t="n">
        <v>9.5135</v>
      </c>
      <c r="H7" s="35" t="s">
        <v>64</v>
      </c>
    </row>
    <row r="8" customFormat="false" ht="15" hidden="false" customHeight="false" outlineLevel="0" collapsed="false">
      <c r="A8" s="31" t="n">
        <v>100</v>
      </c>
      <c r="B8" s="30" t="s">
        <v>67</v>
      </c>
      <c r="C8" s="33" t="n">
        <v>3.116</v>
      </c>
      <c r="D8" s="33" t="n">
        <v>4.1425</v>
      </c>
      <c r="E8" s="33" t="n">
        <v>4.4002</v>
      </c>
      <c r="F8" s="34" t="n">
        <f aca="false">D8-E8</f>
        <v>-0.2577</v>
      </c>
      <c r="G8" s="33" t="n">
        <v>4.4655</v>
      </c>
      <c r="H8" s="35" t="s">
        <v>64</v>
      </c>
    </row>
    <row r="9" customFormat="false" ht="15" hidden="false" customHeight="false" outlineLevel="0" collapsed="false">
      <c r="A9" s="31" t="n">
        <v>100</v>
      </c>
      <c r="B9" s="30" t="s">
        <v>68</v>
      </c>
      <c r="C9" s="33" t="n">
        <v>1.8284</v>
      </c>
      <c r="D9" s="33" t="n">
        <v>4.5705</v>
      </c>
      <c r="E9" s="33" t="n">
        <v>4.5817</v>
      </c>
      <c r="F9" s="34" t="n">
        <f aca="false">D9-E9</f>
        <v>-0.0111999999999997</v>
      </c>
      <c r="G9" s="33" t="n">
        <v>4.724</v>
      </c>
      <c r="H9" s="35" t="s">
        <v>64</v>
      </c>
    </row>
    <row r="10" customFormat="false" ht="15" hidden="false" customHeight="false" outlineLevel="0" collapsed="false">
      <c r="A10" s="31" t="n">
        <v>133</v>
      </c>
      <c r="B10" s="30" t="s">
        <v>66</v>
      </c>
      <c r="C10" s="33" t="n">
        <v>-0.7839</v>
      </c>
      <c r="D10" s="33" t="n">
        <v>2.1316</v>
      </c>
      <c r="E10" s="33" t="n">
        <v>8.1636</v>
      </c>
      <c r="F10" s="34" t="n">
        <f aca="false">D10-E10</f>
        <v>-6.032</v>
      </c>
      <c r="G10" s="33" t="n">
        <v>8.1892</v>
      </c>
      <c r="H10" s="35" t="s">
        <v>69</v>
      </c>
    </row>
    <row r="11" customFormat="false" ht="15" hidden="false" customHeight="false" outlineLevel="0" collapsed="false">
      <c r="A11" s="31" t="n">
        <v>121</v>
      </c>
      <c r="B11" s="30" t="s">
        <v>70</v>
      </c>
      <c r="C11" s="33" t="n">
        <v>-3.4187</v>
      </c>
      <c r="D11" s="33" t="n">
        <v>-3.3028</v>
      </c>
      <c r="E11" s="33" t="n">
        <v>6.8563</v>
      </c>
      <c r="F11" s="34" t="n">
        <f aca="false">D11-E11</f>
        <v>-10.1591</v>
      </c>
      <c r="G11" s="33" t="n">
        <v>7.172</v>
      </c>
      <c r="H11" s="35" t="s">
        <v>71</v>
      </c>
    </row>
    <row r="13" customFormat="false" ht="15" hidden="false" customHeight="false" outlineLevel="0" collapsed="false">
      <c r="A13" s="36" t="s">
        <v>72</v>
      </c>
      <c r="B13" s="37" t="s">
        <v>73</v>
      </c>
      <c r="C13" s="38" t="n">
        <f aca="false">MEDIAN(C5:C9)</f>
        <v>3.116</v>
      </c>
      <c r="D13" s="38" t="n">
        <f aca="false">MEDIAN(D5:D9)</f>
        <v>4.5705</v>
      </c>
      <c r="E13" s="38" t="n">
        <f aca="false">MEDIAN(E5:E9)</f>
        <v>4.5817</v>
      </c>
      <c r="F13" s="39" t="n">
        <f aca="false">MEDIAN(F5:F9)</f>
        <v>-0.0111999999999997</v>
      </c>
      <c r="G13" s="38" t="n">
        <f aca="false">MEDIAN(G5:G9)</f>
        <v>4.724</v>
      </c>
      <c r="H13" s="37"/>
    </row>
    <row r="15" customFormat="false" ht="15" hidden="false" customHeight="false" outlineLevel="0" collapsed="false">
      <c r="A15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2"/>
  </cols>
  <sheetData>
    <row r="1" customFormat="false" ht="20.1" hidden="false" customHeight="false" outlineLevel="0" collapsed="false">
      <c r="A1" s="1" t="s">
        <v>75</v>
      </c>
    </row>
    <row r="4" customFormat="false" ht="15" hidden="false" customHeight="false" outlineLevel="0" collapsed="false">
      <c r="A4" s="4" t="s">
        <v>76</v>
      </c>
      <c r="B4" s="4" t="s">
        <v>77</v>
      </c>
      <c r="C4" s="4" t="s">
        <v>78</v>
      </c>
      <c r="D4" s="4" t="s">
        <v>79</v>
      </c>
    </row>
    <row r="5" customFormat="false" ht="15" hidden="false" customHeight="false" outlineLevel="0" collapsed="false">
      <c r="A5" s="25" t="s">
        <v>80</v>
      </c>
      <c r="B5" s="40" t="n">
        <f aca="false">MEDIAN(逐记录数据!$S$2:$S$1401)</f>
        <v>0.59519825</v>
      </c>
      <c r="C5" s="40" t="n">
        <f aca="false">MEDIAN(逐记录数据!$Q$2:$Q$1401)</f>
        <v>2.3876736</v>
      </c>
      <c r="D5" s="41" t="n">
        <f aca="false">B5+C5</f>
        <v>2.98287185</v>
      </c>
    </row>
    <row r="6" customFormat="false" ht="15" hidden="false" customHeight="false" outlineLevel="0" collapsed="false">
      <c r="A6" s="25" t="s">
        <v>81</v>
      </c>
      <c r="B6" s="40" t="n">
        <f aca="false">MEDIAN(逐记录数据!$T$2:$T$1401)</f>
        <v>0.8141479</v>
      </c>
      <c r="C6" s="40" t="n">
        <f aca="false">MEDIAN(逐记录数据!$R$2:$R$1401)</f>
        <v>2.1308593</v>
      </c>
      <c r="D6" s="40" t="n">
        <f aca="false">B6+C6</f>
        <v>2.9450072</v>
      </c>
    </row>
    <row r="7" customFormat="false" ht="15" hidden="false" customHeight="false" outlineLevel="0" collapsed="false">
      <c r="A7" s="25" t="s">
        <v>82</v>
      </c>
      <c r="B7" s="40" t="n">
        <f aca="false">MEDIAN(逐记录数据!$T$2:$T$1401)</f>
        <v>0.8141479</v>
      </c>
      <c r="C7" s="33" t="n">
        <v>0</v>
      </c>
      <c r="D7" s="41" t="n">
        <f aca="false">B7+C7</f>
        <v>0.8141479</v>
      </c>
    </row>
    <row r="9" customFormat="false" ht="15" hidden="false" customHeight="false" outlineLevel="0" collapsed="false">
      <c r="A9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9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2" min="11" style="0" width="16"/>
    <col collapsed="false" customWidth="true" hidden="false" outlineLevel="0" max="13" min="13" style="0" width="12"/>
    <col collapsed="false" customWidth="true" hidden="false" outlineLevel="0" max="15" min="14" style="0" width="10"/>
    <col collapsed="false" customWidth="true" hidden="false" outlineLevel="0" max="16" min="16" style="0" width="11"/>
    <col collapsed="false" customWidth="true" hidden="false" outlineLevel="0" max="19" min="17" style="0" width="14"/>
    <col collapsed="false" customWidth="true" hidden="false" outlineLevel="0" max="20" min="20" style="0" width="13"/>
  </cols>
  <sheetData>
    <row r="1" customFormat="false" ht="42" hidden="false" customHeight="true" outlineLevel="0" collapsed="false">
      <c r="A1" s="4" t="s">
        <v>40</v>
      </c>
      <c r="B1" s="4" t="s">
        <v>48</v>
      </c>
      <c r="C1" s="4" t="s">
        <v>84</v>
      </c>
      <c r="D1" s="4" t="s">
        <v>85</v>
      </c>
      <c r="E1" s="3" t="s">
        <v>49</v>
      </c>
      <c r="F1" s="3" t="s">
        <v>26</v>
      </c>
      <c r="G1" s="3" t="s">
        <v>27</v>
      </c>
      <c r="H1" s="3" t="s">
        <v>50</v>
      </c>
      <c r="I1" s="3" t="s">
        <v>86</v>
      </c>
      <c r="J1" s="3" t="s">
        <v>87</v>
      </c>
      <c r="K1" s="4" t="s">
        <v>88</v>
      </c>
      <c r="L1" s="3" t="s">
        <v>89</v>
      </c>
      <c r="M1" s="4" t="s">
        <v>90</v>
      </c>
      <c r="N1" s="3" t="s">
        <v>91</v>
      </c>
      <c r="O1" s="3" t="s">
        <v>92</v>
      </c>
      <c r="P1" s="3" t="s">
        <v>93</v>
      </c>
      <c r="Q1" s="4" t="s">
        <v>94</v>
      </c>
      <c r="R1" s="4" t="s">
        <v>95</v>
      </c>
      <c r="S1" s="3" t="s">
        <v>96</v>
      </c>
      <c r="T1" s="3" t="s">
        <v>97</v>
      </c>
    </row>
    <row r="2" customFormat="false" ht="15" hidden="false" customHeight="false" outlineLevel="0" collapsed="false">
      <c r="A2" s="42" t="s">
        <v>44</v>
      </c>
      <c r="B2" s="42" t="n">
        <v>-20</v>
      </c>
      <c r="C2" s="42" t="n">
        <v>1</v>
      </c>
      <c r="D2" s="42" t="n">
        <v>74270916</v>
      </c>
      <c r="E2" s="43" t="n">
        <v>0.0121024959083075</v>
      </c>
      <c r="F2" s="43" t="n">
        <v>0.0109832404626119</v>
      </c>
      <c r="G2" s="43" t="n">
        <v>0.527592133195518</v>
      </c>
      <c r="H2" s="43" t="n">
        <v>0.537871465637488</v>
      </c>
      <c r="I2" s="42" t="n">
        <v>0</v>
      </c>
      <c r="J2" s="42" t="n">
        <v>1</v>
      </c>
      <c r="K2" s="44" t="str">
        <f aca="false">IF(AND(I2=1,J2=1),"两者都跟住",IF(AND(I2=0,J2=1),"仅 PC-TBD 跟住",IF(AND(I2=1,J2=0),"仅 VIT-LPS 跟住","都没跟住")))</f>
        <v>仅 PC-TBD 跟住</v>
      </c>
      <c r="L2" s="45" t="n">
        <f aca="false">F2-G2</f>
        <v>-0.516608892732906</v>
      </c>
      <c r="M2" s="46" t="n">
        <v>0.9608383</v>
      </c>
      <c r="N2" s="46" t="n">
        <v>0.4484307</v>
      </c>
      <c r="O2" s="46" t="n">
        <v>4.801817</v>
      </c>
      <c r="P2" s="46" t="n">
        <v>0.9465339</v>
      </c>
      <c r="Q2" s="46" t="n">
        <v>6.0239724</v>
      </c>
      <c r="R2" s="46" t="n">
        <v>3.5258799</v>
      </c>
      <c r="S2" s="47" t="n">
        <f aca="false">M2+N2+O2</f>
        <v>6.211086</v>
      </c>
      <c r="T2" s="47" t="n">
        <f aca="false">M2+P2</f>
        <v>1.9073722</v>
      </c>
    </row>
    <row r="3" customFormat="false" ht="15" hidden="false" customHeight="false" outlineLevel="0" collapsed="false">
      <c r="A3" s="42" t="s">
        <v>44</v>
      </c>
      <c r="B3" s="42" t="n">
        <v>-20</v>
      </c>
      <c r="C3" s="42" t="n">
        <v>2</v>
      </c>
      <c r="D3" s="42" t="n">
        <v>74270917</v>
      </c>
      <c r="E3" s="43" t="n">
        <v>0.0172257043328379</v>
      </c>
      <c r="F3" s="43" t="n">
        <v>0.0152730587160483</v>
      </c>
      <c r="G3" s="43" t="n">
        <v>0.597559006275614</v>
      </c>
      <c r="H3" s="43" t="n">
        <v>0.580794655059486</v>
      </c>
      <c r="I3" s="42" t="n">
        <v>0</v>
      </c>
      <c r="J3" s="42" t="n">
        <v>1</v>
      </c>
      <c r="K3" s="44" t="str">
        <f aca="false">IF(AND(I3=1,J3=1),"两者都跟住",IF(AND(I3=0,J3=1),"仅 PC-TBD 跟住",IF(AND(I3=1,J3=0),"仅 VIT-LPS 跟住","都没跟住")))</f>
        <v>仅 PC-TBD 跟住</v>
      </c>
      <c r="L3" s="45" t="n">
        <f aca="false">F3-G3</f>
        <v>-0.582285947559566</v>
      </c>
      <c r="M3" s="46" t="n">
        <v>0.9564562</v>
      </c>
      <c r="N3" s="46" t="n">
        <v>0.4501865</v>
      </c>
      <c r="O3" s="46" t="n">
        <v>4.7845485</v>
      </c>
      <c r="P3" s="46" t="n">
        <v>1.1592206</v>
      </c>
      <c r="Q3" s="46" t="n">
        <v>6.2772088</v>
      </c>
      <c r="R3" s="46" t="n">
        <v>2.6053011</v>
      </c>
      <c r="S3" s="47" t="n">
        <f aca="false">M3+N3+O3</f>
        <v>6.1911912</v>
      </c>
      <c r="T3" s="47" t="n">
        <f aca="false">M3+P3</f>
        <v>2.1156768</v>
      </c>
    </row>
    <row r="4" customFormat="false" ht="15" hidden="false" customHeight="false" outlineLevel="0" collapsed="false">
      <c r="A4" s="42" t="s">
        <v>44</v>
      </c>
      <c r="B4" s="42" t="n">
        <v>-20</v>
      </c>
      <c r="C4" s="42" t="n">
        <v>3</v>
      </c>
      <c r="D4" s="42" t="n">
        <v>74270918</v>
      </c>
      <c r="E4" s="43" t="n">
        <v>0.0139174276763996</v>
      </c>
      <c r="F4" s="43" t="n">
        <v>0.0121058888185423</v>
      </c>
      <c r="G4" s="43" t="n">
        <v>0.382304729392781</v>
      </c>
      <c r="H4" s="43" t="n">
        <v>0.386224726428556</v>
      </c>
      <c r="I4" s="42" t="n">
        <v>0</v>
      </c>
      <c r="J4" s="42" t="n">
        <v>1</v>
      </c>
      <c r="K4" s="44" t="str">
        <f aca="false">IF(AND(I4=1,J4=1),"两者都跟住",IF(AND(I4=0,J4=1),"仅 PC-TBD 跟住",IF(AND(I4=1,J4=0),"仅 VIT-LPS 跟住","都没跟住")))</f>
        <v>仅 PC-TBD 跟住</v>
      </c>
      <c r="L4" s="45" t="n">
        <f aca="false">F4-G4</f>
        <v>-0.370198840574239</v>
      </c>
      <c r="M4" s="46" t="n">
        <v>0.9576839</v>
      </c>
      <c r="N4" s="46" t="n">
        <v>0.4500238</v>
      </c>
      <c r="O4" s="46" t="n">
        <v>4.7863051</v>
      </c>
      <c r="P4" s="46" t="n">
        <v>1.1201996</v>
      </c>
      <c r="Q4" s="46" t="n">
        <v>5.1184558</v>
      </c>
      <c r="R4" s="46" t="n">
        <v>4.1705291</v>
      </c>
      <c r="S4" s="47" t="n">
        <f aca="false">M4+N4+O4</f>
        <v>6.1940128</v>
      </c>
      <c r="T4" s="47" t="n">
        <f aca="false">M4+P4</f>
        <v>2.0778835</v>
      </c>
    </row>
    <row r="5" customFormat="false" ht="15" hidden="false" customHeight="false" outlineLevel="0" collapsed="false">
      <c r="A5" s="42" t="s">
        <v>44</v>
      </c>
      <c r="B5" s="42" t="n">
        <v>-20</v>
      </c>
      <c r="C5" s="42" t="n">
        <v>4</v>
      </c>
      <c r="D5" s="42" t="n">
        <v>74270919</v>
      </c>
      <c r="E5" s="43" t="n">
        <v>0.0176805806660396</v>
      </c>
      <c r="F5" s="43" t="n">
        <v>0.0231579965402664</v>
      </c>
      <c r="G5" s="43" t="n">
        <v>0.728335430617408</v>
      </c>
      <c r="H5" s="43" t="n">
        <v>0.760259288049788</v>
      </c>
      <c r="I5" s="42" t="n">
        <v>0</v>
      </c>
      <c r="J5" s="42" t="n">
        <v>1</v>
      </c>
      <c r="K5" s="44" t="str">
        <f aca="false">IF(AND(I5=1,J5=1),"两者都跟住",IF(AND(I5=0,J5=1),"仅 PC-TBD 跟住",IF(AND(I5=1,J5=0),"仅 VIT-LPS 跟住","都没跟住")))</f>
        <v>仅 PC-TBD 跟住</v>
      </c>
      <c r="L5" s="45" t="n">
        <f aca="false">F5-G5</f>
        <v>-0.705177434077142</v>
      </c>
      <c r="M5" s="46" t="n">
        <v>0.9403815</v>
      </c>
      <c r="N5" s="46" t="n">
        <v>0.4734887</v>
      </c>
      <c r="O5" s="46" t="n">
        <v>4.7943145</v>
      </c>
      <c r="P5" s="46" t="n">
        <v>0.9460576</v>
      </c>
      <c r="Q5" s="46" t="n">
        <v>6.5264554</v>
      </c>
      <c r="R5" s="46" t="n">
        <v>3.0853848</v>
      </c>
      <c r="S5" s="47" t="n">
        <f aca="false">M5+N5+O5</f>
        <v>6.2081847</v>
      </c>
      <c r="T5" s="47" t="n">
        <f aca="false">M5+P5</f>
        <v>1.8864391</v>
      </c>
    </row>
    <row r="6" customFormat="false" ht="15" hidden="false" customHeight="false" outlineLevel="0" collapsed="false">
      <c r="A6" s="42" t="s">
        <v>44</v>
      </c>
      <c r="B6" s="42" t="n">
        <v>-20</v>
      </c>
      <c r="C6" s="42" t="n">
        <v>5</v>
      </c>
      <c r="D6" s="42" t="n">
        <v>74270920</v>
      </c>
      <c r="E6" s="43" t="n">
        <v>0.0131252060721699</v>
      </c>
      <c r="F6" s="43" t="n">
        <v>0.019700438539568</v>
      </c>
      <c r="G6" s="43" t="n">
        <v>0.54598564529663</v>
      </c>
      <c r="H6" s="43" t="n">
        <v>0.556194150658031</v>
      </c>
      <c r="I6" s="42" t="n">
        <v>0</v>
      </c>
      <c r="J6" s="42" t="n">
        <v>1</v>
      </c>
      <c r="K6" s="44" t="str">
        <f aca="false">IF(AND(I6=1,J6=1),"两者都跟住",IF(AND(I6=0,J6=1),"仅 PC-TBD 跟住",IF(AND(I6=1,J6=0),"仅 VIT-LPS 跟住","都没跟住")))</f>
        <v>仅 PC-TBD 跟住</v>
      </c>
      <c r="L6" s="45" t="n">
        <f aca="false">F6-G6</f>
        <v>-0.526285206757062</v>
      </c>
      <c r="M6" s="46" t="n">
        <v>0.8871358</v>
      </c>
      <c r="N6" s="46" t="n">
        <v>0.5283882</v>
      </c>
      <c r="O6" s="46" t="n">
        <v>4.7874004</v>
      </c>
      <c r="P6" s="46" t="n">
        <v>0.9563196</v>
      </c>
      <c r="Q6" s="46" t="n">
        <v>9.5248609</v>
      </c>
      <c r="R6" s="46" t="n">
        <v>3.2127996</v>
      </c>
      <c r="S6" s="47" t="n">
        <f aca="false">M6+N6+O6</f>
        <v>6.2029244</v>
      </c>
      <c r="T6" s="47" t="n">
        <f aca="false">M6+P6</f>
        <v>1.8434554</v>
      </c>
    </row>
    <row r="7" customFormat="false" ht="15" hidden="false" customHeight="false" outlineLevel="0" collapsed="false">
      <c r="A7" s="42" t="s">
        <v>44</v>
      </c>
      <c r="B7" s="42" t="n">
        <v>-20</v>
      </c>
      <c r="C7" s="42" t="n">
        <v>6</v>
      </c>
      <c r="D7" s="42" t="n">
        <v>74270921</v>
      </c>
      <c r="E7" s="43" t="n">
        <v>0.0173885111513009</v>
      </c>
      <c r="F7" s="43" t="n">
        <v>0.0200332405860075</v>
      </c>
      <c r="G7" s="43" t="n">
        <v>0.546775219150148</v>
      </c>
      <c r="H7" s="43" t="n">
        <v>0.537020981753655</v>
      </c>
      <c r="I7" s="42" t="n">
        <v>0</v>
      </c>
      <c r="J7" s="42" t="n">
        <v>1</v>
      </c>
      <c r="K7" s="44" t="str">
        <f aca="false">IF(AND(I7=1,J7=1),"两者都跟住",IF(AND(I7=0,J7=1),"仅 PC-TBD 跟住",IF(AND(I7=1,J7=0),"仅 VIT-LPS 跟住","都没跟住")))</f>
        <v>仅 PC-TBD 跟住</v>
      </c>
      <c r="L7" s="45" t="n">
        <f aca="false">F7-G7</f>
        <v>-0.526741978564141</v>
      </c>
      <c r="M7" s="46" t="n">
        <v>0.9741426</v>
      </c>
      <c r="N7" s="46" t="n">
        <v>0.441515</v>
      </c>
      <c r="O7" s="46" t="n">
        <v>4.7743243</v>
      </c>
      <c r="P7" s="46" t="n">
        <v>0.9702023</v>
      </c>
      <c r="Q7" s="46" t="n">
        <v>6.3096409</v>
      </c>
      <c r="R7" s="46" t="n">
        <v>4.1933897</v>
      </c>
      <c r="S7" s="47" t="n">
        <f aca="false">M7+N7+O7</f>
        <v>6.1899819</v>
      </c>
      <c r="T7" s="47" t="n">
        <f aca="false">M7+P7</f>
        <v>1.9443449</v>
      </c>
    </row>
    <row r="8" customFormat="false" ht="15" hidden="false" customHeight="false" outlineLevel="0" collapsed="false">
      <c r="A8" s="42" t="s">
        <v>44</v>
      </c>
      <c r="B8" s="42" t="n">
        <v>-20</v>
      </c>
      <c r="C8" s="42" t="n">
        <v>7</v>
      </c>
      <c r="D8" s="42" t="n">
        <v>74270922</v>
      </c>
      <c r="E8" s="43" t="n">
        <v>0.41558753828609</v>
      </c>
      <c r="F8" s="43" t="n">
        <v>0.888429457876081</v>
      </c>
      <c r="G8" s="43" t="n">
        <v>0.790922359213465</v>
      </c>
      <c r="H8" s="43" t="n">
        <v>0.802144714530451</v>
      </c>
      <c r="I8" s="42" t="n">
        <v>1</v>
      </c>
      <c r="J8" s="42" t="n">
        <v>1</v>
      </c>
      <c r="K8" s="44" t="str">
        <f aca="false">IF(AND(I8=1,J8=1),"两者都跟住",IF(AND(I8=0,J8=1),"仅 PC-TBD 跟住",IF(AND(I8=1,J8=0),"仅 VIT-LPS 跟住","都没跟住")))</f>
        <v>两者都跟住</v>
      </c>
      <c r="L8" s="45" t="n">
        <f aca="false">F8-G8</f>
        <v>0.097507098662616</v>
      </c>
      <c r="M8" s="46" t="n">
        <v>0.2504968</v>
      </c>
      <c r="N8" s="46" t="n">
        <v>0.1811916</v>
      </c>
      <c r="O8" s="46" t="n">
        <v>0.4118508</v>
      </c>
      <c r="P8" s="46" t="n">
        <v>0.6856143</v>
      </c>
      <c r="Q8" s="46" t="n">
        <v>7.1439227</v>
      </c>
      <c r="R8" s="46" t="n">
        <v>2.010909</v>
      </c>
      <c r="S8" s="47" t="n">
        <f aca="false">M8+N8+O8</f>
        <v>0.8435392</v>
      </c>
      <c r="T8" s="47" t="n">
        <f aca="false">M8+P8</f>
        <v>0.9361111</v>
      </c>
    </row>
    <row r="9" customFormat="false" ht="15" hidden="false" customHeight="false" outlineLevel="0" collapsed="false">
      <c r="A9" s="42" t="s">
        <v>44</v>
      </c>
      <c r="B9" s="42" t="n">
        <v>-20</v>
      </c>
      <c r="C9" s="42" t="n">
        <v>8</v>
      </c>
      <c r="D9" s="42" t="n">
        <v>74270923</v>
      </c>
      <c r="E9" s="43" t="n">
        <v>0.382850612926959</v>
      </c>
      <c r="F9" s="43" t="n">
        <v>0.859217478870338</v>
      </c>
      <c r="G9" s="43" t="n">
        <v>0.692861746159398</v>
      </c>
      <c r="H9" s="43" t="n">
        <v>0.731415399788216</v>
      </c>
      <c r="I9" s="42" t="n">
        <v>1</v>
      </c>
      <c r="J9" s="42" t="n">
        <v>1</v>
      </c>
      <c r="K9" s="44" t="str">
        <f aca="false">IF(AND(I9=1,J9=1),"两者都跟住",IF(AND(I9=0,J9=1),"仅 PC-TBD 跟住",IF(AND(I9=1,J9=0),"仅 VIT-LPS 跟住","都没跟住")))</f>
        <v>两者都跟住</v>
      </c>
      <c r="L9" s="45" t="n">
        <f aca="false">F9-G9</f>
        <v>0.16635573271094</v>
      </c>
      <c r="M9" s="46" t="n">
        <v>0.2076259</v>
      </c>
      <c r="N9" s="46" t="n">
        <v>0.1251198</v>
      </c>
      <c r="O9" s="46" t="n">
        <v>0.3902786</v>
      </c>
      <c r="P9" s="46" t="n">
        <v>0.5688921</v>
      </c>
      <c r="Q9" s="46" t="n">
        <v>2.2215157</v>
      </c>
      <c r="R9" s="46" t="n">
        <v>2.1725767</v>
      </c>
      <c r="S9" s="47" t="n">
        <f aca="false">M9+N9+O9</f>
        <v>0.7230243</v>
      </c>
      <c r="T9" s="47" t="n">
        <f aca="false">M9+P9</f>
        <v>0.776518</v>
      </c>
    </row>
    <row r="10" customFormat="false" ht="15" hidden="false" customHeight="false" outlineLevel="0" collapsed="false">
      <c r="A10" s="42" t="s">
        <v>44</v>
      </c>
      <c r="B10" s="42" t="n">
        <v>-20</v>
      </c>
      <c r="C10" s="42" t="n">
        <v>9</v>
      </c>
      <c r="D10" s="42" t="n">
        <v>74270924</v>
      </c>
      <c r="E10" s="43" t="n">
        <v>0.0222429944921735</v>
      </c>
      <c r="F10" s="43" t="n">
        <v>0.036779188967954</v>
      </c>
      <c r="G10" s="43" t="n">
        <v>0.589442459747969</v>
      </c>
      <c r="H10" s="43" t="n">
        <v>0.618257012514866</v>
      </c>
      <c r="I10" s="42" t="n">
        <v>0</v>
      </c>
      <c r="J10" s="42" t="n">
        <v>1</v>
      </c>
      <c r="K10" s="44" t="str">
        <f aca="false">IF(AND(I10=1,J10=1),"两者都跟住",IF(AND(I10=0,J10=1),"仅 PC-TBD 跟住",IF(AND(I10=1,J10=0),"仅 VIT-LPS 跟住","都没跟住")))</f>
        <v>仅 PC-TBD 跟住</v>
      </c>
      <c r="L10" s="45" t="n">
        <f aca="false">F10-G10</f>
        <v>-0.552663270780015</v>
      </c>
      <c r="M10" s="46" t="n">
        <v>0.2437708</v>
      </c>
      <c r="N10" s="46" t="n">
        <v>0.1523622</v>
      </c>
      <c r="O10" s="46" t="n">
        <v>0.501088</v>
      </c>
      <c r="P10" s="46" t="n">
        <v>0.6128115</v>
      </c>
      <c r="Q10" s="46" t="n">
        <v>6.7186624</v>
      </c>
      <c r="R10" s="46" t="n">
        <v>2.1476202</v>
      </c>
      <c r="S10" s="47" t="n">
        <f aca="false">M10+N10+O10</f>
        <v>0.897221</v>
      </c>
      <c r="T10" s="47" t="n">
        <f aca="false">M10+P10</f>
        <v>0.8565823</v>
      </c>
    </row>
    <row r="11" customFormat="false" ht="15" hidden="false" customHeight="false" outlineLevel="0" collapsed="false">
      <c r="A11" s="42" t="s">
        <v>44</v>
      </c>
      <c r="B11" s="42" t="n">
        <v>-20</v>
      </c>
      <c r="C11" s="42" t="n">
        <v>10</v>
      </c>
      <c r="D11" s="42" t="n">
        <v>74270925</v>
      </c>
      <c r="E11" s="43" t="n">
        <v>0.0203079586432043</v>
      </c>
      <c r="F11" s="43" t="n">
        <v>0.0122016515657981</v>
      </c>
      <c r="G11" s="43" t="n">
        <v>0.412930262974801</v>
      </c>
      <c r="H11" s="43" t="n">
        <v>0.434652875949076</v>
      </c>
      <c r="I11" s="42" t="n">
        <v>0</v>
      </c>
      <c r="J11" s="42" t="n">
        <v>1</v>
      </c>
      <c r="K11" s="44" t="str">
        <f aca="false">IF(AND(I11=1,J11=1),"两者都跟住",IF(AND(I11=0,J11=1),"仅 PC-TBD 跟住",IF(AND(I11=1,J11=0),"仅 VIT-LPS 跟住","都没跟住")))</f>
        <v>仅 PC-TBD 跟住</v>
      </c>
      <c r="L11" s="45" t="n">
        <f aca="false">F11-G11</f>
        <v>-0.400728611409003</v>
      </c>
      <c r="M11" s="46" t="n">
        <v>0.2301</v>
      </c>
      <c r="N11" s="46" t="n">
        <v>0.1542407</v>
      </c>
      <c r="O11" s="46" t="n">
        <v>0.4655236</v>
      </c>
      <c r="P11" s="46" t="n">
        <v>0.6620011</v>
      </c>
      <c r="Q11" s="46" t="n">
        <v>6.0165152</v>
      </c>
      <c r="R11" s="46" t="n">
        <v>1.6777504</v>
      </c>
      <c r="S11" s="47" t="n">
        <f aca="false">M11+N11+O11</f>
        <v>0.8498643</v>
      </c>
      <c r="T11" s="47" t="n">
        <f aca="false">M11+P11</f>
        <v>0.8921011</v>
      </c>
    </row>
    <row r="12" customFormat="false" ht="15" hidden="false" customHeight="false" outlineLevel="0" collapsed="false">
      <c r="A12" s="42" t="s">
        <v>44</v>
      </c>
      <c r="B12" s="42" t="n">
        <v>-20</v>
      </c>
      <c r="C12" s="42" t="n">
        <v>11</v>
      </c>
      <c r="D12" s="42" t="n">
        <v>74270926</v>
      </c>
      <c r="E12" s="43" t="n">
        <v>0.0124866078469914</v>
      </c>
      <c r="F12" s="43" t="n">
        <v>0.0142479882248129</v>
      </c>
      <c r="G12" s="43" t="n">
        <v>0.21845237847819</v>
      </c>
      <c r="H12" s="43" t="n">
        <v>0.225161596108185</v>
      </c>
      <c r="I12" s="42" t="n">
        <v>0</v>
      </c>
      <c r="J12" s="42" t="n">
        <v>0</v>
      </c>
      <c r="K12" s="44" t="str">
        <f aca="false">IF(AND(I12=1,J12=1),"两者都跟住",IF(AND(I12=0,J12=1),"仅 PC-TBD 跟住",IF(AND(I12=1,J12=0),"仅 VIT-LPS 跟住","都没跟住")))</f>
        <v>都没跟住</v>
      </c>
      <c r="L12" s="45" t="n">
        <f aca="false">F12-G12</f>
        <v>-0.204204390253377</v>
      </c>
      <c r="M12" s="46" t="n">
        <v>0.3236525</v>
      </c>
      <c r="N12" s="46" t="n">
        <v>0.2031285</v>
      </c>
      <c r="O12" s="46" t="n">
        <v>0.532548</v>
      </c>
      <c r="P12" s="46" t="n">
        <v>1.0775688</v>
      </c>
      <c r="Q12" s="46" t="n">
        <v>8.5894008</v>
      </c>
      <c r="R12" s="46" t="n">
        <v>2.982436</v>
      </c>
      <c r="S12" s="47" t="n">
        <f aca="false">M12+N12+O12</f>
        <v>1.059329</v>
      </c>
      <c r="T12" s="47" t="n">
        <f aca="false">M12+P12</f>
        <v>1.4012213</v>
      </c>
    </row>
    <row r="13" customFormat="false" ht="15" hidden="false" customHeight="false" outlineLevel="0" collapsed="false">
      <c r="A13" s="42" t="s">
        <v>44</v>
      </c>
      <c r="B13" s="42" t="n">
        <v>-20</v>
      </c>
      <c r="C13" s="42" t="n">
        <v>12</v>
      </c>
      <c r="D13" s="42" t="n">
        <v>74270927</v>
      </c>
      <c r="E13" s="43" t="n">
        <v>0.0156187700685226</v>
      </c>
      <c r="F13" s="43" t="n">
        <v>0.011834207618524</v>
      </c>
      <c r="G13" s="43" t="n">
        <v>0.445329160144395</v>
      </c>
      <c r="H13" s="43" t="n">
        <v>0.462324816144958</v>
      </c>
      <c r="I13" s="42" t="n">
        <v>0</v>
      </c>
      <c r="J13" s="42" t="n">
        <v>0</v>
      </c>
      <c r="K13" s="44" t="str">
        <f aca="false">IF(AND(I13=1,J13=1),"两者都跟住",IF(AND(I13=0,J13=1),"仅 PC-TBD 跟住",IF(AND(I13=1,J13=0),"仅 VIT-LPS 跟住","都没跟住")))</f>
        <v>都没跟住</v>
      </c>
      <c r="L13" s="45" t="n">
        <f aca="false">F13-G13</f>
        <v>-0.433494952525871</v>
      </c>
      <c r="M13" s="46" t="n">
        <v>0.3624401</v>
      </c>
      <c r="N13" s="46" t="n">
        <v>0.1519546</v>
      </c>
      <c r="O13" s="46" t="n">
        <v>0.484349</v>
      </c>
      <c r="P13" s="46" t="n">
        <v>1.0733681</v>
      </c>
      <c r="Q13" s="46" t="n">
        <v>4.5751526</v>
      </c>
      <c r="R13" s="46" t="n">
        <v>3.9434931</v>
      </c>
      <c r="S13" s="47" t="n">
        <f aca="false">M13+N13+O13</f>
        <v>0.9987437</v>
      </c>
      <c r="T13" s="47" t="n">
        <f aca="false">M13+P13</f>
        <v>1.4358082</v>
      </c>
    </row>
    <row r="14" customFormat="false" ht="15" hidden="false" customHeight="false" outlineLevel="0" collapsed="false">
      <c r="A14" s="42" t="s">
        <v>44</v>
      </c>
      <c r="B14" s="42" t="n">
        <v>-20</v>
      </c>
      <c r="C14" s="42" t="n">
        <v>13</v>
      </c>
      <c r="D14" s="42" t="n">
        <v>74270928</v>
      </c>
      <c r="E14" s="43" t="n">
        <v>0.0139901216523531</v>
      </c>
      <c r="F14" s="43" t="n">
        <v>0.0103536998300874</v>
      </c>
      <c r="G14" s="43" t="n">
        <v>0.637068624448087</v>
      </c>
      <c r="H14" s="43" t="n">
        <v>0.618489827571962</v>
      </c>
      <c r="I14" s="42" t="n">
        <v>0</v>
      </c>
      <c r="J14" s="42" t="n">
        <v>1</v>
      </c>
      <c r="K14" s="44" t="str">
        <f aca="false">IF(AND(I14=1,J14=1),"两者都跟住",IF(AND(I14=0,J14=1),"仅 PC-TBD 跟住",IF(AND(I14=1,J14=0),"仅 VIT-LPS 跟住","都没跟住")))</f>
        <v>仅 PC-TBD 跟住</v>
      </c>
      <c r="L14" s="45" t="n">
        <f aca="false">F14-G14</f>
        <v>-0.626714924618</v>
      </c>
      <c r="M14" s="46" t="n">
        <v>0.3618508</v>
      </c>
      <c r="N14" s="46" t="n">
        <v>0.1887566</v>
      </c>
      <c r="O14" s="46" t="n">
        <v>0.5037829</v>
      </c>
      <c r="P14" s="46" t="n">
        <v>1.0325637</v>
      </c>
      <c r="Q14" s="46" t="n">
        <v>8.5908191</v>
      </c>
      <c r="R14" s="46" t="n">
        <v>3.2876054</v>
      </c>
      <c r="S14" s="47" t="n">
        <f aca="false">M14+N14+O14</f>
        <v>1.0543903</v>
      </c>
      <c r="T14" s="47" t="n">
        <f aca="false">M14+P14</f>
        <v>1.3944145</v>
      </c>
    </row>
    <row r="15" customFormat="false" ht="15" hidden="false" customHeight="false" outlineLevel="0" collapsed="false">
      <c r="A15" s="42" t="s">
        <v>44</v>
      </c>
      <c r="B15" s="42" t="n">
        <v>-20</v>
      </c>
      <c r="C15" s="42" t="n">
        <v>14</v>
      </c>
      <c r="D15" s="42" t="n">
        <v>74270929</v>
      </c>
      <c r="E15" s="43" t="n">
        <v>0.0201131148406595</v>
      </c>
      <c r="F15" s="43" t="n">
        <v>0.026696088918807</v>
      </c>
      <c r="G15" s="43" t="n">
        <v>0.688233300847072</v>
      </c>
      <c r="H15" s="43" t="n">
        <v>0.686219464555792</v>
      </c>
      <c r="I15" s="42" t="n">
        <v>0</v>
      </c>
      <c r="J15" s="42" t="n">
        <v>1</v>
      </c>
      <c r="K15" s="44" t="str">
        <f aca="false">IF(AND(I15=1,J15=1),"两者都跟住",IF(AND(I15=0,J15=1),"仅 PC-TBD 跟住",IF(AND(I15=1,J15=0),"仅 VIT-LPS 跟住","都没跟住")))</f>
        <v>仅 PC-TBD 跟住</v>
      </c>
      <c r="L15" s="45" t="n">
        <f aca="false">F15-G15</f>
        <v>-0.661537211928265</v>
      </c>
      <c r="M15" s="46" t="n">
        <v>0.3771957</v>
      </c>
      <c r="N15" s="46" t="n">
        <v>0.1734808</v>
      </c>
      <c r="O15" s="46" t="n">
        <v>0.530598</v>
      </c>
      <c r="P15" s="46" t="n">
        <v>0.851131</v>
      </c>
      <c r="Q15" s="46" t="n">
        <v>9.2571535</v>
      </c>
      <c r="R15" s="46" t="n">
        <v>2.4630893</v>
      </c>
      <c r="S15" s="47" t="n">
        <f aca="false">M15+N15+O15</f>
        <v>1.0812745</v>
      </c>
      <c r="T15" s="47" t="n">
        <f aca="false">M15+P15</f>
        <v>1.2283267</v>
      </c>
    </row>
    <row r="16" customFormat="false" ht="15" hidden="false" customHeight="false" outlineLevel="0" collapsed="false">
      <c r="A16" s="42" t="s">
        <v>44</v>
      </c>
      <c r="B16" s="42" t="n">
        <v>-20</v>
      </c>
      <c r="C16" s="42" t="n">
        <v>15</v>
      </c>
      <c r="D16" s="42" t="n">
        <v>74270930</v>
      </c>
      <c r="E16" s="43" t="n">
        <v>0.0186128910753257</v>
      </c>
      <c r="F16" s="43" t="n">
        <v>0.0144287404808428</v>
      </c>
      <c r="G16" s="43" t="n">
        <v>0.359322237603537</v>
      </c>
      <c r="H16" s="43" t="n">
        <v>0.366541121162294</v>
      </c>
      <c r="I16" s="42" t="n">
        <v>0</v>
      </c>
      <c r="J16" s="42" t="n">
        <v>1</v>
      </c>
      <c r="K16" s="44" t="str">
        <f aca="false">IF(AND(I16=1,J16=1),"两者都跟住",IF(AND(I16=0,J16=1),"仅 PC-TBD 跟住",IF(AND(I16=1,J16=0),"仅 VIT-LPS 跟住","都没跟住")))</f>
        <v>仅 PC-TBD 跟住</v>
      </c>
      <c r="L16" s="45" t="n">
        <f aca="false">F16-G16</f>
        <v>-0.344893497122694</v>
      </c>
      <c r="M16" s="46" t="n">
        <v>0.3523633</v>
      </c>
      <c r="N16" s="46" t="n">
        <v>0.1715781</v>
      </c>
      <c r="O16" s="46" t="n">
        <v>0.4496719</v>
      </c>
      <c r="P16" s="46" t="n">
        <v>1.1197717</v>
      </c>
      <c r="Q16" s="46" t="n">
        <v>9.6111445</v>
      </c>
      <c r="R16" s="46" t="n">
        <v>2.2812758</v>
      </c>
      <c r="S16" s="47" t="n">
        <f aca="false">M16+N16+O16</f>
        <v>0.9736133</v>
      </c>
      <c r="T16" s="47" t="n">
        <f aca="false">M16+P16</f>
        <v>1.472135</v>
      </c>
    </row>
    <row r="17" customFormat="false" ht="15" hidden="false" customHeight="false" outlineLevel="0" collapsed="false">
      <c r="A17" s="42" t="s">
        <v>44</v>
      </c>
      <c r="B17" s="42" t="n">
        <v>-20</v>
      </c>
      <c r="C17" s="42" t="n">
        <v>16</v>
      </c>
      <c r="D17" s="42" t="n">
        <v>74270931</v>
      </c>
      <c r="E17" s="43" t="n">
        <v>0.336617945811676</v>
      </c>
      <c r="F17" s="43" t="n">
        <v>0.577453489345849</v>
      </c>
      <c r="G17" s="43" t="n">
        <v>0.464504050921341</v>
      </c>
      <c r="H17" s="43" t="n">
        <v>0.460781398616104</v>
      </c>
      <c r="I17" s="42" t="n">
        <v>0</v>
      </c>
      <c r="J17" s="42" t="n">
        <v>0</v>
      </c>
      <c r="K17" s="44" t="str">
        <f aca="false">IF(AND(I17=1,J17=1),"两者都跟住",IF(AND(I17=0,J17=1),"仅 PC-TBD 跟住",IF(AND(I17=1,J17=0),"仅 VIT-LPS 跟住","都没跟住")))</f>
        <v>都没跟住</v>
      </c>
      <c r="L17" s="45" t="n">
        <f aca="false">F17-G17</f>
        <v>0.112949438424508</v>
      </c>
      <c r="M17" s="46" t="n">
        <v>0.3811208</v>
      </c>
      <c r="N17" s="46" t="n">
        <v>0.1618283</v>
      </c>
      <c r="O17" s="46" t="n">
        <v>0.4138214</v>
      </c>
      <c r="P17" s="46" t="n">
        <v>0.8896736</v>
      </c>
      <c r="Q17" s="46" t="n">
        <v>3.2399797</v>
      </c>
      <c r="R17" s="46" t="n">
        <v>3.5822614</v>
      </c>
      <c r="S17" s="47" t="n">
        <f aca="false">M17+N17+O17</f>
        <v>0.9567705</v>
      </c>
      <c r="T17" s="47" t="n">
        <f aca="false">M17+P17</f>
        <v>1.2707944</v>
      </c>
    </row>
    <row r="18" customFormat="false" ht="15" hidden="false" customHeight="false" outlineLevel="0" collapsed="false">
      <c r="A18" s="42" t="s">
        <v>44</v>
      </c>
      <c r="B18" s="42" t="n">
        <v>-20</v>
      </c>
      <c r="C18" s="42" t="n">
        <v>17</v>
      </c>
      <c r="D18" s="42" t="n">
        <v>74270932</v>
      </c>
      <c r="E18" s="43" t="n">
        <v>0.269333564168931</v>
      </c>
      <c r="F18" s="43" t="n">
        <v>0.799779553070604</v>
      </c>
      <c r="G18" s="43" t="n">
        <v>0.676637585695971</v>
      </c>
      <c r="H18" s="43" t="n">
        <v>0.669900596704992</v>
      </c>
      <c r="I18" s="42" t="n">
        <v>1</v>
      </c>
      <c r="J18" s="42" t="n">
        <v>1</v>
      </c>
      <c r="K18" s="44" t="str">
        <f aca="false">IF(AND(I18=1,J18=1),"两者都跟住",IF(AND(I18=0,J18=1),"仅 PC-TBD 跟住",IF(AND(I18=1,J18=0),"仅 VIT-LPS 跟住","都没跟住")))</f>
        <v>两者都跟住</v>
      </c>
      <c r="L18" s="45" t="n">
        <f aca="false">F18-G18</f>
        <v>0.123141967374633</v>
      </c>
      <c r="M18" s="46" t="n">
        <v>0.1420131</v>
      </c>
      <c r="N18" s="46" t="n">
        <v>0.0930204</v>
      </c>
      <c r="O18" s="46" t="n">
        <v>0.2670186</v>
      </c>
      <c r="P18" s="46" t="n">
        <v>0.5991926</v>
      </c>
      <c r="Q18" s="46" t="n">
        <v>2.520441</v>
      </c>
      <c r="R18" s="46" t="n">
        <v>2.8430253</v>
      </c>
      <c r="S18" s="47" t="n">
        <f aca="false">M18+N18+O18</f>
        <v>0.5020521</v>
      </c>
      <c r="T18" s="47" t="n">
        <f aca="false">M18+P18</f>
        <v>0.7412057</v>
      </c>
    </row>
    <row r="19" customFormat="false" ht="15" hidden="false" customHeight="false" outlineLevel="0" collapsed="false">
      <c r="A19" s="42" t="s">
        <v>44</v>
      </c>
      <c r="B19" s="42" t="n">
        <v>-20</v>
      </c>
      <c r="C19" s="42" t="n">
        <v>18</v>
      </c>
      <c r="D19" s="42" t="n">
        <v>74270933</v>
      </c>
      <c r="E19" s="43" t="n">
        <v>0.0152235249178846</v>
      </c>
      <c r="F19" s="43" t="n">
        <v>0.0115587191160745</v>
      </c>
      <c r="G19" s="43" t="n">
        <v>0.695319410164431</v>
      </c>
      <c r="H19" s="43" t="n">
        <v>0.71276671470513</v>
      </c>
      <c r="I19" s="42" t="n">
        <v>0</v>
      </c>
      <c r="J19" s="42" t="n">
        <v>1</v>
      </c>
      <c r="K19" s="44" t="str">
        <f aca="false">IF(AND(I19=1,J19=1),"两者都跟住",IF(AND(I19=0,J19=1),"仅 PC-TBD 跟住",IF(AND(I19=1,J19=0),"仅 VIT-LPS 跟住","都没跟住")))</f>
        <v>仅 PC-TBD 跟住</v>
      </c>
      <c r="L19" s="45" t="n">
        <f aca="false">F19-G19</f>
        <v>-0.683760691048357</v>
      </c>
      <c r="M19" s="46" t="n">
        <v>0.2133705</v>
      </c>
      <c r="N19" s="46" t="n">
        <v>0.1500315</v>
      </c>
      <c r="O19" s="46" t="n">
        <v>0.3634753</v>
      </c>
      <c r="P19" s="46" t="n">
        <v>0.5620371</v>
      </c>
      <c r="Q19" s="46" t="n">
        <v>6.6455646</v>
      </c>
      <c r="R19" s="46" t="n">
        <v>1.0595532</v>
      </c>
      <c r="S19" s="47" t="n">
        <f aca="false">M19+N19+O19</f>
        <v>0.7268773</v>
      </c>
      <c r="T19" s="47" t="n">
        <f aca="false">M19+P19</f>
        <v>0.7754076</v>
      </c>
    </row>
    <row r="20" customFormat="false" ht="15" hidden="false" customHeight="false" outlineLevel="0" collapsed="false">
      <c r="A20" s="42" t="s">
        <v>44</v>
      </c>
      <c r="B20" s="42" t="n">
        <v>-20</v>
      </c>
      <c r="C20" s="42" t="n">
        <v>19</v>
      </c>
      <c r="D20" s="42" t="n">
        <v>74270934</v>
      </c>
      <c r="E20" s="43" t="n">
        <v>0.641545814053097</v>
      </c>
      <c r="F20" s="43" t="n">
        <v>0.912343547914046</v>
      </c>
      <c r="G20" s="43" t="n">
        <v>0.883395441859892</v>
      </c>
      <c r="H20" s="43" t="n">
        <v>0.874171474550847</v>
      </c>
      <c r="I20" s="42" t="n">
        <v>1</v>
      </c>
      <c r="J20" s="42" t="n">
        <v>1</v>
      </c>
      <c r="K20" s="44" t="str">
        <f aca="false">IF(AND(I20=1,J20=1),"两者都跟住",IF(AND(I20=0,J20=1),"仅 PC-TBD 跟住",IF(AND(I20=1,J20=0),"仅 VIT-LPS 跟住","都没跟住")))</f>
        <v>两者都跟住</v>
      </c>
      <c r="L20" s="45" t="n">
        <f aca="false">F20-G20</f>
        <v>0.028948106054154</v>
      </c>
      <c r="M20" s="46" t="n">
        <v>0.1664979</v>
      </c>
      <c r="N20" s="46" t="n">
        <v>0.068371</v>
      </c>
      <c r="O20" s="46" t="n">
        <v>0.2534564</v>
      </c>
      <c r="P20" s="46" t="n">
        <v>0.5030085</v>
      </c>
      <c r="Q20" s="46" t="n">
        <v>2.240595</v>
      </c>
      <c r="R20" s="46" t="n">
        <v>2.7736854</v>
      </c>
      <c r="S20" s="47" t="n">
        <f aca="false">M20+N20+O20</f>
        <v>0.4883253</v>
      </c>
      <c r="T20" s="47" t="n">
        <f aca="false">M20+P20</f>
        <v>0.6695064</v>
      </c>
    </row>
    <row r="21" customFormat="false" ht="15" hidden="false" customHeight="false" outlineLevel="0" collapsed="false">
      <c r="A21" s="42" t="s">
        <v>44</v>
      </c>
      <c r="B21" s="42" t="n">
        <v>-20</v>
      </c>
      <c r="C21" s="42" t="n">
        <v>20</v>
      </c>
      <c r="D21" s="42" t="n">
        <v>74270935</v>
      </c>
      <c r="E21" s="43" t="n">
        <v>0.0123547100713211</v>
      </c>
      <c r="F21" s="43" t="n">
        <v>0.015225517853048</v>
      </c>
      <c r="G21" s="43" t="n">
        <v>0.57664096032662</v>
      </c>
      <c r="H21" s="43" t="n">
        <v>0.581550748503741</v>
      </c>
      <c r="I21" s="42" t="n">
        <v>0</v>
      </c>
      <c r="J21" s="42" t="n">
        <v>1</v>
      </c>
      <c r="K21" s="44" t="str">
        <f aca="false">IF(AND(I21=1,J21=1),"两者都跟住",IF(AND(I21=0,J21=1),"仅 PC-TBD 跟住",IF(AND(I21=1,J21=0),"仅 VIT-LPS 跟住","都没跟住")))</f>
        <v>仅 PC-TBD 跟住</v>
      </c>
      <c r="L21" s="45" t="n">
        <f aca="false">F21-G21</f>
        <v>-0.561415442473572</v>
      </c>
      <c r="M21" s="46" t="n">
        <v>0.2007811</v>
      </c>
      <c r="N21" s="46" t="n">
        <v>0.1072291</v>
      </c>
      <c r="O21" s="46" t="n">
        <v>0.2717802</v>
      </c>
      <c r="P21" s="46" t="n">
        <v>0.5557052</v>
      </c>
      <c r="Q21" s="46" t="n">
        <v>3.3156198</v>
      </c>
      <c r="R21" s="46" t="n">
        <v>3.1738376</v>
      </c>
      <c r="S21" s="47" t="n">
        <f aca="false">M21+N21+O21</f>
        <v>0.5797904</v>
      </c>
      <c r="T21" s="47" t="n">
        <f aca="false">M21+P21</f>
        <v>0.7564863</v>
      </c>
    </row>
    <row r="22" customFormat="false" ht="15" hidden="false" customHeight="false" outlineLevel="0" collapsed="false">
      <c r="A22" s="42" t="s">
        <v>44</v>
      </c>
      <c r="B22" s="42" t="n">
        <v>-20</v>
      </c>
      <c r="C22" s="42" t="n">
        <v>21</v>
      </c>
      <c r="D22" s="42" t="n">
        <v>74270936</v>
      </c>
      <c r="E22" s="43" t="n">
        <v>0.0211586294361863</v>
      </c>
      <c r="F22" s="43" t="n">
        <v>0.0214213329076124</v>
      </c>
      <c r="G22" s="43" t="n">
        <v>0.635609650890504</v>
      </c>
      <c r="H22" s="43" t="n">
        <v>0.653815277154757</v>
      </c>
      <c r="I22" s="42" t="n">
        <v>0</v>
      </c>
      <c r="J22" s="42" t="n">
        <v>1</v>
      </c>
      <c r="K22" s="44" t="str">
        <f aca="false">IF(AND(I22=1,J22=1),"两者都跟住",IF(AND(I22=0,J22=1),"仅 PC-TBD 跟住",IF(AND(I22=1,J22=0),"仅 VIT-LPS 跟住","都没跟住")))</f>
        <v>仅 PC-TBD 跟住</v>
      </c>
      <c r="L22" s="45" t="n">
        <f aca="false">F22-G22</f>
        <v>-0.614188317982892</v>
      </c>
      <c r="M22" s="46" t="n">
        <v>0.438754</v>
      </c>
      <c r="N22" s="46" t="n">
        <v>0.2227715</v>
      </c>
      <c r="O22" s="46" t="n">
        <v>0.6271717</v>
      </c>
      <c r="P22" s="46" t="n">
        <v>0.8865754</v>
      </c>
      <c r="Q22" s="46" t="n">
        <v>9.5901832</v>
      </c>
      <c r="R22" s="46" t="n">
        <v>2.7724895</v>
      </c>
      <c r="S22" s="47" t="n">
        <f aca="false">M22+N22+O22</f>
        <v>1.2886972</v>
      </c>
      <c r="T22" s="47" t="n">
        <f aca="false">M22+P22</f>
        <v>1.3253294</v>
      </c>
    </row>
    <row r="23" customFormat="false" ht="15" hidden="false" customHeight="false" outlineLevel="0" collapsed="false">
      <c r="A23" s="42" t="s">
        <v>44</v>
      </c>
      <c r="B23" s="42" t="n">
        <v>-20</v>
      </c>
      <c r="C23" s="42" t="n">
        <v>22</v>
      </c>
      <c r="D23" s="42" t="n">
        <v>74270937</v>
      </c>
      <c r="E23" s="43" t="n">
        <v>0.0264888156479455</v>
      </c>
      <c r="F23" s="43" t="n">
        <v>0.0192051036958354</v>
      </c>
      <c r="G23" s="43" t="n">
        <v>0.697579425901316</v>
      </c>
      <c r="H23" s="43" t="n">
        <v>0.70182964082378</v>
      </c>
      <c r="I23" s="42" t="n">
        <v>0</v>
      </c>
      <c r="J23" s="42" t="n">
        <v>1</v>
      </c>
      <c r="K23" s="44" t="str">
        <f aca="false">IF(AND(I23=1,J23=1),"两者都跟住",IF(AND(I23=0,J23=1),"仅 PC-TBD 跟住",IF(AND(I23=1,J23=0),"仅 VIT-LPS 跟住","都没跟住")))</f>
        <v>仅 PC-TBD 跟住</v>
      </c>
      <c r="L23" s="45" t="n">
        <f aca="false">F23-G23</f>
        <v>-0.678374322205481</v>
      </c>
      <c r="M23" s="46" t="n">
        <v>0.4170898</v>
      </c>
      <c r="N23" s="46" t="n">
        <v>0.1965365</v>
      </c>
      <c r="O23" s="46" t="n">
        <v>0.8893439</v>
      </c>
      <c r="P23" s="46" t="n">
        <v>0.9147256</v>
      </c>
      <c r="Q23" s="46" t="n">
        <v>4.174175</v>
      </c>
      <c r="R23" s="46" t="n">
        <v>2.6237018</v>
      </c>
      <c r="S23" s="47" t="n">
        <f aca="false">M23+N23+O23</f>
        <v>1.5029702</v>
      </c>
      <c r="T23" s="47" t="n">
        <f aca="false">M23+P23</f>
        <v>1.3318154</v>
      </c>
    </row>
    <row r="24" customFormat="false" ht="15" hidden="false" customHeight="false" outlineLevel="0" collapsed="false">
      <c r="A24" s="42" t="s">
        <v>44</v>
      </c>
      <c r="B24" s="42" t="n">
        <v>-20</v>
      </c>
      <c r="C24" s="42" t="n">
        <v>23</v>
      </c>
      <c r="D24" s="42" t="n">
        <v>74270938</v>
      </c>
      <c r="E24" s="43" t="n">
        <v>0.0149910400733185</v>
      </c>
      <c r="F24" s="43" t="n">
        <v>0.0183574499746514</v>
      </c>
      <c r="G24" s="43" t="n">
        <v>0.737967305364639</v>
      </c>
      <c r="H24" s="43" t="n">
        <v>0.761253460843833</v>
      </c>
      <c r="I24" s="42" t="n">
        <v>0</v>
      </c>
      <c r="J24" s="42" t="n">
        <v>1</v>
      </c>
      <c r="K24" s="44" t="str">
        <f aca="false">IF(AND(I24=1,J24=1),"两者都跟住",IF(AND(I24=0,J24=1),"仅 PC-TBD 跟住",IF(AND(I24=1,J24=0),"仅 VIT-LPS 跟住","都没跟住")))</f>
        <v>仅 PC-TBD 跟住</v>
      </c>
      <c r="L24" s="45" t="n">
        <f aca="false">F24-G24</f>
        <v>-0.719609855389988</v>
      </c>
      <c r="M24" s="46" t="n">
        <v>0.4166486</v>
      </c>
      <c r="N24" s="46" t="n">
        <v>0.1931924</v>
      </c>
      <c r="O24" s="46" t="n">
        <v>0.6307464</v>
      </c>
      <c r="P24" s="46" t="n">
        <v>0.8033318</v>
      </c>
      <c r="Q24" s="46" t="n">
        <v>11.8626379</v>
      </c>
      <c r="R24" s="46" t="n">
        <v>2.6450874</v>
      </c>
      <c r="S24" s="47" t="n">
        <f aca="false">M24+N24+O24</f>
        <v>1.2405874</v>
      </c>
      <c r="T24" s="47" t="n">
        <f aca="false">M24+P24</f>
        <v>1.2199804</v>
      </c>
    </row>
    <row r="25" customFormat="false" ht="15" hidden="false" customHeight="false" outlineLevel="0" collapsed="false">
      <c r="A25" s="42" t="s">
        <v>44</v>
      </c>
      <c r="B25" s="42" t="n">
        <v>-20</v>
      </c>
      <c r="C25" s="42" t="n">
        <v>24</v>
      </c>
      <c r="D25" s="42" t="n">
        <v>74270939</v>
      </c>
      <c r="E25" s="43" t="n">
        <v>0.0141181766239623</v>
      </c>
      <c r="F25" s="43" t="n">
        <v>0.0109403919312159</v>
      </c>
      <c r="G25" s="43" t="n">
        <v>0.364409377809039</v>
      </c>
      <c r="H25" s="43" t="n">
        <v>0.364409377809039</v>
      </c>
      <c r="I25" s="42" t="n">
        <v>0</v>
      </c>
      <c r="J25" s="42" t="n">
        <v>1</v>
      </c>
      <c r="K25" s="44" t="str">
        <f aca="false">IF(AND(I25=1,J25=1),"两者都跟住",IF(AND(I25=0,J25=1),"仅 PC-TBD 跟住",IF(AND(I25=1,J25=0),"仅 VIT-LPS 跟住","都没跟住")))</f>
        <v>仅 PC-TBD 跟住</v>
      </c>
      <c r="L25" s="45" t="n">
        <f aca="false">F25-G25</f>
        <v>-0.353468985877823</v>
      </c>
      <c r="M25" s="46" t="n">
        <v>0.3869021</v>
      </c>
      <c r="N25" s="46" t="n">
        <v>0.2169734</v>
      </c>
      <c r="O25" s="46" t="n">
        <v>0.8301508</v>
      </c>
      <c r="P25" s="46" t="n">
        <v>0.9147912</v>
      </c>
      <c r="Q25" s="46" t="n">
        <v>8.9200666</v>
      </c>
      <c r="R25" s="46" t="n">
        <v>3.3877358</v>
      </c>
      <c r="S25" s="47" t="n">
        <f aca="false">M25+N25+O25</f>
        <v>1.4340263</v>
      </c>
      <c r="T25" s="47" t="n">
        <f aca="false">M25+P25</f>
        <v>1.3016933</v>
      </c>
    </row>
    <row r="26" customFormat="false" ht="15" hidden="false" customHeight="false" outlineLevel="0" collapsed="false">
      <c r="A26" s="42" t="s">
        <v>44</v>
      </c>
      <c r="B26" s="42" t="n">
        <v>-20</v>
      </c>
      <c r="C26" s="42" t="n">
        <v>25</v>
      </c>
      <c r="D26" s="42" t="n">
        <v>74270940</v>
      </c>
      <c r="E26" s="43" t="n">
        <v>0.0143392347565111</v>
      </c>
      <c r="F26" s="43" t="n">
        <v>0.0234383717508494</v>
      </c>
      <c r="G26" s="43" t="n">
        <v>0.574828136626698</v>
      </c>
      <c r="H26" s="43" t="n">
        <v>0.598211588792145</v>
      </c>
      <c r="I26" s="42" t="n">
        <v>0</v>
      </c>
      <c r="J26" s="42" t="n">
        <v>1</v>
      </c>
      <c r="K26" s="44" t="str">
        <f aca="false">IF(AND(I26=1,J26=1),"两者都跟住",IF(AND(I26=0,J26=1),"仅 PC-TBD 跟住",IF(AND(I26=1,J26=0),"仅 VIT-LPS 跟住","都没跟住")))</f>
        <v>仅 PC-TBD 跟住</v>
      </c>
      <c r="L26" s="45" t="n">
        <f aca="false">F26-G26</f>
        <v>-0.551389764875849</v>
      </c>
      <c r="M26" s="46" t="n">
        <v>0.3774422</v>
      </c>
      <c r="N26" s="46" t="n">
        <v>0.1719509</v>
      </c>
      <c r="O26" s="46" t="n">
        <v>0.8619986</v>
      </c>
      <c r="P26" s="46" t="n">
        <v>0.8893872</v>
      </c>
      <c r="Q26" s="46" t="n">
        <v>5.081831</v>
      </c>
      <c r="R26" s="46" t="n">
        <v>3.5367668</v>
      </c>
      <c r="S26" s="47" t="n">
        <f aca="false">M26+N26+O26</f>
        <v>1.4113917</v>
      </c>
      <c r="T26" s="47" t="n">
        <f aca="false">M26+P26</f>
        <v>1.2668294</v>
      </c>
    </row>
    <row r="27" customFormat="false" ht="15" hidden="false" customHeight="false" outlineLevel="0" collapsed="false">
      <c r="A27" s="42" t="s">
        <v>44</v>
      </c>
      <c r="B27" s="42" t="n">
        <v>-20</v>
      </c>
      <c r="C27" s="42" t="n">
        <v>26</v>
      </c>
      <c r="D27" s="42" t="n">
        <v>74270941</v>
      </c>
      <c r="E27" s="43" t="n">
        <v>0.0158505805194499</v>
      </c>
      <c r="F27" s="43" t="n">
        <v>0.0225774894962224</v>
      </c>
      <c r="G27" s="43" t="n">
        <v>0.337118102603847</v>
      </c>
      <c r="H27" s="43" t="n">
        <v>0.363150672956575</v>
      </c>
      <c r="I27" s="42" t="n">
        <v>0</v>
      </c>
      <c r="J27" s="42" t="n">
        <v>1</v>
      </c>
      <c r="K27" s="44" t="str">
        <f aca="false">IF(AND(I27=1,J27=1),"两者都跟住",IF(AND(I27=0,J27=1),"仅 PC-TBD 跟住",IF(AND(I27=1,J27=0),"仅 VIT-LPS 跟住","都没跟住")))</f>
        <v>仅 PC-TBD 跟住</v>
      </c>
      <c r="L27" s="45" t="n">
        <f aca="false">F27-G27</f>
        <v>-0.314540613107625</v>
      </c>
      <c r="M27" s="46" t="n">
        <v>0.411878</v>
      </c>
      <c r="N27" s="46" t="n">
        <v>0.2424048</v>
      </c>
      <c r="O27" s="46" t="n">
        <v>0.8140119</v>
      </c>
      <c r="P27" s="46" t="n">
        <v>0.9244902</v>
      </c>
      <c r="Q27" s="46" t="n">
        <v>9.0964372</v>
      </c>
      <c r="R27" s="46" t="n">
        <v>3.0246762</v>
      </c>
      <c r="S27" s="47" t="n">
        <f aca="false">M27+N27+O27</f>
        <v>1.4682947</v>
      </c>
      <c r="T27" s="47" t="n">
        <f aca="false">M27+P27</f>
        <v>1.3363682</v>
      </c>
    </row>
    <row r="28" customFormat="false" ht="15" hidden="false" customHeight="false" outlineLevel="0" collapsed="false">
      <c r="A28" s="42" t="s">
        <v>44</v>
      </c>
      <c r="B28" s="42" t="n">
        <v>-20</v>
      </c>
      <c r="C28" s="42" t="n">
        <v>27</v>
      </c>
      <c r="D28" s="42" t="n">
        <v>74270942</v>
      </c>
      <c r="E28" s="43" t="n">
        <v>0.0225148732559822</v>
      </c>
      <c r="F28" s="43" t="n">
        <v>0.0377573277806126</v>
      </c>
      <c r="G28" s="43" t="n">
        <v>0.345590972278149</v>
      </c>
      <c r="H28" s="43" t="n">
        <v>0.356398014168519</v>
      </c>
      <c r="I28" s="42" t="n">
        <v>0</v>
      </c>
      <c r="J28" s="42" t="n">
        <v>0</v>
      </c>
      <c r="K28" s="44" t="str">
        <f aca="false">IF(AND(I28=1,J28=1),"两者都跟住",IF(AND(I28=0,J28=1),"仅 PC-TBD 跟住",IF(AND(I28=1,J28=0),"仅 VIT-LPS 跟住","都没跟住")))</f>
        <v>都没跟住</v>
      </c>
      <c r="L28" s="45" t="n">
        <f aca="false">F28-G28</f>
        <v>-0.307833644497536</v>
      </c>
      <c r="M28" s="46" t="n">
        <v>0.2026107</v>
      </c>
      <c r="N28" s="46" t="n">
        <v>0.0924953</v>
      </c>
      <c r="O28" s="46" t="n">
        <v>0.3145135</v>
      </c>
      <c r="P28" s="46" t="n">
        <v>0.5000152</v>
      </c>
      <c r="Q28" s="46" t="n">
        <v>4.9125607</v>
      </c>
      <c r="R28" s="46" t="n">
        <v>2.1553482</v>
      </c>
      <c r="S28" s="47" t="n">
        <f aca="false">M28+N28+O28</f>
        <v>0.6096195</v>
      </c>
      <c r="T28" s="47" t="n">
        <f aca="false">M28+P28</f>
        <v>0.7026259</v>
      </c>
    </row>
    <row r="29" customFormat="false" ht="15" hidden="false" customHeight="false" outlineLevel="0" collapsed="false">
      <c r="A29" s="42" t="s">
        <v>44</v>
      </c>
      <c r="B29" s="42" t="n">
        <v>-20</v>
      </c>
      <c r="C29" s="42" t="n">
        <v>28</v>
      </c>
      <c r="D29" s="42" t="n">
        <v>74270943</v>
      </c>
      <c r="E29" s="43" t="n">
        <v>0.0193274514137308</v>
      </c>
      <c r="F29" s="43" t="n">
        <v>0.0294544891551172</v>
      </c>
      <c r="G29" s="43" t="n">
        <v>0.502474033572439</v>
      </c>
      <c r="H29" s="43" t="n">
        <v>0.51734824177982</v>
      </c>
      <c r="I29" s="42" t="n">
        <v>0</v>
      </c>
      <c r="J29" s="42" t="n">
        <v>1</v>
      </c>
      <c r="K29" s="44" t="str">
        <f aca="false">IF(AND(I29=1,J29=1),"两者都跟住",IF(AND(I29=0,J29=1),"仅 PC-TBD 跟住",IF(AND(I29=1,J29=0),"仅 VIT-LPS 跟住","都没跟住")))</f>
        <v>仅 PC-TBD 跟住</v>
      </c>
      <c r="L29" s="45" t="n">
        <f aca="false">F29-G29</f>
        <v>-0.473019544417322</v>
      </c>
      <c r="M29" s="46" t="n">
        <v>0.1936183</v>
      </c>
      <c r="N29" s="46" t="n">
        <v>0.1436665</v>
      </c>
      <c r="O29" s="46" t="n">
        <v>0.3859662</v>
      </c>
      <c r="P29" s="46" t="n">
        <v>0.5928782</v>
      </c>
      <c r="Q29" s="46" t="n">
        <v>4.0195425</v>
      </c>
      <c r="R29" s="46" t="n">
        <v>2.0362439</v>
      </c>
      <c r="S29" s="47" t="n">
        <f aca="false">M29+N29+O29</f>
        <v>0.723251</v>
      </c>
      <c r="T29" s="47" t="n">
        <f aca="false">M29+P29</f>
        <v>0.7864965</v>
      </c>
    </row>
    <row r="30" customFormat="false" ht="15" hidden="false" customHeight="false" outlineLevel="0" collapsed="false">
      <c r="A30" s="42" t="s">
        <v>44</v>
      </c>
      <c r="B30" s="42" t="n">
        <v>-20</v>
      </c>
      <c r="C30" s="42" t="n">
        <v>29</v>
      </c>
      <c r="D30" s="42" t="n">
        <v>74270944</v>
      </c>
      <c r="E30" s="43" t="n">
        <v>0.0216267095974421</v>
      </c>
      <c r="F30" s="43" t="n">
        <v>0.0222953803589016</v>
      </c>
      <c r="G30" s="43" t="n">
        <v>0.445246834052039</v>
      </c>
      <c r="H30" s="43" t="n">
        <v>0.442648650064164</v>
      </c>
      <c r="I30" s="42" t="n">
        <v>0</v>
      </c>
      <c r="J30" s="42" t="n">
        <v>0</v>
      </c>
      <c r="K30" s="44" t="str">
        <f aca="false">IF(AND(I30=1,J30=1),"两者都跟住",IF(AND(I30=0,J30=1),"仅 PC-TBD 跟住",IF(AND(I30=1,J30=0),"仅 VIT-LPS 跟住","都没跟住")))</f>
        <v>都没跟住</v>
      </c>
      <c r="L30" s="45" t="n">
        <f aca="false">F30-G30</f>
        <v>-0.422951453693137</v>
      </c>
      <c r="M30" s="46" t="n">
        <v>0.1587949</v>
      </c>
      <c r="N30" s="46" t="n">
        <v>0.0994608</v>
      </c>
      <c r="O30" s="46" t="n">
        <v>0.2820442</v>
      </c>
      <c r="P30" s="46" t="n">
        <v>0.4824773</v>
      </c>
      <c r="Q30" s="46" t="n">
        <v>4.6684949</v>
      </c>
      <c r="R30" s="46" t="n">
        <v>1.8911042</v>
      </c>
      <c r="S30" s="47" t="n">
        <f aca="false">M30+N30+O30</f>
        <v>0.5402999</v>
      </c>
      <c r="T30" s="47" t="n">
        <f aca="false">M30+P30</f>
        <v>0.6412722</v>
      </c>
    </row>
    <row r="31" customFormat="false" ht="15" hidden="false" customHeight="false" outlineLevel="0" collapsed="false">
      <c r="A31" s="42" t="s">
        <v>44</v>
      </c>
      <c r="B31" s="42" t="n">
        <v>-20</v>
      </c>
      <c r="C31" s="42" t="n">
        <v>30</v>
      </c>
      <c r="D31" s="42" t="n">
        <v>74270945</v>
      </c>
      <c r="E31" s="43" t="n">
        <v>0.0186958276096452</v>
      </c>
      <c r="F31" s="43" t="n">
        <v>0.0202732200939753</v>
      </c>
      <c r="G31" s="43" t="n">
        <v>0.632760897830291</v>
      </c>
      <c r="H31" s="43" t="n">
        <v>0.652752142965635</v>
      </c>
      <c r="I31" s="42" t="n">
        <v>0</v>
      </c>
      <c r="J31" s="42" t="n">
        <v>1</v>
      </c>
      <c r="K31" s="44" t="str">
        <f aca="false">IF(AND(I31=1,J31=1),"两者都跟住",IF(AND(I31=0,J31=1),"仅 PC-TBD 跟住",IF(AND(I31=1,J31=0),"仅 VIT-LPS 跟住","都没跟住")))</f>
        <v>仅 PC-TBD 跟住</v>
      </c>
      <c r="L31" s="45" t="n">
        <f aca="false">F31-G31</f>
        <v>-0.612487677736316</v>
      </c>
      <c r="M31" s="46" t="n">
        <v>0.1641163</v>
      </c>
      <c r="N31" s="46" t="n">
        <v>0.0812089</v>
      </c>
      <c r="O31" s="46" t="n">
        <v>0.4055976</v>
      </c>
      <c r="P31" s="46" t="n">
        <v>0.4769125</v>
      </c>
      <c r="Q31" s="46" t="n">
        <v>3.8241675</v>
      </c>
      <c r="R31" s="46" t="n">
        <v>1.7822619</v>
      </c>
      <c r="S31" s="47" t="n">
        <f aca="false">M31+N31+O31</f>
        <v>0.6509228</v>
      </c>
      <c r="T31" s="47" t="n">
        <f aca="false">M31+P31</f>
        <v>0.6410288</v>
      </c>
    </row>
    <row r="32" customFormat="false" ht="15" hidden="false" customHeight="false" outlineLevel="0" collapsed="false">
      <c r="A32" s="42" t="s">
        <v>44</v>
      </c>
      <c r="B32" s="42" t="n">
        <v>-20</v>
      </c>
      <c r="C32" s="42" t="n">
        <v>31</v>
      </c>
      <c r="D32" s="42" t="n">
        <v>74270946</v>
      </c>
      <c r="E32" s="43" t="n">
        <v>0.0171816160551625</v>
      </c>
      <c r="F32" s="43" t="n">
        <v>0.0210802143340133</v>
      </c>
      <c r="G32" s="43" t="n">
        <v>0.188200237472357</v>
      </c>
      <c r="H32" s="43" t="n">
        <v>0.223091212384594</v>
      </c>
      <c r="I32" s="42" t="n">
        <v>0</v>
      </c>
      <c r="J32" s="42" t="n">
        <v>1</v>
      </c>
      <c r="K32" s="44" t="str">
        <f aca="false">IF(AND(I32=1,J32=1),"两者都跟住",IF(AND(I32=0,J32=1),"仅 PC-TBD 跟住",IF(AND(I32=1,J32=0),"仅 VIT-LPS 跟住","都没跟住")))</f>
        <v>仅 PC-TBD 跟住</v>
      </c>
      <c r="L32" s="45" t="n">
        <f aca="false">F32-G32</f>
        <v>-0.167120023138344</v>
      </c>
      <c r="M32" s="46" t="n">
        <v>0.2504194</v>
      </c>
      <c r="N32" s="46" t="n">
        <v>0.1434745</v>
      </c>
      <c r="O32" s="46" t="n">
        <v>0.313593</v>
      </c>
      <c r="P32" s="46" t="n">
        <v>0.6670781</v>
      </c>
      <c r="Q32" s="46" t="n">
        <v>5.1458502</v>
      </c>
      <c r="R32" s="46" t="n">
        <v>2.9689561</v>
      </c>
      <c r="S32" s="47" t="n">
        <f aca="false">M32+N32+O32</f>
        <v>0.7074869</v>
      </c>
      <c r="T32" s="47" t="n">
        <f aca="false">M32+P32</f>
        <v>0.9174975</v>
      </c>
    </row>
    <row r="33" customFormat="false" ht="15" hidden="false" customHeight="false" outlineLevel="0" collapsed="false">
      <c r="A33" s="42" t="s">
        <v>44</v>
      </c>
      <c r="B33" s="42" t="n">
        <v>-20</v>
      </c>
      <c r="C33" s="42" t="n">
        <v>32</v>
      </c>
      <c r="D33" s="42" t="n">
        <v>74270947</v>
      </c>
      <c r="E33" s="43" t="n">
        <v>0.0173338421916631</v>
      </c>
      <c r="F33" s="43" t="n">
        <v>0.0203557111416618</v>
      </c>
      <c r="G33" s="43" t="n">
        <v>0.515934679291337</v>
      </c>
      <c r="H33" s="43" t="n">
        <v>0.518265742980102</v>
      </c>
      <c r="I33" s="42" t="n">
        <v>0</v>
      </c>
      <c r="J33" s="42" t="n">
        <v>1</v>
      </c>
      <c r="K33" s="44" t="str">
        <f aca="false">IF(AND(I33=1,J33=1),"两者都跟住",IF(AND(I33=0,J33=1),"仅 PC-TBD 跟住",IF(AND(I33=1,J33=0),"仅 VIT-LPS 跟住","都没跟住")))</f>
        <v>仅 PC-TBD 跟住</v>
      </c>
      <c r="L33" s="45" t="n">
        <f aca="false">F33-G33</f>
        <v>-0.495578968149675</v>
      </c>
      <c r="M33" s="46" t="n">
        <v>0.2069724</v>
      </c>
      <c r="N33" s="46" t="n">
        <v>0.1166621</v>
      </c>
      <c r="O33" s="46" t="n">
        <v>0.4259881</v>
      </c>
      <c r="P33" s="46" t="n">
        <v>0.6027328</v>
      </c>
      <c r="Q33" s="46" t="n">
        <v>6.5823892</v>
      </c>
      <c r="R33" s="46" t="n">
        <v>2.3720733</v>
      </c>
      <c r="S33" s="47" t="n">
        <f aca="false">M33+N33+O33</f>
        <v>0.7496226</v>
      </c>
      <c r="T33" s="47" t="n">
        <f aca="false">M33+P33</f>
        <v>0.8097052</v>
      </c>
    </row>
    <row r="34" customFormat="false" ht="15" hidden="false" customHeight="false" outlineLevel="0" collapsed="false">
      <c r="A34" s="42" t="s">
        <v>44</v>
      </c>
      <c r="B34" s="42" t="n">
        <v>-20</v>
      </c>
      <c r="C34" s="42" t="n">
        <v>33</v>
      </c>
      <c r="D34" s="42" t="n">
        <v>74270948</v>
      </c>
      <c r="E34" s="43" t="n">
        <v>0.673547359893819</v>
      </c>
      <c r="F34" s="43" t="n">
        <v>0.896722939865805</v>
      </c>
      <c r="G34" s="43" t="n">
        <v>0.821208841707467</v>
      </c>
      <c r="H34" s="43" t="n">
        <v>0.814251905975103</v>
      </c>
      <c r="I34" s="42" t="n">
        <v>1</v>
      </c>
      <c r="J34" s="42" t="n">
        <v>1</v>
      </c>
      <c r="K34" s="44" t="str">
        <f aca="false">IF(AND(I34=1,J34=1),"两者都跟住",IF(AND(I34=0,J34=1),"仅 PC-TBD 跟住",IF(AND(I34=1,J34=0),"仅 VIT-LPS 跟住","都没跟住")))</f>
        <v>两者都跟住</v>
      </c>
      <c r="L34" s="45" t="n">
        <f aca="false">F34-G34</f>
        <v>0.075514098158338</v>
      </c>
      <c r="M34" s="46" t="n">
        <v>0.2703584</v>
      </c>
      <c r="N34" s="46" t="n">
        <v>0.1410172</v>
      </c>
      <c r="O34" s="46" t="n">
        <v>0.2840715</v>
      </c>
      <c r="P34" s="46" t="n">
        <v>0.7061989</v>
      </c>
      <c r="Q34" s="46" t="n">
        <v>3.1015301</v>
      </c>
      <c r="R34" s="46" t="n">
        <v>2.7505967</v>
      </c>
      <c r="S34" s="47" t="n">
        <f aca="false">M34+N34+O34</f>
        <v>0.6954471</v>
      </c>
      <c r="T34" s="47" t="n">
        <f aca="false">M34+P34</f>
        <v>0.9765573</v>
      </c>
    </row>
    <row r="35" customFormat="false" ht="15" hidden="false" customHeight="false" outlineLevel="0" collapsed="false">
      <c r="A35" s="42" t="s">
        <v>44</v>
      </c>
      <c r="B35" s="42" t="n">
        <v>-20</v>
      </c>
      <c r="C35" s="42" t="n">
        <v>34</v>
      </c>
      <c r="D35" s="42" t="n">
        <v>74270949</v>
      </c>
      <c r="E35" s="43" t="n">
        <v>0.0216625745998172</v>
      </c>
      <c r="F35" s="43" t="n">
        <v>0.0311642801190086</v>
      </c>
      <c r="G35" s="43" t="n">
        <v>0.361437201918601</v>
      </c>
      <c r="H35" s="43" t="n">
        <v>0.393904096614631</v>
      </c>
      <c r="I35" s="42" t="n">
        <v>0</v>
      </c>
      <c r="J35" s="42" t="n">
        <v>1</v>
      </c>
      <c r="K35" s="44" t="str">
        <f aca="false">IF(AND(I35=1,J35=1),"两者都跟住",IF(AND(I35=0,J35=1),"仅 PC-TBD 跟住",IF(AND(I35=1,J35=0),"仅 VIT-LPS 跟住","都没跟住")))</f>
        <v>仅 PC-TBD 跟住</v>
      </c>
      <c r="L35" s="45" t="n">
        <f aca="false">F35-G35</f>
        <v>-0.330272921799592</v>
      </c>
      <c r="M35" s="46" t="n">
        <v>0.2381634</v>
      </c>
      <c r="N35" s="46" t="n">
        <v>0.1358818</v>
      </c>
      <c r="O35" s="46" t="n">
        <v>0.3472331</v>
      </c>
      <c r="P35" s="46" t="n">
        <v>0.6114161</v>
      </c>
      <c r="Q35" s="46" t="n">
        <v>8.5117513</v>
      </c>
      <c r="R35" s="46" t="n">
        <v>2.8974604</v>
      </c>
      <c r="S35" s="47" t="n">
        <f aca="false">M35+N35+O35</f>
        <v>0.7212783</v>
      </c>
      <c r="T35" s="47" t="n">
        <f aca="false">M35+P35</f>
        <v>0.8495795</v>
      </c>
    </row>
    <row r="36" customFormat="false" ht="15" hidden="false" customHeight="false" outlineLevel="0" collapsed="false">
      <c r="A36" s="42" t="s">
        <v>44</v>
      </c>
      <c r="B36" s="42" t="n">
        <v>-20</v>
      </c>
      <c r="C36" s="42" t="n">
        <v>35</v>
      </c>
      <c r="D36" s="42" t="n">
        <v>74270950</v>
      </c>
      <c r="E36" s="43" t="n">
        <v>0.341399627517595</v>
      </c>
      <c r="F36" s="43" t="n">
        <v>0.393902464779852</v>
      </c>
      <c r="G36" s="43" t="n">
        <v>0.596727184355425</v>
      </c>
      <c r="H36" s="43" t="n">
        <v>0.630003200808254</v>
      </c>
      <c r="I36" s="42" t="n">
        <v>1</v>
      </c>
      <c r="J36" s="42" t="n">
        <v>1</v>
      </c>
      <c r="K36" s="44" t="str">
        <f aca="false">IF(AND(I36=1,J36=1),"两者都跟住",IF(AND(I36=0,J36=1),"仅 PC-TBD 跟住",IF(AND(I36=1,J36=0),"仅 VIT-LPS 跟住","都没跟住")))</f>
        <v>两者都跟住</v>
      </c>
      <c r="L36" s="45" t="n">
        <f aca="false">F36-G36</f>
        <v>-0.202824719575573</v>
      </c>
      <c r="M36" s="46" t="n">
        <v>0.2364723</v>
      </c>
      <c r="N36" s="46" t="n">
        <v>0.1444257</v>
      </c>
      <c r="O36" s="46" t="n">
        <v>0.464395</v>
      </c>
      <c r="P36" s="46" t="n">
        <v>0.5975125</v>
      </c>
      <c r="Q36" s="46" t="n">
        <v>3.4817579</v>
      </c>
      <c r="R36" s="46" t="n">
        <v>3.0823587</v>
      </c>
      <c r="S36" s="47" t="n">
        <f aca="false">M36+N36+O36</f>
        <v>0.845293</v>
      </c>
      <c r="T36" s="47" t="n">
        <f aca="false">M36+P36</f>
        <v>0.8339848</v>
      </c>
    </row>
    <row r="37" customFormat="false" ht="15" hidden="false" customHeight="false" outlineLevel="0" collapsed="false">
      <c r="A37" s="42" t="s">
        <v>44</v>
      </c>
      <c r="B37" s="42" t="n">
        <v>-20</v>
      </c>
      <c r="C37" s="42" t="n">
        <v>36</v>
      </c>
      <c r="D37" s="42" t="n">
        <v>74270951</v>
      </c>
      <c r="E37" s="43" t="n">
        <v>0.0170640135164773</v>
      </c>
      <c r="F37" s="43" t="n">
        <v>0.0145007472547468</v>
      </c>
      <c r="G37" s="43" t="n">
        <v>0.230072542571823</v>
      </c>
      <c r="H37" s="43" t="n">
        <v>0.240501518230377</v>
      </c>
      <c r="I37" s="42" t="n">
        <v>0</v>
      </c>
      <c r="J37" s="42" t="n">
        <v>0</v>
      </c>
      <c r="K37" s="44" t="str">
        <f aca="false">IF(AND(I37=1,J37=1),"两者都跟住",IF(AND(I37=0,J37=1),"仅 PC-TBD 跟住",IF(AND(I37=1,J37=0),"仅 VIT-LPS 跟住","都没跟住")))</f>
        <v>都没跟住</v>
      </c>
      <c r="L37" s="45" t="n">
        <f aca="false">F37-G37</f>
        <v>-0.215571795317076</v>
      </c>
      <c r="M37" s="46" t="n">
        <v>0.2553362</v>
      </c>
      <c r="N37" s="46" t="n">
        <v>0.1432502</v>
      </c>
      <c r="O37" s="46" t="n">
        <v>0.2838258</v>
      </c>
      <c r="P37" s="46" t="n">
        <v>0.6191086</v>
      </c>
      <c r="Q37" s="46" t="n">
        <v>9.2543986</v>
      </c>
      <c r="R37" s="46" t="n">
        <v>2.4912682</v>
      </c>
      <c r="S37" s="47" t="n">
        <f aca="false">M37+N37+O37</f>
        <v>0.6824122</v>
      </c>
      <c r="T37" s="47" t="n">
        <f aca="false">M37+P37</f>
        <v>0.8744448</v>
      </c>
    </row>
    <row r="38" customFormat="false" ht="15" hidden="false" customHeight="false" outlineLevel="0" collapsed="false">
      <c r="A38" s="42" t="s">
        <v>44</v>
      </c>
      <c r="B38" s="42" t="n">
        <v>-20</v>
      </c>
      <c r="C38" s="42" t="n">
        <v>37</v>
      </c>
      <c r="D38" s="42" t="n">
        <v>74270952</v>
      </c>
      <c r="E38" s="43" t="n">
        <v>0.0176015342216437</v>
      </c>
      <c r="F38" s="43" t="n">
        <v>0.0127176974109431</v>
      </c>
      <c r="G38" s="43" t="n">
        <v>0.782462470306892</v>
      </c>
      <c r="H38" s="43" t="n">
        <v>0.792997795995692</v>
      </c>
      <c r="I38" s="42" t="n">
        <v>0</v>
      </c>
      <c r="J38" s="42" t="n">
        <v>1</v>
      </c>
      <c r="K38" s="44" t="str">
        <f aca="false">IF(AND(I38=1,J38=1),"两者都跟住",IF(AND(I38=0,J38=1),"仅 PC-TBD 跟住",IF(AND(I38=1,J38=0),"仅 VIT-LPS 跟住","都没跟住")))</f>
        <v>仅 PC-TBD 跟住</v>
      </c>
      <c r="L38" s="45" t="n">
        <f aca="false">F38-G38</f>
        <v>-0.769744772895949</v>
      </c>
      <c r="M38" s="46" t="n">
        <v>0.1769989</v>
      </c>
      <c r="N38" s="46" t="n">
        <v>0.0755977</v>
      </c>
      <c r="O38" s="46" t="n">
        <v>0.2726409</v>
      </c>
      <c r="P38" s="46" t="n">
        <v>0.570481</v>
      </c>
      <c r="Q38" s="46" t="n">
        <v>3.766069</v>
      </c>
      <c r="R38" s="46" t="n">
        <v>1.6819116</v>
      </c>
      <c r="S38" s="47" t="n">
        <f aca="false">M38+N38+O38</f>
        <v>0.5252375</v>
      </c>
      <c r="T38" s="47" t="n">
        <f aca="false">M38+P38</f>
        <v>0.7474799</v>
      </c>
    </row>
    <row r="39" customFormat="false" ht="15" hidden="false" customHeight="false" outlineLevel="0" collapsed="false">
      <c r="A39" s="42" t="s">
        <v>44</v>
      </c>
      <c r="B39" s="42" t="n">
        <v>-20</v>
      </c>
      <c r="C39" s="42" t="n">
        <v>38</v>
      </c>
      <c r="D39" s="42" t="n">
        <v>74270953</v>
      </c>
      <c r="E39" s="43" t="n">
        <v>0.232177373179831</v>
      </c>
      <c r="F39" s="43" t="n">
        <v>0.672832552716848</v>
      </c>
      <c r="G39" s="43" t="n">
        <v>0.672557152887448</v>
      </c>
      <c r="H39" s="43" t="n">
        <v>0.680646197282649</v>
      </c>
      <c r="I39" s="42" t="n">
        <v>1</v>
      </c>
      <c r="J39" s="42" t="n">
        <v>1</v>
      </c>
      <c r="K39" s="44" t="str">
        <f aca="false">IF(AND(I39=1,J39=1),"两者都跟住",IF(AND(I39=0,J39=1),"仅 PC-TBD 跟住",IF(AND(I39=1,J39=0),"仅 VIT-LPS 跟住","都没跟住")))</f>
        <v>两者都跟住</v>
      </c>
      <c r="L39" s="45" t="n">
        <f aca="false">F39-G39</f>
        <v>0.000275399829400058</v>
      </c>
      <c r="M39" s="46" t="n">
        <v>0.1697726</v>
      </c>
      <c r="N39" s="46" t="n">
        <v>0.1008677</v>
      </c>
      <c r="O39" s="46" t="n">
        <v>0.2362934</v>
      </c>
      <c r="P39" s="46" t="n">
        <v>0.5483156</v>
      </c>
      <c r="Q39" s="46" t="n">
        <v>2.3275803</v>
      </c>
      <c r="R39" s="46" t="n">
        <v>2.0187508</v>
      </c>
      <c r="S39" s="47" t="n">
        <f aca="false">M39+N39+O39</f>
        <v>0.5069337</v>
      </c>
      <c r="T39" s="47" t="n">
        <f aca="false">M39+P39</f>
        <v>0.7180882</v>
      </c>
    </row>
    <row r="40" customFormat="false" ht="15" hidden="false" customHeight="false" outlineLevel="0" collapsed="false">
      <c r="A40" s="42" t="s">
        <v>44</v>
      </c>
      <c r="B40" s="42" t="n">
        <v>-20</v>
      </c>
      <c r="C40" s="42" t="n">
        <v>39</v>
      </c>
      <c r="D40" s="42" t="n">
        <v>74270954</v>
      </c>
      <c r="E40" s="43" t="n">
        <v>0.302557969430263</v>
      </c>
      <c r="F40" s="43" t="n">
        <v>0.537912585463741</v>
      </c>
      <c r="G40" s="43" t="n">
        <v>0.387928030521043</v>
      </c>
      <c r="H40" s="43" t="n">
        <v>0.413635316548363</v>
      </c>
      <c r="I40" s="42" t="n">
        <v>1</v>
      </c>
      <c r="J40" s="42" t="n">
        <v>1</v>
      </c>
      <c r="K40" s="44" t="str">
        <f aca="false">IF(AND(I40=1,J40=1),"两者都跟住",IF(AND(I40=0,J40=1),"仅 PC-TBD 跟住",IF(AND(I40=1,J40=0),"仅 VIT-LPS 跟住","都没跟住")))</f>
        <v>两者都跟住</v>
      </c>
      <c r="L40" s="45" t="n">
        <f aca="false">F40-G40</f>
        <v>0.149984554942698</v>
      </c>
      <c r="M40" s="46" t="n">
        <v>0.143152</v>
      </c>
      <c r="N40" s="46" t="n">
        <v>0.1379029</v>
      </c>
      <c r="O40" s="46" t="n">
        <v>0.1424721</v>
      </c>
      <c r="P40" s="46" t="n">
        <v>0.5439888</v>
      </c>
      <c r="Q40" s="46" t="n">
        <v>2.9280914</v>
      </c>
      <c r="R40" s="46" t="n">
        <v>2.1352877</v>
      </c>
      <c r="S40" s="47" t="n">
        <f aca="false">M40+N40+O40</f>
        <v>0.423527</v>
      </c>
      <c r="T40" s="47" t="n">
        <f aca="false">M40+P40</f>
        <v>0.6871408</v>
      </c>
    </row>
    <row r="41" customFormat="false" ht="15" hidden="false" customHeight="false" outlineLevel="0" collapsed="false">
      <c r="A41" s="42" t="s">
        <v>44</v>
      </c>
      <c r="B41" s="42" t="n">
        <v>-20</v>
      </c>
      <c r="C41" s="42" t="n">
        <v>40</v>
      </c>
      <c r="D41" s="42" t="n">
        <v>74270955</v>
      </c>
      <c r="E41" s="43" t="n">
        <v>0.0130519197281904</v>
      </c>
      <c r="F41" s="43" t="n">
        <v>0.0155487959499701</v>
      </c>
      <c r="G41" s="43" t="n">
        <v>0.614947715354867</v>
      </c>
      <c r="H41" s="43" t="n">
        <v>0.611015136733289</v>
      </c>
      <c r="I41" s="42" t="n">
        <v>0</v>
      </c>
      <c r="J41" s="42" t="n">
        <v>1</v>
      </c>
      <c r="K41" s="44" t="str">
        <f aca="false">IF(AND(I41=1,J41=1),"两者都跟住",IF(AND(I41=0,J41=1),"仅 PC-TBD 跟住",IF(AND(I41=1,J41=0),"仅 VIT-LPS 跟住","都没跟住")))</f>
        <v>仅 PC-TBD 跟住</v>
      </c>
      <c r="L41" s="45" t="n">
        <f aca="false">F41-G41</f>
        <v>-0.599398919404897</v>
      </c>
      <c r="M41" s="46" t="n">
        <v>0.2001773</v>
      </c>
      <c r="N41" s="46" t="n">
        <v>0.0852924</v>
      </c>
      <c r="O41" s="46" t="n">
        <v>0.3224116</v>
      </c>
      <c r="P41" s="46" t="n">
        <v>0.5707423</v>
      </c>
      <c r="Q41" s="46" t="n">
        <v>7.7677511</v>
      </c>
      <c r="R41" s="46" t="n">
        <v>0.8745683</v>
      </c>
      <c r="S41" s="47" t="n">
        <f aca="false">M41+N41+O41</f>
        <v>0.6078813</v>
      </c>
      <c r="T41" s="47" t="n">
        <f aca="false">M41+P41</f>
        <v>0.7709196</v>
      </c>
    </row>
    <row r="42" customFormat="false" ht="15" hidden="false" customHeight="false" outlineLevel="0" collapsed="false">
      <c r="A42" s="42" t="s">
        <v>44</v>
      </c>
      <c r="B42" s="42" t="n">
        <v>-20</v>
      </c>
      <c r="C42" s="42" t="n">
        <v>41</v>
      </c>
      <c r="D42" s="42" t="n">
        <v>74270956</v>
      </c>
      <c r="E42" s="43" t="n">
        <v>0.406225541991894</v>
      </c>
      <c r="F42" s="43" t="n">
        <v>0.896205013645091</v>
      </c>
      <c r="G42" s="43" t="n">
        <v>0.447673728458145</v>
      </c>
      <c r="H42" s="43" t="n">
        <v>0.456991845285854</v>
      </c>
      <c r="I42" s="42" t="n">
        <v>1</v>
      </c>
      <c r="J42" s="42" t="n">
        <v>1</v>
      </c>
      <c r="K42" s="44" t="str">
        <f aca="false">IF(AND(I42=1,J42=1),"两者都跟住",IF(AND(I42=0,J42=1),"仅 PC-TBD 跟住",IF(AND(I42=1,J42=0),"仅 VIT-LPS 跟住","都没跟住")))</f>
        <v>两者都跟住</v>
      </c>
      <c r="L42" s="45" t="n">
        <f aca="false">F42-G42</f>
        <v>0.448531285186946</v>
      </c>
      <c r="M42" s="46" t="n">
        <v>0.2392334</v>
      </c>
      <c r="N42" s="46" t="n">
        <v>0.1120962</v>
      </c>
      <c r="O42" s="46" t="n">
        <v>0.2079702</v>
      </c>
      <c r="P42" s="46" t="n">
        <v>0.6044614</v>
      </c>
      <c r="Q42" s="46" t="n">
        <v>9.1164242</v>
      </c>
      <c r="R42" s="46" t="n">
        <v>4.6171114</v>
      </c>
      <c r="S42" s="47" t="n">
        <f aca="false">M42+N42+O42</f>
        <v>0.5592998</v>
      </c>
      <c r="T42" s="47" t="n">
        <f aca="false">M42+P42</f>
        <v>0.8436948</v>
      </c>
    </row>
    <row r="43" customFormat="false" ht="15" hidden="false" customHeight="false" outlineLevel="0" collapsed="false">
      <c r="A43" s="42" t="s">
        <v>44</v>
      </c>
      <c r="B43" s="42" t="n">
        <v>-20</v>
      </c>
      <c r="C43" s="42" t="n">
        <v>42</v>
      </c>
      <c r="D43" s="42" t="n">
        <v>74270957</v>
      </c>
      <c r="E43" s="43" t="n">
        <v>0.0156766032968208</v>
      </c>
      <c r="F43" s="43" t="n">
        <v>0.0284979331868099</v>
      </c>
      <c r="G43" s="43" t="n">
        <v>0.689860223436763</v>
      </c>
      <c r="H43" s="43" t="n">
        <v>0.705953707397843</v>
      </c>
      <c r="I43" s="42" t="n">
        <v>0</v>
      </c>
      <c r="J43" s="42" t="n">
        <v>1</v>
      </c>
      <c r="K43" s="44" t="str">
        <f aca="false">IF(AND(I43=1,J43=1),"两者都跟住",IF(AND(I43=0,J43=1),"仅 PC-TBD 跟住",IF(AND(I43=1,J43=0),"仅 VIT-LPS 跟住","都没跟住")))</f>
        <v>仅 PC-TBD 跟住</v>
      </c>
      <c r="L43" s="45" t="n">
        <f aca="false">F43-G43</f>
        <v>-0.661362290249953</v>
      </c>
      <c r="M43" s="46" t="n">
        <v>0.2321859</v>
      </c>
      <c r="N43" s="46" t="n">
        <v>0.1401975</v>
      </c>
      <c r="O43" s="46" t="n">
        <v>0.3411717</v>
      </c>
      <c r="P43" s="46" t="n">
        <v>0.4444972</v>
      </c>
      <c r="Q43" s="46" t="n">
        <v>13.5471974</v>
      </c>
      <c r="R43" s="46" t="n">
        <v>3.1089349</v>
      </c>
      <c r="S43" s="47" t="n">
        <f aca="false">M43+N43+O43</f>
        <v>0.7135551</v>
      </c>
      <c r="T43" s="47" t="n">
        <f aca="false">M43+P43</f>
        <v>0.6766831</v>
      </c>
    </row>
    <row r="44" customFormat="false" ht="15" hidden="false" customHeight="false" outlineLevel="0" collapsed="false">
      <c r="A44" s="42" t="s">
        <v>44</v>
      </c>
      <c r="B44" s="42" t="n">
        <v>-20</v>
      </c>
      <c r="C44" s="42" t="n">
        <v>43</v>
      </c>
      <c r="D44" s="42" t="n">
        <v>74270958</v>
      </c>
      <c r="E44" s="43" t="n">
        <v>0.381742093877983</v>
      </c>
      <c r="F44" s="43" t="n">
        <v>0.744277405954218</v>
      </c>
      <c r="G44" s="43" t="n">
        <v>0.518128706277116</v>
      </c>
      <c r="H44" s="43" t="n">
        <v>0.54264248781556</v>
      </c>
      <c r="I44" s="42" t="n">
        <v>1</v>
      </c>
      <c r="J44" s="42" t="n">
        <v>1</v>
      </c>
      <c r="K44" s="44" t="str">
        <f aca="false">IF(AND(I44=1,J44=1),"两者都跟住",IF(AND(I44=0,J44=1),"仅 PC-TBD 跟住",IF(AND(I44=1,J44=0),"仅 VIT-LPS 跟住","都没跟住")))</f>
        <v>两者都跟住</v>
      </c>
      <c r="L44" s="45" t="n">
        <f aca="false">F44-G44</f>
        <v>0.226148699677102</v>
      </c>
      <c r="M44" s="46" t="n">
        <v>0.2273831</v>
      </c>
      <c r="N44" s="46" t="n">
        <v>0.1332275</v>
      </c>
      <c r="O44" s="46" t="n">
        <v>0.2449947</v>
      </c>
      <c r="P44" s="46" t="n">
        <v>0.5516031</v>
      </c>
      <c r="Q44" s="46" t="n">
        <v>4.0373185</v>
      </c>
      <c r="R44" s="46" t="n">
        <v>4.6398797</v>
      </c>
      <c r="S44" s="47" t="n">
        <f aca="false">M44+N44+O44</f>
        <v>0.6056053</v>
      </c>
      <c r="T44" s="47" t="n">
        <f aca="false">M44+P44</f>
        <v>0.7789862</v>
      </c>
    </row>
    <row r="45" customFormat="false" ht="15" hidden="false" customHeight="false" outlineLevel="0" collapsed="false">
      <c r="A45" s="42" t="s">
        <v>44</v>
      </c>
      <c r="B45" s="42" t="n">
        <v>-20</v>
      </c>
      <c r="C45" s="42" t="n">
        <v>44</v>
      </c>
      <c r="D45" s="42" t="n">
        <v>74270959</v>
      </c>
      <c r="E45" s="43" t="n">
        <v>0.0137766174190495</v>
      </c>
      <c r="F45" s="43" t="n">
        <v>0.0127262676583653</v>
      </c>
      <c r="G45" s="43" t="n">
        <v>0.503757688876061</v>
      </c>
      <c r="H45" s="43" t="n">
        <v>0.520017805662662</v>
      </c>
      <c r="I45" s="42" t="n">
        <v>0</v>
      </c>
      <c r="J45" s="42" t="n">
        <v>1</v>
      </c>
      <c r="K45" s="44" t="str">
        <f aca="false">IF(AND(I45=1,J45=1),"两者都跟住",IF(AND(I45=0,J45=1),"仅 PC-TBD 跟住",IF(AND(I45=1,J45=0),"仅 VIT-LPS 跟住","都没跟住")))</f>
        <v>仅 PC-TBD 跟住</v>
      </c>
      <c r="L45" s="45" t="n">
        <f aca="false">F45-G45</f>
        <v>-0.491031421217696</v>
      </c>
      <c r="M45" s="46" t="n">
        <v>0.1969611</v>
      </c>
      <c r="N45" s="46" t="n">
        <v>0.1382148</v>
      </c>
      <c r="O45" s="46" t="n">
        <v>0.2985827</v>
      </c>
      <c r="P45" s="46" t="n">
        <v>0.4920534</v>
      </c>
      <c r="Q45" s="46" t="n">
        <v>3.6377716</v>
      </c>
      <c r="R45" s="46" t="n">
        <v>4.0789871</v>
      </c>
      <c r="S45" s="47" t="n">
        <f aca="false">M45+N45+O45</f>
        <v>0.6337586</v>
      </c>
      <c r="T45" s="47" t="n">
        <f aca="false">M45+P45</f>
        <v>0.6890145</v>
      </c>
    </row>
    <row r="46" customFormat="false" ht="15" hidden="false" customHeight="false" outlineLevel="0" collapsed="false">
      <c r="A46" s="42" t="s">
        <v>44</v>
      </c>
      <c r="B46" s="42" t="n">
        <v>-20</v>
      </c>
      <c r="C46" s="42" t="n">
        <v>45</v>
      </c>
      <c r="D46" s="42" t="n">
        <v>74270960</v>
      </c>
      <c r="E46" s="43" t="n">
        <v>0.0204741596267073</v>
      </c>
      <c r="F46" s="43" t="n">
        <v>0.023377268475885</v>
      </c>
      <c r="G46" s="43" t="n">
        <v>0.568957899658981</v>
      </c>
      <c r="H46" s="43" t="n">
        <v>0.58024359457121</v>
      </c>
      <c r="I46" s="42" t="n">
        <v>0</v>
      </c>
      <c r="J46" s="42" t="n">
        <v>1</v>
      </c>
      <c r="K46" s="44" t="str">
        <f aca="false">IF(AND(I46=1,J46=1),"两者都跟住",IF(AND(I46=0,J46=1),"仅 PC-TBD 跟住",IF(AND(I46=1,J46=0),"仅 VIT-LPS 跟住","都没跟住")))</f>
        <v>仅 PC-TBD 跟住</v>
      </c>
      <c r="L46" s="45" t="n">
        <f aca="false">F46-G46</f>
        <v>-0.545580631183096</v>
      </c>
      <c r="M46" s="46" t="n">
        <v>0.1835635</v>
      </c>
      <c r="N46" s="46" t="n">
        <v>0.1553817</v>
      </c>
      <c r="O46" s="46" t="n">
        <v>0.3608579</v>
      </c>
      <c r="P46" s="46" t="n">
        <v>0.5459991</v>
      </c>
      <c r="Q46" s="46" t="n">
        <v>11.1418116</v>
      </c>
      <c r="R46" s="46" t="n">
        <v>4.0963389</v>
      </c>
      <c r="S46" s="47" t="n">
        <f aca="false">M46+N46+O46</f>
        <v>0.6998031</v>
      </c>
      <c r="T46" s="47" t="n">
        <f aca="false">M46+P46</f>
        <v>0.7295626</v>
      </c>
    </row>
    <row r="47" customFormat="false" ht="15" hidden="false" customHeight="false" outlineLevel="0" collapsed="false">
      <c r="A47" s="42" t="s">
        <v>44</v>
      </c>
      <c r="B47" s="42" t="n">
        <v>-20</v>
      </c>
      <c r="C47" s="42" t="n">
        <v>46</v>
      </c>
      <c r="D47" s="42" t="n">
        <v>74270961</v>
      </c>
      <c r="E47" s="43" t="n">
        <v>0.0181415909076324</v>
      </c>
      <c r="F47" s="43" t="n">
        <v>0.0178897324576164</v>
      </c>
      <c r="G47" s="43" t="n">
        <v>0.122957766195728</v>
      </c>
      <c r="H47" s="43" t="n">
        <v>0.127417613042451</v>
      </c>
      <c r="I47" s="42" t="n">
        <v>0</v>
      </c>
      <c r="J47" s="42" t="n">
        <v>0</v>
      </c>
      <c r="K47" s="44" t="str">
        <f aca="false">IF(AND(I47=1,J47=1),"两者都跟住",IF(AND(I47=0,J47=1),"仅 PC-TBD 跟住",IF(AND(I47=1,J47=0),"仅 VIT-LPS 跟住","都没跟住")))</f>
        <v>都没跟住</v>
      </c>
      <c r="L47" s="45" t="n">
        <f aca="false">F47-G47</f>
        <v>-0.105068033738112</v>
      </c>
      <c r="M47" s="46" t="n">
        <v>0.2270746</v>
      </c>
      <c r="N47" s="46" t="n">
        <v>0.108445</v>
      </c>
      <c r="O47" s="46" t="n">
        <v>0.3914082</v>
      </c>
      <c r="P47" s="46" t="n">
        <v>0.6646783</v>
      </c>
      <c r="Q47" s="46" t="n">
        <v>12.2679684</v>
      </c>
      <c r="R47" s="46" t="n">
        <v>3.5193996</v>
      </c>
      <c r="S47" s="47" t="n">
        <f aca="false">M47+N47+O47</f>
        <v>0.7269278</v>
      </c>
      <c r="T47" s="47" t="n">
        <f aca="false">M47+P47</f>
        <v>0.8917529</v>
      </c>
    </row>
    <row r="48" customFormat="false" ht="15" hidden="false" customHeight="false" outlineLevel="0" collapsed="false">
      <c r="A48" s="42" t="s">
        <v>44</v>
      </c>
      <c r="B48" s="42" t="n">
        <v>-20</v>
      </c>
      <c r="C48" s="42" t="n">
        <v>47</v>
      </c>
      <c r="D48" s="42" t="n">
        <v>74270962</v>
      </c>
      <c r="E48" s="43" t="n">
        <v>0.017328767177565</v>
      </c>
      <c r="F48" s="43" t="n">
        <v>0.0337157183720112</v>
      </c>
      <c r="G48" s="43" t="n">
        <v>0.0986835399013734</v>
      </c>
      <c r="H48" s="43" t="n">
        <v>0.0999555807929016</v>
      </c>
      <c r="I48" s="42" t="n">
        <v>0</v>
      </c>
      <c r="J48" s="42" t="n">
        <v>0</v>
      </c>
      <c r="K48" s="44" t="str">
        <f aca="false">IF(AND(I48=1,J48=1),"两者都跟住",IF(AND(I48=0,J48=1),"仅 PC-TBD 跟住",IF(AND(I48=1,J48=0),"仅 VIT-LPS 跟住","都没跟住")))</f>
        <v>都没跟住</v>
      </c>
      <c r="L48" s="45" t="n">
        <f aca="false">F48-G48</f>
        <v>-0.0649678215293622</v>
      </c>
      <c r="M48" s="46" t="n">
        <v>0.2296525</v>
      </c>
      <c r="N48" s="46" t="n">
        <v>0.1373398</v>
      </c>
      <c r="O48" s="46" t="n">
        <v>0.3258388</v>
      </c>
      <c r="P48" s="46" t="n">
        <v>0.5762278</v>
      </c>
      <c r="Q48" s="46" t="n">
        <v>6.2272126</v>
      </c>
      <c r="R48" s="46" t="n">
        <v>2.4286678</v>
      </c>
      <c r="S48" s="47" t="n">
        <f aca="false">M48+N48+O48</f>
        <v>0.6928311</v>
      </c>
      <c r="T48" s="47" t="n">
        <f aca="false">M48+P48</f>
        <v>0.8058803</v>
      </c>
    </row>
    <row r="49" customFormat="false" ht="15" hidden="false" customHeight="false" outlineLevel="0" collapsed="false">
      <c r="A49" s="42" t="s">
        <v>44</v>
      </c>
      <c r="B49" s="42" t="n">
        <v>-20</v>
      </c>
      <c r="C49" s="42" t="n">
        <v>48</v>
      </c>
      <c r="D49" s="42" t="n">
        <v>74270963</v>
      </c>
      <c r="E49" s="43" t="n">
        <v>0.0116984850220292</v>
      </c>
      <c r="F49" s="43" t="n">
        <v>0.0118254688742703</v>
      </c>
      <c r="G49" s="43" t="n">
        <v>0.17775272344361</v>
      </c>
      <c r="H49" s="43" t="n">
        <v>0.190596729847117</v>
      </c>
      <c r="I49" s="42" t="n">
        <v>0</v>
      </c>
      <c r="J49" s="42" t="n">
        <v>0</v>
      </c>
      <c r="K49" s="44" t="str">
        <f aca="false">IF(AND(I49=1,J49=1),"两者都跟住",IF(AND(I49=0,J49=1),"仅 PC-TBD 跟住",IF(AND(I49=1,J49=0),"仅 VIT-LPS 跟住","都没跟住")))</f>
        <v>都没跟住</v>
      </c>
      <c r="L49" s="45" t="n">
        <f aca="false">F49-G49</f>
        <v>-0.16592725456934</v>
      </c>
      <c r="M49" s="46" t="n">
        <v>0.2414845</v>
      </c>
      <c r="N49" s="46" t="n">
        <v>0.1681502</v>
      </c>
      <c r="O49" s="46" t="n">
        <v>0.4944539</v>
      </c>
      <c r="P49" s="46" t="n">
        <v>0.6185902</v>
      </c>
      <c r="Q49" s="46" t="n">
        <v>6.809836</v>
      </c>
      <c r="R49" s="46" t="n">
        <v>2.2085772</v>
      </c>
      <c r="S49" s="47" t="n">
        <f aca="false">M49+N49+O49</f>
        <v>0.9040886</v>
      </c>
      <c r="T49" s="47" t="n">
        <f aca="false">M49+P49</f>
        <v>0.8600747</v>
      </c>
    </row>
    <row r="50" customFormat="false" ht="15" hidden="false" customHeight="false" outlineLevel="0" collapsed="false">
      <c r="A50" s="42" t="s">
        <v>44</v>
      </c>
      <c r="B50" s="42" t="n">
        <v>-20</v>
      </c>
      <c r="C50" s="42" t="n">
        <v>49</v>
      </c>
      <c r="D50" s="42" t="n">
        <v>74270964</v>
      </c>
      <c r="E50" s="43" t="n">
        <v>0.0098214830293558</v>
      </c>
      <c r="F50" s="43" t="n">
        <v>0.0115047639450375</v>
      </c>
      <c r="G50" s="43" t="n">
        <v>0.536034722643825</v>
      </c>
      <c r="H50" s="43" t="n">
        <v>0.535003849102355</v>
      </c>
      <c r="I50" s="42" t="n">
        <v>0</v>
      </c>
      <c r="J50" s="42" t="n">
        <v>1</v>
      </c>
      <c r="K50" s="44" t="str">
        <f aca="false">IF(AND(I50=1,J50=1),"两者都跟住",IF(AND(I50=0,J50=1),"仅 PC-TBD 跟住",IF(AND(I50=1,J50=0),"仅 VIT-LPS 跟住","都没跟住")))</f>
        <v>仅 PC-TBD 跟住</v>
      </c>
      <c r="L50" s="45" t="n">
        <f aca="false">F50-G50</f>
        <v>-0.524529958698788</v>
      </c>
      <c r="M50" s="46" t="n">
        <v>0.3222732</v>
      </c>
      <c r="N50" s="46" t="n">
        <v>0.1605514</v>
      </c>
      <c r="O50" s="46" t="n">
        <v>0.5253929</v>
      </c>
      <c r="P50" s="46" t="n">
        <v>0.7502436</v>
      </c>
      <c r="Q50" s="46" t="n">
        <v>9.7304387</v>
      </c>
      <c r="R50" s="46" t="n">
        <v>2.9378155</v>
      </c>
      <c r="S50" s="47" t="n">
        <f aca="false">M50+N50+O50</f>
        <v>1.0082175</v>
      </c>
      <c r="T50" s="47" t="n">
        <f aca="false">M50+P50</f>
        <v>1.0725168</v>
      </c>
    </row>
    <row r="51" customFormat="false" ht="15" hidden="false" customHeight="false" outlineLevel="0" collapsed="false">
      <c r="A51" s="42" t="s">
        <v>44</v>
      </c>
      <c r="B51" s="42" t="n">
        <v>-20</v>
      </c>
      <c r="C51" s="42" t="n">
        <v>50</v>
      </c>
      <c r="D51" s="42" t="n">
        <v>74270965</v>
      </c>
      <c r="E51" s="43" t="n">
        <v>0.0162152819067891</v>
      </c>
      <c r="F51" s="43" t="n">
        <v>0.0228245641657931</v>
      </c>
      <c r="G51" s="43" t="n">
        <v>0.575298929473481</v>
      </c>
      <c r="H51" s="43" t="n">
        <v>0.539048000279944</v>
      </c>
      <c r="I51" s="42" t="n">
        <v>0</v>
      </c>
      <c r="J51" s="42" t="n">
        <v>1</v>
      </c>
      <c r="K51" s="44" t="str">
        <f aca="false">IF(AND(I51=1,J51=1),"两者都跟住",IF(AND(I51=0,J51=1),"仅 PC-TBD 跟住",IF(AND(I51=1,J51=0),"仅 VIT-LPS 跟住","都没跟住")))</f>
        <v>仅 PC-TBD 跟住</v>
      </c>
      <c r="L51" s="45" t="n">
        <f aca="false">F51-G51</f>
        <v>-0.552474365307688</v>
      </c>
      <c r="M51" s="46" t="n">
        <v>0.3371287</v>
      </c>
      <c r="N51" s="46" t="n">
        <v>0.1777249</v>
      </c>
      <c r="O51" s="46" t="n">
        <v>0.514851</v>
      </c>
      <c r="P51" s="46" t="n">
        <v>0.8629888</v>
      </c>
      <c r="Q51" s="46" t="n">
        <v>7.3878007</v>
      </c>
      <c r="R51" s="46" t="n">
        <v>2.3292449</v>
      </c>
      <c r="S51" s="47" t="n">
        <f aca="false">M51+N51+O51</f>
        <v>1.0297046</v>
      </c>
      <c r="T51" s="47" t="n">
        <f aca="false">M51+P51</f>
        <v>1.2001175</v>
      </c>
    </row>
    <row r="52" customFormat="false" ht="15" hidden="false" customHeight="false" outlineLevel="0" collapsed="false">
      <c r="A52" s="42" t="s">
        <v>44</v>
      </c>
      <c r="B52" s="42" t="n">
        <v>-20</v>
      </c>
      <c r="C52" s="42" t="n">
        <v>51</v>
      </c>
      <c r="D52" s="42" t="n">
        <v>74270966</v>
      </c>
      <c r="E52" s="43" t="n">
        <v>0.0164800915369693</v>
      </c>
      <c r="F52" s="43" t="n">
        <v>0.0186911253102955</v>
      </c>
      <c r="G52" s="43" t="n">
        <v>0.413604111327941</v>
      </c>
      <c r="H52" s="43" t="n">
        <v>0.441945307644318</v>
      </c>
      <c r="I52" s="42" t="n">
        <v>0</v>
      </c>
      <c r="J52" s="42" t="n">
        <v>1</v>
      </c>
      <c r="K52" s="44" t="str">
        <f aca="false">IF(AND(I52=1,J52=1),"两者都跟住",IF(AND(I52=0,J52=1),"仅 PC-TBD 跟住",IF(AND(I52=1,J52=0),"仅 VIT-LPS 跟住","都没跟住")))</f>
        <v>仅 PC-TBD 跟住</v>
      </c>
      <c r="L52" s="45" t="n">
        <f aca="false">F52-G52</f>
        <v>-0.394912986017646</v>
      </c>
      <c r="M52" s="46" t="n">
        <v>0.2893392</v>
      </c>
      <c r="N52" s="46" t="n">
        <v>0.1571444</v>
      </c>
      <c r="O52" s="46" t="n">
        <v>0.3785176</v>
      </c>
      <c r="P52" s="46" t="n">
        <v>0.6652142</v>
      </c>
      <c r="Q52" s="46" t="n">
        <v>10.602939</v>
      </c>
      <c r="R52" s="46" t="n">
        <v>3.1576501</v>
      </c>
      <c r="S52" s="47" t="n">
        <f aca="false">M52+N52+O52</f>
        <v>0.8250012</v>
      </c>
      <c r="T52" s="47" t="n">
        <f aca="false">M52+P52</f>
        <v>0.9545534</v>
      </c>
    </row>
    <row r="53" customFormat="false" ht="15" hidden="false" customHeight="false" outlineLevel="0" collapsed="false">
      <c r="A53" s="42" t="s">
        <v>44</v>
      </c>
      <c r="B53" s="42" t="n">
        <v>-20</v>
      </c>
      <c r="C53" s="42" t="n">
        <v>52</v>
      </c>
      <c r="D53" s="42" t="n">
        <v>74270967</v>
      </c>
      <c r="E53" s="43" t="n">
        <v>0.0139763182990195</v>
      </c>
      <c r="F53" s="43" t="n">
        <v>0.0163107290931118</v>
      </c>
      <c r="G53" s="43" t="n">
        <v>0.496579206751953</v>
      </c>
      <c r="H53" s="43" t="n">
        <v>0.529797086879171</v>
      </c>
      <c r="I53" s="42" t="n">
        <v>0</v>
      </c>
      <c r="J53" s="42" t="n">
        <v>1</v>
      </c>
      <c r="K53" s="44" t="str">
        <f aca="false">IF(AND(I53=1,J53=1),"两者都跟住",IF(AND(I53=0,J53=1),"仅 PC-TBD 跟住",IF(AND(I53=1,J53=0),"仅 VIT-LPS 跟住","都没跟住")))</f>
        <v>仅 PC-TBD 跟住</v>
      </c>
      <c r="L53" s="45" t="n">
        <f aca="false">F53-G53</f>
        <v>-0.480268477658841</v>
      </c>
      <c r="M53" s="46" t="n">
        <v>0.2950964</v>
      </c>
      <c r="N53" s="46" t="n">
        <v>0.1105944</v>
      </c>
      <c r="O53" s="46" t="n">
        <v>0.3063569</v>
      </c>
      <c r="P53" s="46" t="n">
        <v>0.4327384</v>
      </c>
      <c r="Q53" s="46" t="n">
        <v>9.4659071</v>
      </c>
      <c r="R53" s="46" t="n">
        <v>3.5081985</v>
      </c>
      <c r="S53" s="47" t="n">
        <f aca="false">M53+N53+O53</f>
        <v>0.7120477</v>
      </c>
      <c r="T53" s="47" t="n">
        <f aca="false">M53+P53</f>
        <v>0.7278348</v>
      </c>
    </row>
    <row r="54" customFormat="false" ht="15" hidden="false" customHeight="false" outlineLevel="0" collapsed="false">
      <c r="A54" s="42" t="s">
        <v>44</v>
      </c>
      <c r="B54" s="42" t="n">
        <v>-20</v>
      </c>
      <c r="C54" s="42" t="n">
        <v>53</v>
      </c>
      <c r="D54" s="42" t="n">
        <v>74270968</v>
      </c>
      <c r="E54" s="43" t="n">
        <v>0.0255361039525886</v>
      </c>
      <c r="F54" s="43" t="n">
        <v>0.014721362607655</v>
      </c>
      <c r="G54" s="43" t="n">
        <v>0.580379264582855</v>
      </c>
      <c r="H54" s="43" t="n">
        <v>0.605355232514586</v>
      </c>
      <c r="I54" s="42" t="n">
        <v>0</v>
      </c>
      <c r="J54" s="42" t="n">
        <v>1</v>
      </c>
      <c r="K54" s="44" t="str">
        <f aca="false">IF(AND(I54=1,J54=1),"两者都跟住",IF(AND(I54=0,J54=1),"仅 PC-TBD 跟住",IF(AND(I54=1,J54=0),"仅 VIT-LPS 跟住","都没跟住")))</f>
        <v>仅 PC-TBD 跟住</v>
      </c>
      <c r="L54" s="45" t="n">
        <f aca="false">F54-G54</f>
        <v>-0.5656579019752</v>
      </c>
      <c r="M54" s="46" t="n">
        <v>0.2453208</v>
      </c>
      <c r="N54" s="46" t="n">
        <v>0.1622645</v>
      </c>
      <c r="O54" s="46" t="n">
        <v>0.4177754</v>
      </c>
      <c r="P54" s="46" t="n">
        <v>0.6603353</v>
      </c>
      <c r="Q54" s="46" t="n">
        <v>9.5636866</v>
      </c>
      <c r="R54" s="46" t="n">
        <v>3.644865</v>
      </c>
      <c r="S54" s="47" t="n">
        <f aca="false">M54+N54+O54</f>
        <v>0.8253607</v>
      </c>
      <c r="T54" s="47" t="n">
        <f aca="false">M54+P54</f>
        <v>0.9056561</v>
      </c>
    </row>
    <row r="55" customFormat="false" ht="15" hidden="false" customHeight="false" outlineLevel="0" collapsed="false">
      <c r="A55" s="42" t="s">
        <v>44</v>
      </c>
      <c r="B55" s="42" t="n">
        <v>-20</v>
      </c>
      <c r="C55" s="42" t="n">
        <v>54</v>
      </c>
      <c r="D55" s="42" t="n">
        <v>74270969</v>
      </c>
      <c r="E55" s="43" t="n">
        <v>0.014287128951592</v>
      </c>
      <c r="F55" s="43" t="n">
        <v>0.0223055762209378</v>
      </c>
      <c r="G55" s="43" t="n">
        <v>0.469920900135111</v>
      </c>
      <c r="H55" s="43" t="n">
        <v>0.520508530393542</v>
      </c>
      <c r="I55" s="42" t="n">
        <v>0</v>
      </c>
      <c r="J55" s="42" t="n">
        <v>1</v>
      </c>
      <c r="K55" s="44" t="str">
        <f aca="false">IF(AND(I55=1,J55=1),"两者都跟住",IF(AND(I55=0,J55=1),"仅 PC-TBD 跟住",IF(AND(I55=1,J55=0),"仅 VIT-LPS 跟住","都没跟住")))</f>
        <v>仅 PC-TBD 跟住</v>
      </c>
      <c r="L55" s="45" t="n">
        <f aca="false">F55-G55</f>
        <v>-0.447615323914173</v>
      </c>
      <c r="M55" s="46" t="n">
        <v>0.3032451</v>
      </c>
      <c r="N55" s="46" t="n">
        <v>0.1577884</v>
      </c>
      <c r="O55" s="46" t="n">
        <v>0.381595</v>
      </c>
      <c r="P55" s="46" t="n">
        <v>0.6323925</v>
      </c>
      <c r="Q55" s="46" t="n">
        <v>9.0125556</v>
      </c>
      <c r="R55" s="46" t="n">
        <v>3.1415597</v>
      </c>
      <c r="S55" s="47" t="n">
        <f aca="false">M55+N55+O55</f>
        <v>0.8426285</v>
      </c>
      <c r="T55" s="47" t="n">
        <f aca="false">M55+P55</f>
        <v>0.9356376</v>
      </c>
    </row>
    <row r="56" customFormat="false" ht="15" hidden="false" customHeight="false" outlineLevel="0" collapsed="false">
      <c r="A56" s="42" t="s">
        <v>44</v>
      </c>
      <c r="B56" s="42" t="n">
        <v>-20</v>
      </c>
      <c r="C56" s="42" t="n">
        <v>55</v>
      </c>
      <c r="D56" s="42" t="n">
        <v>74270970</v>
      </c>
      <c r="E56" s="43" t="n">
        <v>0.0104253767099012</v>
      </c>
      <c r="F56" s="43" t="n">
        <v>0.0115642611658211</v>
      </c>
      <c r="G56" s="43" t="n">
        <v>0.629062015635233</v>
      </c>
      <c r="H56" s="43" t="n">
        <v>0.634934139974822</v>
      </c>
      <c r="I56" s="42" t="n">
        <v>0</v>
      </c>
      <c r="J56" s="42" t="n">
        <v>1</v>
      </c>
      <c r="K56" s="44" t="str">
        <f aca="false">IF(AND(I56=1,J56=1),"两者都跟住",IF(AND(I56=0,J56=1),"仅 PC-TBD 跟住",IF(AND(I56=1,J56=0),"仅 VIT-LPS 跟住","都没跟住")))</f>
        <v>仅 PC-TBD 跟住</v>
      </c>
      <c r="L56" s="45" t="n">
        <f aca="false">F56-G56</f>
        <v>-0.617497754469412</v>
      </c>
      <c r="M56" s="46" t="n">
        <v>0.306472</v>
      </c>
      <c r="N56" s="46" t="n">
        <v>0.1406499</v>
      </c>
      <c r="O56" s="46" t="n">
        <v>0.4042224</v>
      </c>
      <c r="P56" s="46" t="n">
        <v>0.5943393</v>
      </c>
      <c r="Q56" s="46" t="n">
        <v>9.8253351</v>
      </c>
      <c r="R56" s="46" t="n">
        <v>4.0782496</v>
      </c>
      <c r="S56" s="47" t="n">
        <f aca="false">M56+N56+O56</f>
        <v>0.8513443</v>
      </c>
      <c r="T56" s="47" t="n">
        <f aca="false">M56+P56</f>
        <v>0.9008113</v>
      </c>
    </row>
    <row r="57" customFormat="false" ht="15" hidden="false" customHeight="false" outlineLevel="0" collapsed="false">
      <c r="A57" s="42" t="s">
        <v>44</v>
      </c>
      <c r="B57" s="42" t="n">
        <v>-20</v>
      </c>
      <c r="C57" s="42" t="n">
        <v>56</v>
      </c>
      <c r="D57" s="42" t="n">
        <v>74270971</v>
      </c>
      <c r="E57" s="43" t="n">
        <v>0.0164015181073223</v>
      </c>
      <c r="F57" s="43" t="n">
        <v>0.0166158786203832</v>
      </c>
      <c r="G57" s="43" t="n">
        <v>0.180461960987722</v>
      </c>
      <c r="H57" s="43" t="n">
        <v>0.184426451946896</v>
      </c>
      <c r="I57" s="42" t="n">
        <v>0</v>
      </c>
      <c r="J57" s="42" t="n">
        <v>0</v>
      </c>
      <c r="K57" s="44" t="str">
        <f aca="false">IF(AND(I57=1,J57=1),"两者都跟住",IF(AND(I57=0,J57=1),"仅 PC-TBD 跟住",IF(AND(I57=1,J57=0),"仅 VIT-LPS 跟住","都没跟住")))</f>
        <v>都没跟住</v>
      </c>
      <c r="L57" s="45" t="n">
        <f aca="false">F57-G57</f>
        <v>-0.163846082367339</v>
      </c>
      <c r="M57" s="46" t="n">
        <v>0.3131107</v>
      </c>
      <c r="N57" s="46" t="n">
        <v>0.1261072</v>
      </c>
      <c r="O57" s="46" t="n">
        <v>0.251366</v>
      </c>
      <c r="P57" s="46" t="n">
        <v>0.6428677</v>
      </c>
      <c r="Q57" s="46" t="n">
        <v>10.4328303</v>
      </c>
      <c r="R57" s="46" t="n">
        <v>3.5729322</v>
      </c>
      <c r="S57" s="47" t="n">
        <f aca="false">M57+N57+O57</f>
        <v>0.6905839</v>
      </c>
      <c r="T57" s="47" t="n">
        <f aca="false">M57+P57</f>
        <v>0.9559784</v>
      </c>
    </row>
    <row r="58" customFormat="false" ht="15" hidden="false" customHeight="false" outlineLevel="0" collapsed="false">
      <c r="A58" s="42" t="s">
        <v>44</v>
      </c>
      <c r="B58" s="42" t="n">
        <v>-20</v>
      </c>
      <c r="C58" s="42" t="n">
        <v>57</v>
      </c>
      <c r="D58" s="42" t="n">
        <v>74270972</v>
      </c>
      <c r="E58" s="43" t="n">
        <v>0.0162713497407286</v>
      </c>
      <c r="F58" s="43" t="n">
        <v>0.0177868165419935</v>
      </c>
      <c r="G58" s="43" t="n">
        <v>0.444124239066687</v>
      </c>
      <c r="H58" s="43" t="n">
        <v>0.460686054081134</v>
      </c>
      <c r="I58" s="42" t="n">
        <v>0</v>
      </c>
      <c r="J58" s="42" t="n">
        <v>0</v>
      </c>
      <c r="K58" s="44" t="str">
        <f aca="false">IF(AND(I58=1,J58=1),"两者都跟住",IF(AND(I58=0,J58=1),"仅 PC-TBD 跟住",IF(AND(I58=1,J58=0),"仅 VIT-LPS 跟住","都没跟住")))</f>
        <v>都没跟住</v>
      </c>
      <c r="L58" s="45" t="n">
        <f aca="false">F58-G58</f>
        <v>-0.426337422524694</v>
      </c>
      <c r="M58" s="46" t="n">
        <v>0.1739167</v>
      </c>
      <c r="N58" s="46" t="n">
        <v>0.1343261</v>
      </c>
      <c r="O58" s="46" t="n">
        <v>0.2306157</v>
      </c>
      <c r="P58" s="46" t="n">
        <v>0.6317062</v>
      </c>
      <c r="Q58" s="46" t="n">
        <v>7.4820571</v>
      </c>
      <c r="R58" s="46" t="n">
        <v>1.5644306</v>
      </c>
      <c r="S58" s="47" t="n">
        <f aca="false">M58+N58+O58</f>
        <v>0.5388585</v>
      </c>
      <c r="T58" s="47" t="n">
        <f aca="false">M58+P58</f>
        <v>0.8056229</v>
      </c>
    </row>
    <row r="59" customFormat="false" ht="15" hidden="false" customHeight="false" outlineLevel="0" collapsed="false">
      <c r="A59" s="42" t="s">
        <v>44</v>
      </c>
      <c r="B59" s="42" t="n">
        <v>-20</v>
      </c>
      <c r="C59" s="42" t="n">
        <v>58</v>
      </c>
      <c r="D59" s="42" t="n">
        <v>74270973</v>
      </c>
      <c r="E59" s="43" t="n">
        <v>0.0292805807559153</v>
      </c>
      <c r="F59" s="43" t="n">
        <v>0.0281241166388935</v>
      </c>
      <c r="G59" s="43" t="n">
        <v>0.865803738519197</v>
      </c>
      <c r="H59" s="43" t="n">
        <v>0.861228225506784</v>
      </c>
      <c r="I59" s="42" t="n">
        <v>0</v>
      </c>
      <c r="J59" s="42" t="n">
        <v>1</v>
      </c>
      <c r="K59" s="44" t="str">
        <f aca="false">IF(AND(I59=1,J59=1),"两者都跟住",IF(AND(I59=0,J59=1),"仅 PC-TBD 跟住",IF(AND(I59=1,J59=0),"仅 VIT-LPS 跟住","都没跟住")))</f>
        <v>仅 PC-TBD 跟住</v>
      </c>
      <c r="L59" s="45" t="n">
        <f aca="false">F59-G59</f>
        <v>-0.837679621880304</v>
      </c>
      <c r="M59" s="46" t="n">
        <v>0.2092047</v>
      </c>
      <c r="N59" s="46" t="n">
        <v>0.1461356</v>
      </c>
      <c r="O59" s="46" t="n">
        <v>0.309718</v>
      </c>
      <c r="P59" s="46" t="n">
        <v>0.5776814</v>
      </c>
      <c r="Q59" s="46" t="n">
        <v>6.9783684</v>
      </c>
      <c r="R59" s="46" t="n">
        <v>2.5331882</v>
      </c>
      <c r="S59" s="47" t="n">
        <f aca="false">M59+N59+O59</f>
        <v>0.6650583</v>
      </c>
      <c r="T59" s="47" t="n">
        <f aca="false">M59+P59</f>
        <v>0.7868861</v>
      </c>
    </row>
    <row r="60" customFormat="false" ht="15" hidden="false" customHeight="false" outlineLevel="0" collapsed="false">
      <c r="A60" s="42" t="s">
        <v>44</v>
      </c>
      <c r="B60" s="42" t="n">
        <v>-20</v>
      </c>
      <c r="C60" s="42" t="n">
        <v>59</v>
      </c>
      <c r="D60" s="42" t="n">
        <v>74270974</v>
      </c>
      <c r="E60" s="43" t="n">
        <v>0.0179629958495634</v>
      </c>
      <c r="F60" s="43" t="n">
        <v>0.0244289671852592</v>
      </c>
      <c r="G60" s="43" t="n">
        <v>0.333161669699285</v>
      </c>
      <c r="H60" s="43" t="n">
        <v>0.323588900315258</v>
      </c>
      <c r="I60" s="42" t="n">
        <v>0</v>
      </c>
      <c r="J60" s="42" t="n">
        <v>0</v>
      </c>
      <c r="K60" s="44" t="str">
        <f aca="false">IF(AND(I60=1,J60=1),"两者都跟住",IF(AND(I60=0,J60=1),"仅 PC-TBD 跟住",IF(AND(I60=1,J60=0),"仅 VIT-LPS 跟住","都没跟住")))</f>
        <v>都没跟住</v>
      </c>
      <c r="L60" s="45" t="n">
        <f aca="false">F60-G60</f>
        <v>-0.308732702514026</v>
      </c>
      <c r="M60" s="46" t="n">
        <v>0.1882743</v>
      </c>
      <c r="N60" s="46" t="n">
        <v>0.1289452</v>
      </c>
      <c r="O60" s="46" t="n">
        <v>0.3005524</v>
      </c>
      <c r="P60" s="46" t="n">
        <v>0.5610947</v>
      </c>
      <c r="Q60" s="46" t="n">
        <v>3.4134198</v>
      </c>
      <c r="R60" s="46" t="n">
        <v>2.7011985</v>
      </c>
      <c r="S60" s="47" t="n">
        <f aca="false">M60+N60+O60</f>
        <v>0.6177719</v>
      </c>
      <c r="T60" s="47" t="n">
        <f aca="false">M60+P60</f>
        <v>0.749369</v>
      </c>
    </row>
    <row r="61" customFormat="false" ht="15" hidden="false" customHeight="false" outlineLevel="0" collapsed="false">
      <c r="A61" s="42" t="s">
        <v>44</v>
      </c>
      <c r="B61" s="42" t="n">
        <v>-20</v>
      </c>
      <c r="C61" s="42" t="n">
        <v>60</v>
      </c>
      <c r="D61" s="42" t="n">
        <v>74270975</v>
      </c>
      <c r="E61" s="43" t="n">
        <v>0.0263375446072122</v>
      </c>
      <c r="F61" s="43" t="n">
        <v>0.0444247255514975</v>
      </c>
      <c r="G61" s="43" t="n">
        <v>0.497108751116427</v>
      </c>
      <c r="H61" s="43" t="n">
        <v>0.541030347356809</v>
      </c>
      <c r="I61" s="42" t="n">
        <v>0</v>
      </c>
      <c r="J61" s="42" t="n">
        <v>1</v>
      </c>
      <c r="K61" s="44" t="str">
        <f aca="false">IF(AND(I61=1,J61=1),"两者都跟住",IF(AND(I61=0,J61=1),"仅 PC-TBD 跟住",IF(AND(I61=1,J61=0),"仅 VIT-LPS 跟住","都没跟住")))</f>
        <v>仅 PC-TBD 跟住</v>
      </c>
      <c r="L61" s="45" t="n">
        <f aca="false">F61-G61</f>
        <v>-0.45268402556493</v>
      </c>
      <c r="M61" s="46" t="n">
        <v>0.2336802</v>
      </c>
      <c r="N61" s="46" t="n">
        <v>0.1538302</v>
      </c>
      <c r="O61" s="46" t="n">
        <v>0.4302512</v>
      </c>
      <c r="P61" s="46" t="n">
        <v>0.6791154</v>
      </c>
      <c r="Q61" s="46" t="n">
        <v>6.5440263</v>
      </c>
      <c r="R61" s="46" t="n">
        <v>2.3194872</v>
      </c>
      <c r="S61" s="47" t="n">
        <f aca="false">M61+N61+O61</f>
        <v>0.8177616</v>
      </c>
      <c r="T61" s="47" t="n">
        <f aca="false">M61+P61</f>
        <v>0.9127956</v>
      </c>
    </row>
    <row r="62" customFormat="false" ht="15" hidden="false" customHeight="false" outlineLevel="0" collapsed="false">
      <c r="A62" s="42" t="s">
        <v>44</v>
      </c>
      <c r="B62" s="42" t="n">
        <v>-20</v>
      </c>
      <c r="C62" s="42" t="n">
        <v>61</v>
      </c>
      <c r="D62" s="42" t="n">
        <v>74270976</v>
      </c>
      <c r="E62" s="43" t="n">
        <v>0.32089503170402</v>
      </c>
      <c r="F62" s="43" t="n">
        <v>0.438781318667873</v>
      </c>
      <c r="G62" s="43" t="n">
        <v>0.794908184710719</v>
      </c>
      <c r="H62" s="43" t="n">
        <v>0.793908337479095</v>
      </c>
      <c r="I62" s="42" t="n">
        <v>1</v>
      </c>
      <c r="J62" s="42" t="n">
        <v>1</v>
      </c>
      <c r="K62" s="44" t="str">
        <f aca="false">IF(AND(I62=1,J62=1),"两者都跟住",IF(AND(I62=0,J62=1),"仅 PC-TBD 跟住",IF(AND(I62=1,J62=0),"仅 VIT-LPS 跟住","都没跟住")))</f>
        <v>两者都跟住</v>
      </c>
      <c r="L62" s="45" t="n">
        <f aca="false">F62-G62</f>
        <v>-0.356126866042846</v>
      </c>
      <c r="M62" s="46" t="n">
        <v>0.2935535</v>
      </c>
      <c r="N62" s="46" t="n">
        <v>0.1515989</v>
      </c>
      <c r="O62" s="46" t="n">
        <v>0.2742434</v>
      </c>
      <c r="P62" s="46" t="n">
        <v>0.6775501</v>
      </c>
      <c r="Q62" s="46" t="n">
        <v>2.9314212</v>
      </c>
      <c r="R62" s="46" t="n">
        <v>3.2263048</v>
      </c>
      <c r="S62" s="47" t="n">
        <f aca="false">M62+N62+O62</f>
        <v>0.7193958</v>
      </c>
      <c r="T62" s="47" t="n">
        <f aca="false">M62+P62</f>
        <v>0.9711036</v>
      </c>
    </row>
    <row r="63" customFormat="false" ht="15" hidden="false" customHeight="false" outlineLevel="0" collapsed="false">
      <c r="A63" s="42" t="s">
        <v>44</v>
      </c>
      <c r="B63" s="42" t="n">
        <v>-20</v>
      </c>
      <c r="C63" s="42" t="n">
        <v>62</v>
      </c>
      <c r="D63" s="42" t="n">
        <v>74270977</v>
      </c>
      <c r="E63" s="43" t="n">
        <v>0.489212114883827</v>
      </c>
      <c r="F63" s="43" t="n">
        <v>0.860954364865189</v>
      </c>
      <c r="G63" s="43" t="n">
        <v>0.628062552144107</v>
      </c>
      <c r="H63" s="43" t="n">
        <v>0.625080722768979</v>
      </c>
      <c r="I63" s="42" t="n">
        <v>1</v>
      </c>
      <c r="J63" s="42" t="n">
        <v>1</v>
      </c>
      <c r="K63" s="44" t="str">
        <f aca="false">IF(AND(I63=1,J63=1),"两者都跟住",IF(AND(I63=0,J63=1),"仅 PC-TBD 跟住",IF(AND(I63=1,J63=0),"仅 VIT-LPS 跟住","都没跟住")))</f>
        <v>两者都跟住</v>
      </c>
      <c r="L63" s="45" t="n">
        <f aca="false">F63-G63</f>
        <v>0.232891812721082</v>
      </c>
      <c r="M63" s="46" t="n">
        <v>0.2758939</v>
      </c>
      <c r="N63" s="46" t="n">
        <v>0.1491613</v>
      </c>
      <c r="O63" s="46" t="n">
        <v>0.2455118</v>
      </c>
      <c r="P63" s="46" t="n">
        <v>0.6012549</v>
      </c>
      <c r="Q63" s="46" t="n">
        <v>3.8809454</v>
      </c>
      <c r="R63" s="46" t="n">
        <v>3.539289</v>
      </c>
      <c r="S63" s="47" t="n">
        <f aca="false">M63+N63+O63</f>
        <v>0.670567</v>
      </c>
      <c r="T63" s="47" t="n">
        <f aca="false">M63+P63</f>
        <v>0.8771488</v>
      </c>
    </row>
    <row r="64" customFormat="false" ht="15" hidden="false" customHeight="false" outlineLevel="0" collapsed="false">
      <c r="A64" s="42" t="s">
        <v>44</v>
      </c>
      <c r="B64" s="42" t="n">
        <v>-20</v>
      </c>
      <c r="C64" s="42" t="n">
        <v>63</v>
      </c>
      <c r="D64" s="42" t="n">
        <v>74270978</v>
      </c>
      <c r="E64" s="43" t="n">
        <v>0.0135132062404605</v>
      </c>
      <c r="F64" s="43" t="n">
        <v>0.0133824272813161</v>
      </c>
      <c r="G64" s="43" t="n">
        <v>0.407267974079281</v>
      </c>
      <c r="H64" s="43" t="n">
        <v>0.444533568004714</v>
      </c>
      <c r="I64" s="42" t="n">
        <v>0</v>
      </c>
      <c r="J64" s="42" t="n">
        <v>1</v>
      </c>
      <c r="K64" s="44" t="str">
        <f aca="false">IF(AND(I64=1,J64=1),"两者都跟住",IF(AND(I64=0,J64=1),"仅 PC-TBD 跟住",IF(AND(I64=1,J64=0),"仅 VIT-LPS 跟住","都没跟住")))</f>
        <v>仅 PC-TBD 跟住</v>
      </c>
      <c r="L64" s="45" t="n">
        <f aca="false">F64-G64</f>
        <v>-0.393885546797965</v>
      </c>
      <c r="M64" s="46" t="n">
        <v>0.2476534</v>
      </c>
      <c r="N64" s="46" t="n">
        <v>0.138249</v>
      </c>
      <c r="O64" s="46" t="n">
        <v>0.4342419</v>
      </c>
      <c r="P64" s="46" t="n">
        <v>0.4420901</v>
      </c>
      <c r="Q64" s="46" t="n">
        <v>9.3569351</v>
      </c>
      <c r="R64" s="46" t="n">
        <v>2.7611656</v>
      </c>
      <c r="S64" s="47" t="n">
        <f aca="false">M64+N64+O64</f>
        <v>0.8201443</v>
      </c>
      <c r="T64" s="47" t="n">
        <f aca="false">M64+P64</f>
        <v>0.6897435</v>
      </c>
    </row>
    <row r="65" customFormat="false" ht="15" hidden="false" customHeight="false" outlineLevel="0" collapsed="false">
      <c r="A65" s="42" t="s">
        <v>44</v>
      </c>
      <c r="B65" s="42" t="n">
        <v>-20</v>
      </c>
      <c r="C65" s="42" t="n">
        <v>64</v>
      </c>
      <c r="D65" s="42" t="n">
        <v>74270979</v>
      </c>
      <c r="E65" s="43" t="n">
        <v>0.0179970259151583</v>
      </c>
      <c r="F65" s="43" t="n">
        <v>0.0461734397111696</v>
      </c>
      <c r="G65" s="43" t="n">
        <v>0.194017971095214</v>
      </c>
      <c r="H65" s="43" t="n">
        <v>0.206573006518467</v>
      </c>
      <c r="I65" s="42" t="n">
        <v>0</v>
      </c>
      <c r="J65" s="42" t="n">
        <v>0</v>
      </c>
      <c r="K65" s="44" t="str">
        <f aca="false">IF(AND(I65=1,J65=1),"两者都跟住",IF(AND(I65=0,J65=1),"仅 PC-TBD 跟住",IF(AND(I65=1,J65=0),"仅 VIT-LPS 跟住","都没跟住")))</f>
        <v>都没跟住</v>
      </c>
      <c r="L65" s="45" t="n">
        <f aca="false">F65-G65</f>
        <v>-0.147844531384044</v>
      </c>
      <c r="M65" s="46" t="n">
        <v>0.268172</v>
      </c>
      <c r="N65" s="46" t="n">
        <v>0.1196753</v>
      </c>
      <c r="O65" s="46" t="n">
        <v>0.4322906</v>
      </c>
      <c r="P65" s="46" t="n">
        <v>0.5433679</v>
      </c>
      <c r="Q65" s="46" t="n">
        <v>9.5181639</v>
      </c>
      <c r="R65" s="46" t="n">
        <v>3.0611082</v>
      </c>
      <c r="S65" s="47" t="n">
        <f aca="false">M65+N65+O65</f>
        <v>0.8201379</v>
      </c>
      <c r="T65" s="47" t="n">
        <f aca="false">M65+P65</f>
        <v>0.8115399</v>
      </c>
    </row>
    <row r="66" customFormat="false" ht="15" hidden="false" customHeight="false" outlineLevel="0" collapsed="false">
      <c r="A66" s="42" t="s">
        <v>44</v>
      </c>
      <c r="B66" s="42" t="n">
        <v>-20</v>
      </c>
      <c r="C66" s="42" t="n">
        <v>65</v>
      </c>
      <c r="D66" s="42" t="n">
        <v>74270980</v>
      </c>
      <c r="E66" s="43" t="n">
        <v>0.0185043761566557</v>
      </c>
      <c r="F66" s="43" t="n">
        <v>0.0289196937216981</v>
      </c>
      <c r="G66" s="43" t="n">
        <v>0.116709102534611</v>
      </c>
      <c r="H66" s="43" t="n">
        <v>0.116709102534611</v>
      </c>
      <c r="I66" s="42" t="n">
        <v>0</v>
      </c>
      <c r="J66" s="42" t="n">
        <v>0</v>
      </c>
      <c r="K66" s="44" t="str">
        <f aca="false">IF(AND(I66=1,J66=1),"两者都跟住",IF(AND(I66=0,J66=1),"仅 PC-TBD 跟住",IF(AND(I66=1,J66=0),"仅 VIT-LPS 跟住","都没跟住")))</f>
        <v>都没跟住</v>
      </c>
      <c r="L66" s="45" t="n">
        <f aca="false">F66-G66</f>
        <v>-0.0877894088129129</v>
      </c>
      <c r="M66" s="46" t="n">
        <v>0.2916103</v>
      </c>
      <c r="N66" s="46" t="n">
        <v>0.1506524</v>
      </c>
      <c r="O66" s="46" t="n">
        <v>0.380924</v>
      </c>
      <c r="P66" s="46" t="n">
        <v>0.6300309</v>
      </c>
      <c r="Q66" s="46" t="n">
        <v>7.541146</v>
      </c>
      <c r="R66" s="46" t="n">
        <v>3.766588</v>
      </c>
      <c r="S66" s="47" t="n">
        <f aca="false">M66+N66+O66</f>
        <v>0.8231867</v>
      </c>
      <c r="T66" s="47" t="n">
        <f aca="false">M66+P66</f>
        <v>0.9216412</v>
      </c>
    </row>
    <row r="67" customFormat="false" ht="15" hidden="false" customHeight="false" outlineLevel="0" collapsed="false">
      <c r="A67" s="42" t="s">
        <v>44</v>
      </c>
      <c r="B67" s="42" t="n">
        <v>-20</v>
      </c>
      <c r="C67" s="42" t="n">
        <v>66</v>
      </c>
      <c r="D67" s="42" t="n">
        <v>74270981</v>
      </c>
      <c r="E67" s="43" t="n">
        <v>0.0143668074134513</v>
      </c>
      <c r="F67" s="43" t="n">
        <v>0.0145781412443683</v>
      </c>
      <c r="G67" s="43" t="n">
        <v>0.511302317787594</v>
      </c>
      <c r="H67" s="43" t="n">
        <v>0.516824466789776</v>
      </c>
      <c r="I67" s="42" t="n">
        <v>0</v>
      </c>
      <c r="J67" s="42" t="n">
        <v>1</v>
      </c>
      <c r="K67" s="44" t="str">
        <f aca="false">IF(AND(I67=1,J67=1),"两者都跟住",IF(AND(I67=0,J67=1),"仅 PC-TBD 跟住",IF(AND(I67=1,J67=0),"仅 VIT-LPS 跟住","都没跟住")))</f>
        <v>仅 PC-TBD 跟住</v>
      </c>
      <c r="L67" s="45" t="n">
        <f aca="false">F67-G67</f>
        <v>-0.496724176543226</v>
      </c>
      <c r="M67" s="46" t="n">
        <v>0.2787377</v>
      </c>
      <c r="N67" s="46" t="n">
        <v>0.1586629</v>
      </c>
      <c r="O67" s="46" t="n">
        <v>0.3339871</v>
      </c>
      <c r="P67" s="46" t="n">
        <v>0.6237489</v>
      </c>
      <c r="Q67" s="46" t="n">
        <v>8.1852102</v>
      </c>
      <c r="R67" s="46" t="n">
        <v>3.7826873</v>
      </c>
      <c r="S67" s="47" t="n">
        <f aca="false">M67+N67+O67</f>
        <v>0.7713877</v>
      </c>
      <c r="T67" s="47" t="n">
        <f aca="false">M67+P67</f>
        <v>0.9024866</v>
      </c>
    </row>
    <row r="68" customFormat="false" ht="15" hidden="false" customHeight="false" outlineLevel="0" collapsed="false">
      <c r="A68" s="42" t="s">
        <v>44</v>
      </c>
      <c r="B68" s="42" t="n">
        <v>-20</v>
      </c>
      <c r="C68" s="42" t="n">
        <v>67</v>
      </c>
      <c r="D68" s="42" t="n">
        <v>74270982</v>
      </c>
      <c r="E68" s="43" t="n">
        <v>0.0158500809240584</v>
      </c>
      <c r="F68" s="43" t="n">
        <v>0.0246248251810736</v>
      </c>
      <c r="G68" s="43" t="n">
        <v>0.448603789796214</v>
      </c>
      <c r="H68" s="43" t="n">
        <v>0.513760933500978</v>
      </c>
      <c r="I68" s="42" t="n">
        <v>0</v>
      </c>
      <c r="J68" s="42" t="n">
        <v>1</v>
      </c>
      <c r="K68" s="44" t="str">
        <f aca="false">IF(AND(I68=1,J68=1),"两者都跟住",IF(AND(I68=0,J68=1),"仅 PC-TBD 跟住",IF(AND(I68=1,J68=0),"仅 VIT-LPS 跟住","都没跟住")))</f>
        <v>仅 PC-TBD 跟住</v>
      </c>
      <c r="L68" s="45" t="n">
        <f aca="false">F68-G68</f>
        <v>-0.42397896461514</v>
      </c>
      <c r="M68" s="46" t="n">
        <v>0.2165592</v>
      </c>
      <c r="N68" s="46" t="n">
        <v>0.1695742</v>
      </c>
      <c r="O68" s="46" t="n">
        <v>0.4344537</v>
      </c>
      <c r="P68" s="46" t="n">
        <v>0.5996104</v>
      </c>
      <c r="Q68" s="46" t="n">
        <v>9.5693141</v>
      </c>
      <c r="R68" s="46" t="n">
        <v>3.5190998</v>
      </c>
      <c r="S68" s="47" t="n">
        <f aca="false">M68+N68+O68</f>
        <v>0.8205871</v>
      </c>
      <c r="T68" s="47" t="n">
        <f aca="false">M68+P68</f>
        <v>0.8161696</v>
      </c>
    </row>
    <row r="69" customFormat="false" ht="15" hidden="false" customHeight="false" outlineLevel="0" collapsed="false">
      <c r="A69" s="42" t="s">
        <v>44</v>
      </c>
      <c r="B69" s="42" t="n">
        <v>-20</v>
      </c>
      <c r="C69" s="42" t="n">
        <v>68</v>
      </c>
      <c r="D69" s="42" t="n">
        <v>74270983</v>
      </c>
      <c r="E69" s="43" t="n">
        <v>0.021272561155475</v>
      </c>
      <c r="F69" s="43" t="n">
        <v>0.0181118691894609</v>
      </c>
      <c r="G69" s="43" t="n">
        <v>0.794298288779468</v>
      </c>
      <c r="H69" s="43" t="n">
        <v>0.775663792453407</v>
      </c>
      <c r="I69" s="42" t="n">
        <v>0</v>
      </c>
      <c r="J69" s="42" t="n">
        <v>1</v>
      </c>
      <c r="K69" s="44" t="str">
        <f aca="false">IF(AND(I69=1,J69=1),"两者都跟住",IF(AND(I69=0,J69=1),"仅 PC-TBD 跟住",IF(AND(I69=1,J69=0),"仅 VIT-LPS 跟住","都没跟住")))</f>
        <v>仅 PC-TBD 跟住</v>
      </c>
      <c r="L69" s="45" t="n">
        <f aca="false">F69-G69</f>
        <v>-0.776186419590007</v>
      </c>
      <c r="M69" s="46" t="n">
        <v>0.2183641</v>
      </c>
      <c r="N69" s="46" t="n">
        <v>0.1676898</v>
      </c>
      <c r="O69" s="46" t="n">
        <v>0.48364</v>
      </c>
      <c r="P69" s="46" t="n">
        <v>0.7711304</v>
      </c>
      <c r="Q69" s="46" t="n">
        <v>4.2717721</v>
      </c>
      <c r="R69" s="46" t="n">
        <v>1.978074</v>
      </c>
      <c r="S69" s="47" t="n">
        <f aca="false">M69+N69+O69</f>
        <v>0.8696939</v>
      </c>
      <c r="T69" s="47" t="n">
        <f aca="false">M69+P69</f>
        <v>0.9894945</v>
      </c>
    </row>
    <row r="70" customFormat="false" ht="15" hidden="false" customHeight="false" outlineLevel="0" collapsed="false">
      <c r="A70" s="42" t="s">
        <v>44</v>
      </c>
      <c r="B70" s="42" t="n">
        <v>-20</v>
      </c>
      <c r="C70" s="42" t="n">
        <v>69</v>
      </c>
      <c r="D70" s="42" t="n">
        <v>74270984</v>
      </c>
      <c r="E70" s="43" t="n">
        <v>0.022464121091694</v>
      </c>
      <c r="F70" s="43" t="n">
        <v>0.0216832199865391</v>
      </c>
      <c r="G70" s="43" t="n">
        <v>0.718469882660548</v>
      </c>
      <c r="H70" s="43" t="n">
        <v>0.710999151536406</v>
      </c>
      <c r="I70" s="42" t="n">
        <v>0</v>
      </c>
      <c r="J70" s="42" t="n">
        <v>1</v>
      </c>
      <c r="K70" s="44" t="str">
        <f aca="false">IF(AND(I70=1,J70=1),"两者都跟住",IF(AND(I70=0,J70=1),"仅 PC-TBD 跟住",IF(AND(I70=1,J70=0),"仅 VIT-LPS 跟住","都没跟住")))</f>
        <v>仅 PC-TBD 跟住</v>
      </c>
      <c r="L70" s="45" t="n">
        <f aca="false">F70-G70</f>
        <v>-0.696786662674009</v>
      </c>
      <c r="M70" s="46" t="n">
        <v>0.2082901</v>
      </c>
      <c r="N70" s="46" t="n">
        <v>0.1550938</v>
      </c>
      <c r="O70" s="46" t="n">
        <v>0.3739233</v>
      </c>
      <c r="P70" s="46" t="n">
        <v>0.6248379</v>
      </c>
      <c r="Q70" s="46" t="n">
        <v>5.8285383</v>
      </c>
      <c r="R70" s="46" t="n">
        <v>2.6269346</v>
      </c>
      <c r="S70" s="47" t="n">
        <f aca="false">M70+N70+O70</f>
        <v>0.7373072</v>
      </c>
      <c r="T70" s="47" t="n">
        <f aca="false">M70+P70</f>
        <v>0.833128</v>
      </c>
    </row>
    <row r="71" customFormat="false" ht="15" hidden="false" customHeight="false" outlineLevel="0" collapsed="false">
      <c r="A71" s="42" t="s">
        <v>44</v>
      </c>
      <c r="B71" s="42" t="n">
        <v>-20</v>
      </c>
      <c r="C71" s="42" t="n">
        <v>70</v>
      </c>
      <c r="D71" s="42" t="n">
        <v>74270985</v>
      </c>
      <c r="E71" s="43" t="n">
        <v>0.0135970521601058</v>
      </c>
      <c r="F71" s="43" t="n">
        <v>0.0231518783350917</v>
      </c>
      <c r="G71" s="43" t="n">
        <v>0.202202998645696</v>
      </c>
      <c r="H71" s="43" t="n">
        <v>0.209109197942612</v>
      </c>
      <c r="I71" s="42" t="n">
        <v>0</v>
      </c>
      <c r="J71" s="42" t="n">
        <v>0</v>
      </c>
      <c r="K71" s="44" t="str">
        <f aca="false">IF(AND(I71=1,J71=1),"两者都跟住",IF(AND(I71=0,J71=1),"仅 PC-TBD 跟住",IF(AND(I71=1,J71=0),"仅 VIT-LPS 跟住","都没跟住")))</f>
        <v>都没跟住</v>
      </c>
      <c r="L71" s="45" t="n">
        <f aca="false">F71-G71</f>
        <v>-0.179051120310604</v>
      </c>
      <c r="M71" s="46" t="n">
        <v>0.2125265</v>
      </c>
      <c r="N71" s="46" t="n">
        <v>0.1422139</v>
      </c>
      <c r="O71" s="46" t="n">
        <v>0.2799558</v>
      </c>
      <c r="P71" s="46" t="n">
        <v>0.4966788</v>
      </c>
      <c r="Q71" s="46" t="n">
        <v>8.6198177</v>
      </c>
      <c r="R71" s="46" t="n">
        <v>1.9084916</v>
      </c>
      <c r="S71" s="47" t="n">
        <f aca="false">M71+N71+O71</f>
        <v>0.6346962</v>
      </c>
      <c r="T71" s="47" t="n">
        <f aca="false">M71+P71</f>
        <v>0.7092053</v>
      </c>
    </row>
    <row r="72" customFormat="false" ht="15" hidden="false" customHeight="false" outlineLevel="0" collapsed="false">
      <c r="A72" s="42" t="s">
        <v>44</v>
      </c>
      <c r="B72" s="42" t="n">
        <v>-20</v>
      </c>
      <c r="C72" s="42" t="n">
        <v>71</v>
      </c>
      <c r="D72" s="42" t="n">
        <v>74270986</v>
      </c>
      <c r="E72" s="43" t="n">
        <v>0.012365981680626</v>
      </c>
      <c r="F72" s="43" t="n">
        <v>0.0124947544302446</v>
      </c>
      <c r="G72" s="43" t="n">
        <v>0.464565902934328</v>
      </c>
      <c r="H72" s="43" t="n">
        <v>0.494726108648455</v>
      </c>
      <c r="I72" s="42" t="n">
        <v>0</v>
      </c>
      <c r="J72" s="42" t="n">
        <v>1</v>
      </c>
      <c r="K72" s="44" t="str">
        <f aca="false">IF(AND(I72=1,J72=1),"两者都跟住",IF(AND(I72=0,J72=1),"仅 PC-TBD 跟住",IF(AND(I72=1,J72=0),"仅 VIT-LPS 跟住","都没跟住")))</f>
        <v>仅 PC-TBD 跟住</v>
      </c>
      <c r="L72" s="45" t="n">
        <f aca="false">F72-G72</f>
        <v>-0.452071148504083</v>
      </c>
      <c r="M72" s="46" t="n">
        <v>0.230925</v>
      </c>
      <c r="N72" s="46" t="n">
        <v>0.1446187</v>
      </c>
      <c r="O72" s="46" t="n">
        <v>0.3858886</v>
      </c>
      <c r="P72" s="46" t="n">
        <v>0.6671612</v>
      </c>
      <c r="Q72" s="46" t="n">
        <v>9.471129</v>
      </c>
      <c r="R72" s="46" t="n">
        <v>3.383995</v>
      </c>
      <c r="S72" s="47" t="n">
        <f aca="false">M72+N72+O72</f>
        <v>0.7614323</v>
      </c>
      <c r="T72" s="47" t="n">
        <f aca="false">M72+P72</f>
        <v>0.8980862</v>
      </c>
    </row>
    <row r="73" customFormat="false" ht="15" hidden="false" customHeight="false" outlineLevel="0" collapsed="false">
      <c r="A73" s="42" t="s">
        <v>44</v>
      </c>
      <c r="B73" s="42" t="n">
        <v>-20</v>
      </c>
      <c r="C73" s="42" t="n">
        <v>72</v>
      </c>
      <c r="D73" s="42" t="n">
        <v>74270987</v>
      </c>
      <c r="E73" s="43" t="n">
        <v>0.0205319602377229</v>
      </c>
      <c r="F73" s="43" t="n">
        <v>0.0155465174178946</v>
      </c>
      <c r="G73" s="43" t="n">
        <v>0.744963027739263</v>
      </c>
      <c r="H73" s="43" t="n">
        <v>0.773930452024334</v>
      </c>
      <c r="I73" s="42" t="n">
        <v>0</v>
      </c>
      <c r="J73" s="42" t="n">
        <v>1</v>
      </c>
      <c r="K73" s="44" t="str">
        <f aca="false">IF(AND(I73=1,J73=1),"两者都跟住",IF(AND(I73=0,J73=1),"仅 PC-TBD 跟住",IF(AND(I73=1,J73=0),"仅 VIT-LPS 跟住","都没跟住")))</f>
        <v>仅 PC-TBD 跟住</v>
      </c>
      <c r="L73" s="45" t="n">
        <f aca="false">F73-G73</f>
        <v>-0.729416510321368</v>
      </c>
      <c r="M73" s="46" t="n">
        <v>0.2626845</v>
      </c>
      <c r="N73" s="46" t="n">
        <v>0.1484999</v>
      </c>
      <c r="O73" s="46" t="n">
        <v>0.4157842</v>
      </c>
      <c r="P73" s="46" t="n">
        <v>0.622368</v>
      </c>
      <c r="Q73" s="46" t="n">
        <v>8.6610457</v>
      </c>
      <c r="R73" s="46" t="n">
        <v>3.4774259</v>
      </c>
      <c r="S73" s="47" t="n">
        <f aca="false">M73+N73+O73</f>
        <v>0.8269686</v>
      </c>
      <c r="T73" s="47" t="n">
        <f aca="false">M73+P73</f>
        <v>0.8850525</v>
      </c>
    </row>
    <row r="74" customFormat="false" ht="15" hidden="false" customHeight="false" outlineLevel="0" collapsed="false">
      <c r="A74" s="42" t="s">
        <v>44</v>
      </c>
      <c r="B74" s="42" t="n">
        <v>-20</v>
      </c>
      <c r="C74" s="42" t="n">
        <v>73</v>
      </c>
      <c r="D74" s="42" t="n">
        <v>74270988</v>
      </c>
      <c r="E74" s="43" t="n">
        <v>0.0170000786350181</v>
      </c>
      <c r="F74" s="43" t="n">
        <v>0.0208879760626799</v>
      </c>
      <c r="G74" s="43" t="n">
        <v>0.574469519254581</v>
      </c>
      <c r="H74" s="43" t="n">
        <v>0.574469519254581</v>
      </c>
      <c r="I74" s="42" t="n">
        <v>0</v>
      </c>
      <c r="J74" s="42" t="n">
        <v>1</v>
      </c>
      <c r="K74" s="44" t="str">
        <f aca="false">IF(AND(I74=1,J74=1),"两者都跟住",IF(AND(I74=0,J74=1),"仅 PC-TBD 跟住",IF(AND(I74=1,J74=0),"仅 VIT-LPS 跟住","都没跟住")))</f>
        <v>仅 PC-TBD 跟住</v>
      </c>
      <c r="L74" s="45" t="n">
        <f aca="false">F74-G74</f>
        <v>-0.553581543191901</v>
      </c>
      <c r="M74" s="46" t="n">
        <v>0.2701963</v>
      </c>
      <c r="N74" s="46" t="n">
        <v>0.1505742</v>
      </c>
      <c r="O74" s="46" t="n">
        <v>0.3986551</v>
      </c>
      <c r="P74" s="46" t="n">
        <v>0.7575879</v>
      </c>
      <c r="Q74" s="46" t="n">
        <v>10.5158984</v>
      </c>
      <c r="R74" s="46" t="n">
        <v>4.4674366</v>
      </c>
      <c r="S74" s="47" t="n">
        <f aca="false">M74+N74+O74</f>
        <v>0.8194256</v>
      </c>
      <c r="T74" s="47" t="n">
        <f aca="false">M74+P74</f>
        <v>1.0277842</v>
      </c>
    </row>
    <row r="75" customFormat="false" ht="15" hidden="false" customHeight="false" outlineLevel="0" collapsed="false">
      <c r="A75" s="42" t="s">
        <v>44</v>
      </c>
      <c r="B75" s="42" t="n">
        <v>-20</v>
      </c>
      <c r="C75" s="42" t="n">
        <v>74</v>
      </c>
      <c r="D75" s="42" t="n">
        <v>74270989</v>
      </c>
      <c r="E75" s="43" t="n">
        <v>0.241343318043309</v>
      </c>
      <c r="F75" s="43" t="n">
        <v>0.431220341881262</v>
      </c>
      <c r="G75" s="43" t="n">
        <v>0.713734581880048</v>
      </c>
      <c r="H75" s="43" t="n">
        <v>0.718144135374251</v>
      </c>
      <c r="I75" s="42" t="n">
        <v>1</v>
      </c>
      <c r="J75" s="42" t="n">
        <v>1</v>
      </c>
      <c r="K75" s="44" t="str">
        <f aca="false">IF(AND(I75=1,J75=1),"两者都跟住",IF(AND(I75=0,J75=1),"仅 PC-TBD 跟住",IF(AND(I75=1,J75=0),"仅 VIT-LPS 跟住","都没跟住")))</f>
        <v>两者都跟住</v>
      </c>
      <c r="L75" s="45" t="n">
        <f aca="false">F75-G75</f>
        <v>-0.282514239998786</v>
      </c>
      <c r="M75" s="46" t="n">
        <v>0.2639886</v>
      </c>
      <c r="N75" s="46" t="n">
        <v>0.1228567</v>
      </c>
      <c r="O75" s="46" t="n">
        <v>0.2089826</v>
      </c>
      <c r="P75" s="46" t="n">
        <v>0.7432542</v>
      </c>
      <c r="Q75" s="46" t="n">
        <v>3.1698157</v>
      </c>
      <c r="R75" s="46" t="n">
        <v>3.0194749</v>
      </c>
      <c r="S75" s="47" t="n">
        <f aca="false">M75+N75+O75</f>
        <v>0.5958279</v>
      </c>
      <c r="T75" s="47" t="n">
        <f aca="false">M75+P75</f>
        <v>1.0072428</v>
      </c>
    </row>
    <row r="76" customFormat="false" ht="15" hidden="false" customHeight="false" outlineLevel="0" collapsed="false">
      <c r="A76" s="42" t="s">
        <v>44</v>
      </c>
      <c r="B76" s="42" t="n">
        <v>-20</v>
      </c>
      <c r="C76" s="42" t="n">
        <v>75</v>
      </c>
      <c r="D76" s="42" t="n">
        <v>74270990</v>
      </c>
      <c r="E76" s="43" t="n">
        <v>0.0163681904252414</v>
      </c>
      <c r="F76" s="43" t="n">
        <v>0.0302348043175378</v>
      </c>
      <c r="G76" s="43" t="n">
        <v>0.42149470818804</v>
      </c>
      <c r="H76" s="43" t="n">
        <v>0.436462721786992</v>
      </c>
      <c r="I76" s="42" t="n">
        <v>0</v>
      </c>
      <c r="J76" s="42" t="n">
        <v>1</v>
      </c>
      <c r="K76" s="44" t="str">
        <f aca="false">IF(AND(I76=1,J76=1),"两者都跟住",IF(AND(I76=0,J76=1),"仅 PC-TBD 跟住",IF(AND(I76=1,J76=0),"仅 VIT-LPS 跟住","都没跟住")))</f>
        <v>仅 PC-TBD 跟住</v>
      </c>
      <c r="L76" s="45" t="n">
        <f aca="false">F76-G76</f>
        <v>-0.391259903870502</v>
      </c>
      <c r="M76" s="46" t="n">
        <v>0.247897</v>
      </c>
      <c r="N76" s="46" t="n">
        <v>0.1241957</v>
      </c>
      <c r="O76" s="46" t="n">
        <v>0.3697516</v>
      </c>
      <c r="P76" s="46" t="n">
        <v>0.5968335</v>
      </c>
      <c r="Q76" s="46" t="n">
        <v>9.8961011</v>
      </c>
      <c r="R76" s="46" t="n">
        <v>3.4098039</v>
      </c>
      <c r="S76" s="47" t="n">
        <f aca="false">M76+N76+O76</f>
        <v>0.7418443</v>
      </c>
      <c r="T76" s="47" t="n">
        <f aca="false">M76+P76</f>
        <v>0.8447305</v>
      </c>
    </row>
    <row r="77" customFormat="false" ht="15" hidden="false" customHeight="false" outlineLevel="0" collapsed="false">
      <c r="A77" s="42" t="s">
        <v>44</v>
      </c>
      <c r="B77" s="42" t="n">
        <v>-20</v>
      </c>
      <c r="C77" s="42" t="n">
        <v>76</v>
      </c>
      <c r="D77" s="42" t="n">
        <v>74270991</v>
      </c>
      <c r="E77" s="43" t="n">
        <v>0.0286140752009148</v>
      </c>
      <c r="F77" s="43" t="n">
        <v>0.0338281445987651</v>
      </c>
      <c r="G77" s="43" t="n">
        <v>0.552032865971631</v>
      </c>
      <c r="H77" s="43" t="n">
        <v>0.569113148168279</v>
      </c>
      <c r="I77" s="42" t="n">
        <v>0</v>
      </c>
      <c r="J77" s="42" t="n">
        <v>1</v>
      </c>
      <c r="K77" s="44" t="str">
        <f aca="false">IF(AND(I77=1,J77=1),"两者都跟住",IF(AND(I77=0,J77=1),"仅 PC-TBD 跟住",IF(AND(I77=1,J77=0),"仅 VIT-LPS 跟住","都没跟住")))</f>
        <v>仅 PC-TBD 跟住</v>
      </c>
      <c r="L77" s="45" t="n">
        <f aca="false">F77-G77</f>
        <v>-0.518204721372866</v>
      </c>
      <c r="M77" s="46" t="n">
        <v>0.223113</v>
      </c>
      <c r="N77" s="46" t="n">
        <v>0.1192338</v>
      </c>
      <c r="O77" s="46" t="n">
        <v>0.3508382</v>
      </c>
      <c r="P77" s="46" t="n">
        <v>0.827564</v>
      </c>
      <c r="Q77" s="46" t="n">
        <v>10.7415666</v>
      </c>
      <c r="R77" s="46" t="n">
        <v>3.861734</v>
      </c>
      <c r="S77" s="47" t="n">
        <f aca="false">M77+N77+O77</f>
        <v>0.693185</v>
      </c>
      <c r="T77" s="47" t="n">
        <f aca="false">M77+P77</f>
        <v>1.050677</v>
      </c>
    </row>
    <row r="78" customFormat="false" ht="15" hidden="false" customHeight="false" outlineLevel="0" collapsed="false">
      <c r="A78" s="42" t="s">
        <v>44</v>
      </c>
      <c r="B78" s="42" t="n">
        <v>-20</v>
      </c>
      <c r="C78" s="42" t="n">
        <v>77</v>
      </c>
      <c r="D78" s="42" t="n">
        <v>74270992</v>
      </c>
      <c r="E78" s="43" t="n">
        <v>0.0156041694287636</v>
      </c>
      <c r="F78" s="43" t="n">
        <v>0.0131078521589944</v>
      </c>
      <c r="G78" s="43" t="n">
        <v>0.335221718181022</v>
      </c>
      <c r="H78" s="43" t="n">
        <v>0.356317367265749</v>
      </c>
      <c r="I78" s="42" t="n">
        <v>0</v>
      </c>
      <c r="J78" s="42" t="n">
        <v>1</v>
      </c>
      <c r="K78" s="44" t="str">
        <f aca="false">IF(AND(I78=1,J78=1),"两者都跟住",IF(AND(I78=0,J78=1),"仅 PC-TBD 跟住",IF(AND(I78=1,J78=0),"仅 VIT-LPS 跟住","都没跟住")))</f>
        <v>仅 PC-TBD 跟住</v>
      </c>
      <c r="L78" s="45" t="n">
        <f aca="false">F78-G78</f>
        <v>-0.322113866022028</v>
      </c>
      <c r="M78" s="46" t="n">
        <v>0.2504924</v>
      </c>
      <c r="N78" s="46" t="n">
        <v>0.1328126</v>
      </c>
      <c r="O78" s="46" t="n">
        <v>0.3477405</v>
      </c>
      <c r="P78" s="46" t="n">
        <v>0.7530037</v>
      </c>
      <c r="Q78" s="46" t="n">
        <v>5.5582997</v>
      </c>
      <c r="R78" s="46" t="n">
        <v>2.0372869</v>
      </c>
      <c r="S78" s="47" t="n">
        <f aca="false">M78+N78+O78</f>
        <v>0.7310455</v>
      </c>
      <c r="T78" s="47" t="n">
        <f aca="false">M78+P78</f>
        <v>1.0034961</v>
      </c>
    </row>
    <row r="79" customFormat="false" ht="15" hidden="false" customHeight="false" outlineLevel="0" collapsed="false">
      <c r="A79" s="42" t="s">
        <v>44</v>
      </c>
      <c r="B79" s="42" t="n">
        <v>-20</v>
      </c>
      <c r="C79" s="42" t="n">
        <v>78</v>
      </c>
      <c r="D79" s="42" t="n">
        <v>74270993</v>
      </c>
      <c r="E79" s="43" t="n">
        <v>0.0183734425066648</v>
      </c>
      <c r="F79" s="43" t="n">
        <v>0.0129459412586672</v>
      </c>
      <c r="G79" s="43" t="n">
        <v>0.75493114917757</v>
      </c>
      <c r="H79" s="43" t="n">
        <v>0.764282635048216</v>
      </c>
      <c r="I79" s="42" t="n">
        <v>0</v>
      </c>
      <c r="J79" s="42" t="n">
        <v>1</v>
      </c>
      <c r="K79" s="44" t="str">
        <f aca="false">IF(AND(I79=1,J79=1),"两者都跟住",IF(AND(I79=0,J79=1),"仅 PC-TBD 跟住",IF(AND(I79=1,J79=0),"仅 VIT-LPS 跟住","都没跟住")))</f>
        <v>仅 PC-TBD 跟住</v>
      </c>
      <c r="L79" s="45" t="n">
        <f aca="false">F79-G79</f>
        <v>-0.741985207918903</v>
      </c>
      <c r="M79" s="46" t="n">
        <v>0.20434</v>
      </c>
      <c r="N79" s="46" t="n">
        <v>0.1338633</v>
      </c>
      <c r="O79" s="46" t="n">
        <v>0.4132364</v>
      </c>
      <c r="P79" s="46" t="n">
        <v>0.508113</v>
      </c>
      <c r="Q79" s="46" t="n">
        <v>3.331923</v>
      </c>
      <c r="R79" s="46" t="n">
        <v>2.1517009</v>
      </c>
      <c r="S79" s="47" t="n">
        <f aca="false">M79+N79+O79</f>
        <v>0.7514397</v>
      </c>
      <c r="T79" s="47" t="n">
        <f aca="false">M79+P79</f>
        <v>0.712453</v>
      </c>
    </row>
    <row r="80" customFormat="false" ht="15" hidden="false" customHeight="false" outlineLevel="0" collapsed="false">
      <c r="A80" s="42" t="s">
        <v>44</v>
      </c>
      <c r="B80" s="42" t="n">
        <v>-20</v>
      </c>
      <c r="C80" s="42" t="n">
        <v>79</v>
      </c>
      <c r="D80" s="42" t="n">
        <v>74270994</v>
      </c>
      <c r="E80" s="43" t="n">
        <v>0.01455349909655</v>
      </c>
      <c r="F80" s="43" t="n">
        <v>0.0139934089347506</v>
      </c>
      <c r="G80" s="43" t="n">
        <v>0.573081867028938</v>
      </c>
      <c r="H80" s="43" t="n">
        <v>0.576541616516948</v>
      </c>
      <c r="I80" s="42" t="n">
        <v>0</v>
      </c>
      <c r="J80" s="42" t="n">
        <v>1</v>
      </c>
      <c r="K80" s="44" t="str">
        <f aca="false">IF(AND(I80=1,J80=1),"两者都跟住",IF(AND(I80=0,J80=1),"仅 PC-TBD 跟住",IF(AND(I80=1,J80=0),"仅 VIT-LPS 跟住","都没跟住")))</f>
        <v>仅 PC-TBD 跟住</v>
      </c>
      <c r="L80" s="45" t="n">
        <f aca="false">F80-G80</f>
        <v>-0.559088458094187</v>
      </c>
      <c r="M80" s="46" t="n">
        <v>0.2442702</v>
      </c>
      <c r="N80" s="46" t="n">
        <v>0.1381999</v>
      </c>
      <c r="O80" s="46" t="n">
        <v>0.3903676</v>
      </c>
      <c r="P80" s="46" t="n">
        <v>0.6570133</v>
      </c>
      <c r="Q80" s="46" t="n">
        <v>8.4074616</v>
      </c>
      <c r="R80" s="46" t="n">
        <v>2.1263238</v>
      </c>
      <c r="S80" s="47" t="n">
        <f aca="false">M80+N80+O80</f>
        <v>0.7728377</v>
      </c>
      <c r="T80" s="47" t="n">
        <f aca="false">M80+P80</f>
        <v>0.9012835</v>
      </c>
    </row>
    <row r="81" customFormat="false" ht="15" hidden="false" customHeight="false" outlineLevel="0" collapsed="false">
      <c r="A81" s="42" t="s">
        <v>44</v>
      </c>
      <c r="B81" s="42" t="n">
        <v>-20</v>
      </c>
      <c r="C81" s="42" t="n">
        <v>80</v>
      </c>
      <c r="D81" s="42" t="n">
        <v>74270995</v>
      </c>
      <c r="E81" s="43" t="n">
        <v>0.369598055164627</v>
      </c>
      <c r="F81" s="43" t="n">
        <v>0.783068709955324</v>
      </c>
      <c r="G81" s="43" t="n">
        <v>0.64528052417007</v>
      </c>
      <c r="H81" s="43" t="n">
        <v>0.669997364935461</v>
      </c>
      <c r="I81" s="42" t="n">
        <v>1</v>
      </c>
      <c r="J81" s="42" t="n">
        <v>1</v>
      </c>
      <c r="K81" s="44" t="str">
        <f aca="false">IF(AND(I81=1,J81=1),"两者都跟住",IF(AND(I81=0,J81=1),"仅 PC-TBD 跟住",IF(AND(I81=1,J81=0),"仅 VIT-LPS 跟住","都没跟住")))</f>
        <v>两者都跟住</v>
      </c>
      <c r="L81" s="45" t="n">
        <f aca="false">F81-G81</f>
        <v>0.137788185785254</v>
      </c>
      <c r="M81" s="46" t="n">
        <v>0.2413087</v>
      </c>
      <c r="N81" s="46" t="n">
        <v>0.1385856</v>
      </c>
      <c r="O81" s="46" t="n">
        <v>0.3094971</v>
      </c>
      <c r="P81" s="46" t="n">
        <v>0.9192371</v>
      </c>
      <c r="Q81" s="46" t="n">
        <v>3.3069995</v>
      </c>
      <c r="R81" s="46" t="n">
        <v>2.0298804</v>
      </c>
      <c r="S81" s="47" t="n">
        <f aca="false">M81+N81+O81</f>
        <v>0.6893914</v>
      </c>
      <c r="T81" s="47" t="n">
        <f aca="false">M81+P81</f>
        <v>1.1605458</v>
      </c>
    </row>
    <row r="82" customFormat="false" ht="15" hidden="false" customHeight="false" outlineLevel="0" collapsed="false">
      <c r="A82" s="42" t="s">
        <v>44</v>
      </c>
      <c r="B82" s="42" t="n">
        <v>-20</v>
      </c>
      <c r="C82" s="42" t="n">
        <v>81</v>
      </c>
      <c r="D82" s="42" t="n">
        <v>74270996</v>
      </c>
      <c r="E82" s="43" t="n">
        <v>0.0148953271383187</v>
      </c>
      <c r="F82" s="43" t="n">
        <v>0.0129744962117702</v>
      </c>
      <c r="G82" s="43" t="n">
        <v>0.655875362443135</v>
      </c>
      <c r="H82" s="43" t="n">
        <v>0.652102343673016</v>
      </c>
      <c r="I82" s="42" t="n">
        <v>0</v>
      </c>
      <c r="J82" s="42" t="n">
        <v>1</v>
      </c>
      <c r="K82" s="44" t="str">
        <f aca="false">IF(AND(I82=1,J82=1),"两者都跟住",IF(AND(I82=0,J82=1),"仅 PC-TBD 跟住",IF(AND(I82=1,J82=0),"仅 VIT-LPS 跟住","都没跟住")))</f>
        <v>仅 PC-TBD 跟住</v>
      </c>
      <c r="L82" s="45" t="n">
        <f aca="false">F82-G82</f>
        <v>-0.642900866231365</v>
      </c>
      <c r="M82" s="46" t="n">
        <v>0.2587871</v>
      </c>
      <c r="N82" s="46" t="n">
        <v>0.1433191</v>
      </c>
      <c r="O82" s="46" t="n">
        <v>0.3544978</v>
      </c>
      <c r="P82" s="46" t="n">
        <v>0.555978</v>
      </c>
      <c r="Q82" s="46" t="n">
        <v>9.5021024</v>
      </c>
      <c r="R82" s="46" t="n">
        <v>3.6640522</v>
      </c>
      <c r="S82" s="47" t="n">
        <f aca="false">M82+N82+O82</f>
        <v>0.756604</v>
      </c>
      <c r="T82" s="47" t="n">
        <f aca="false">M82+P82</f>
        <v>0.8147651</v>
      </c>
    </row>
    <row r="83" customFormat="false" ht="15" hidden="false" customHeight="false" outlineLevel="0" collapsed="false">
      <c r="A83" s="42" t="s">
        <v>44</v>
      </c>
      <c r="B83" s="42" t="n">
        <v>-20</v>
      </c>
      <c r="C83" s="42" t="n">
        <v>82</v>
      </c>
      <c r="D83" s="42" t="n">
        <v>74270997</v>
      </c>
      <c r="E83" s="43" t="n">
        <v>0.0127471816597671</v>
      </c>
      <c r="F83" s="43" t="n">
        <v>0.0190089980375139</v>
      </c>
      <c r="G83" s="43" t="n">
        <v>0.297657525692668</v>
      </c>
      <c r="H83" s="43" t="n">
        <v>0.316553552101593</v>
      </c>
      <c r="I83" s="42" t="n">
        <v>0</v>
      </c>
      <c r="J83" s="42" t="n">
        <v>1</v>
      </c>
      <c r="K83" s="44" t="str">
        <f aca="false">IF(AND(I83=1,J83=1),"两者都跟住",IF(AND(I83=0,J83=1),"仅 PC-TBD 跟住",IF(AND(I83=1,J83=0),"仅 VIT-LPS 跟住","都没跟住")))</f>
        <v>仅 PC-TBD 跟住</v>
      </c>
      <c r="L83" s="45" t="n">
        <f aca="false">F83-G83</f>
        <v>-0.278648527655154</v>
      </c>
      <c r="M83" s="46" t="n">
        <v>0.2423135</v>
      </c>
      <c r="N83" s="46" t="n">
        <v>0.1197661</v>
      </c>
      <c r="O83" s="46" t="n">
        <v>0.330785</v>
      </c>
      <c r="P83" s="46" t="n">
        <v>0.5461255</v>
      </c>
      <c r="Q83" s="46" t="n">
        <v>4.5536323</v>
      </c>
      <c r="R83" s="46" t="n">
        <v>3.8074475</v>
      </c>
      <c r="S83" s="47" t="n">
        <f aca="false">M83+N83+O83</f>
        <v>0.6928646</v>
      </c>
      <c r="T83" s="47" t="n">
        <f aca="false">M83+P83</f>
        <v>0.788439</v>
      </c>
    </row>
    <row r="84" customFormat="false" ht="15" hidden="false" customHeight="false" outlineLevel="0" collapsed="false">
      <c r="A84" s="42" t="s">
        <v>44</v>
      </c>
      <c r="B84" s="42" t="n">
        <v>-20</v>
      </c>
      <c r="C84" s="42" t="n">
        <v>83</v>
      </c>
      <c r="D84" s="42" t="n">
        <v>74270998</v>
      </c>
      <c r="E84" s="43" t="n">
        <v>0.216762047194939</v>
      </c>
      <c r="F84" s="43" t="n">
        <v>0.408521977576441</v>
      </c>
      <c r="G84" s="43" t="n">
        <v>0.205723163501357</v>
      </c>
      <c r="H84" s="43" t="n">
        <v>0.226629388636241</v>
      </c>
      <c r="I84" s="42" t="n">
        <v>1</v>
      </c>
      <c r="J84" s="42" t="n">
        <v>1</v>
      </c>
      <c r="K84" s="44" t="str">
        <f aca="false">IF(AND(I84=1,J84=1),"两者都跟住",IF(AND(I84=0,J84=1),"仅 PC-TBD 跟住",IF(AND(I84=1,J84=0),"仅 VIT-LPS 跟住","都没跟住")))</f>
        <v>两者都跟住</v>
      </c>
      <c r="L84" s="45" t="n">
        <f aca="false">F84-G84</f>
        <v>0.202798814075084</v>
      </c>
      <c r="M84" s="46" t="n">
        <v>0.2517546</v>
      </c>
      <c r="N84" s="46" t="n">
        <v>0.1183382</v>
      </c>
      <c r="O84" s="46" t="n">
        <v>0.2217683</v>
      </c>
      <c r="P84" s="46" t="n">
        <v>0.6439372</v>
      </c>
      <c r="Q84" s="46" t="n">
        <v>8.6946981</v>
      </c>
      <c r="R84" s="46" t="n">
        <v>4.1453306</v>
      </c>
      <c r="S84" s="47" t="n">
        <f aca="false">M84+N84+O84</f>
        <v>0.5918611</v>
      </c>
      <c r="T84" s="47" t="n">
        <f aca="false">M84+P84</f>
        <v>0.8956918</v>
      </c>
    </row>
    <row r="85" customFormat="false" ht="15" hidden="false" customHeight="false" outlineLevel="0" collapsed="false">
      <c r="A85" s="42" t="s">
        <v>44</v>
      </c>
      <c r="B85" s="42" t="n">
        <v>-20</v>
      </c>
      <c r="C85" s="42" t="n">
        <v>84</v>
      </c>
      <c r="D85" s="42" t="n">
        <v>74270999</v>
      </c>
      <c r="E85" s="43" t="n">
        <v>0.0165550802347568</v>
      </c>
      <c r="F85" s="43" t="n">
        <v>0.0478354293758288</v>
      </c>
      <c r="G85" s="43" t="n">
        <v>0.6689857385481</v>
      </c>
      <c r="H85" s="43" t="n">
        <v>0.682095531503832</v>
      </c>
      <c r="I85" s="42" t="n">
        <v>0</v>
      </c>
      <c r="J85" s="42" t="n">
        <v>1</v>
      </c>
      <c r="K85" s="44" t="str">
        <f aca="false">IF(AND(I85=1,J85=1),"两者都跟住",IF(AND(I85=0,J85=1),"仅 PC-TBD 跟住",IF(AND(I85=1,J85=0),"仅 VIT-LPS 跟住","都没跟住")))</f>
        <v>仅 PC-TBD 跟住</v>
      </c>
      <c r="L85" s="45" t="n">
        <f aca="false">F85-G85</f>
        <v>-0.621150309172271</v>
      </c>
      <c r="M85" s="46" t="n">
        <v>0.2300341</v>
      </c>
      <c r="N85" s="46" t="n">
        <v>0.1288779</v>
      </c>
      <c r="O85" s="46" t="n">
        <v>0.2963521</v>
      </c>
      <c r="P85" s="46" t="n">
        <v>0.5634198</v>
      </c>
      <c r="Q85" s="46" t="n">
        <v>10.566189</v>
      </c>
      <c r="R85" s="46" t="n">
        <v>3.2015772</v>
      </c>
      <c r="S85" s="47" t="n">
        <f aca="false">M85+N85+O85</f>
        <v>0.6552641</v>
      </c>
      <c r="T85" s="47" t="n">
        <f aca="false">M85+P85</f>
        <v>0.7934539</v>
      </c>
    </row>
    <row r="86" customFormat="false" ht="15" hidden="false" customHeight="false" outlineLevel="0" collapsed="false">
      <c r="A86" s="42" t="s">
        <v>44</v>
      </c>
      <c r="B86" s="42" t="n">
        <v>-20</v>
      </c>
      <c r="C86" s="42" t="n">
        <v>85</v>
      </c>
      <c r="D86" s="42" t="n">
        <v>74271000</v>
      </c>
      <c r="E86" s="43" t="n">
        <v>0.0151342781156112</v>
      </c>
      <c r="F86" s="43" t="n">
        <v>0.0155949679493335</v>
      </c>
      <c r="G86" s="43" t="n">
        <v>0.533421133308104</v>
      </c>
      <c r="H86" s="43" t="n">
        <v>0.549843380250738</v>
      </c>
      <c r="I86" s="42" t="n">
        <v>0</v>
      </c>
      <c r="J86" s="42" t="n">
        <v>1</v>
      </c>
      <c r="K86" s="44" t="str">
        <f aca="false">IF(AND(I86=1,J86=1),"两者都跟住",IF(AND(I86=0,J86=1),"仅 PC-TBD 跟住",IF(AND(I86=1,J86=0),"仅 VIT-LPS 跟住","都没跟住")))</f>
        <v>仅 PC-TBD 跟住</v>
      </c>
      <c r="L86" s="45" t="n">
        <f aca="false">F86-G86</f>
        <v>-0.517826165358771</v>
      </c>
      <c r="M86" s="46" t="n">
        <v>0.2466344</v>
      </c>
      <c r="N86" s="46" t="n">
        <v>0.1466395</v>
      </c>
      <c r="O86" s="46" t="n">
        <v>0.3347046</v>
      </c>
      <c r="P86" s="46" t="n">
        <v>0.6394005</v>
      </c>
      <c r="Q86" s="46" t="n">
        <v>4.962725</v>
      </c>
      <c r="R86" s="46" t="n">
        <v>3.0409143</v>
      </c>
      <c r="S86" s="47" t="n">
        <f aca="false">M86+N86+O86</f>
        <v>0.7279785</v>
      </c>
      <c r="T86" s="47" t="n">
        <f aca="false">M86+P86</f>
        <v>0.8860349</v>
      </c>
    </row>
    <row r="87" customFormat="false" ht="15" hidden="false" customHeight="false" outlineLevel="0" collapsed="false">
      <c r="A87" s="42" t="s">
        <v>44</v>
      </c>
      <c r="B87" s="42" t="n">
        <v>-20</v>
      </c>
      <c r="C87" s="42" t="n">
        <v>86</v>
      </c>
      <c r="D87" s="42" t="n">
        <v>74271001</v>
      </c>
      <c r="E87" s="43" t="n">
        <v>0.314603077755089</v>
      </c>
      <c r="F87" s="43" t="n">
        <v>0.546820309073003</v>
      </c>
      <c r="G87" s="43" t="n">
        <v>0.666142212635318</v>
      </c>
      <c r="H87" s="43" t="n">
        <v>0.63519993310938</v>
      </c>
      <c r="I87" s="42" t="n">
        <v>1</v>
      </c>
      <c r="J87" s="42" t="n">
        <v>1</v>
      </c>
      <c r="K87" s="44" t="str">
        <f aca="false">IF(AND(I87=1,J87=1),"两者都跟住",IF(AND(I87=0,J87=1),"仅 PC-TBD 跟住",IF(AND(I87=1,J87=0),"仅 VIT-LPS 跟住","都没跟住")))</f>
        <v>两者都跟住</v>
      </c>
      <c r="L87" s="45" t="n">
        <f aca="false">F87-G87</f>
        <v>-0.119321903562315</v>
      </c>
      <c r="M87" s="46" t="n">
        <v>0.2547566</v>
      </c>
      <c r="N87" s="46" t="n">
        <v>0.1212381</v>
      </c>
      <c r="O87" s="46" t="n">
        <v>0.2210764</v>
      </c>
      <c r="P87" s="46" t="n">
        <v>0.6050822</v>
      </c>
      <c r="Q87" s="46" t="n">
        <v>3.3360514</v>
      </c>
      <c r="R87" s="46" t="n">
        <v>3.251376</v>
      </c>
      <c r="S87" s="47" t="n">
        <f aca="false">M87+N87+O87</f>
        <v>0.5970711</v>
      </c>
      <c r="T87" s="47" t="n">
        <f aca="false">M87+P87</f>
        <v>0.8598388</v>
      </c>
    </row>
    <row r="88" customFormat="false" ht="15" hidden="false" customHeight="false" outlineLevel="0" collapsed="false">
      <c r="A88" s="42" t="s">
        <v>44</v>
      </c>
      <c r="B88" s="42" t="n">
        <v>-20</v>
      </c>
      <c r="C88" s="42" t="n">
        <v>87</v>
      </c>
      <c r="D88" s="42" t="n">
        <v>74271002</v>
      </c>
      <c r="E88" s="43" t="n">
        <v>0.0156368278910085</v>
      </c>
      <c r="F88" s="43" t="n">
        <v>0.02377641054249</v>
      </c>
      <c r="G88" s="43" t="n">
        <v>0.746903199716503</v>
      </c>
      <c r="H88" s="43" t="n">
        <v>0.729812873721293</v>
      </c>
      <c r="I88" s="42" t="n">
        <v>0</v>
      </c>
      <c r="J88" s="42" t="n">
        <v>1</v>
      </c>
      <c r="K88" s="44" t="str">
        <f aca="false">IF(AND(I88=1,J88=1),"两者都跟住",IF(AND(I88=0,J88=1),"仅 PC-TBD 跟住",IF(AND(I88=1,J88=0),"仅 VIT-LPS 跟住","都没跟住")))</f>
        <v>仅 PC-TBD 跟住</v>
      </c>
      <c r="L88" s="45" t="n">
        <f aca="false">F88-G88</f>
        <v>-0.723126789174013</v>
      </c>
      <c r="M88" s="46" t="n">
        <v>0.234036</v>
      </c>
      <c r="N88" s="46" t="n">
        <v>0.1420056</v>
      </c>
      <c r="O88" s="46" t="n">
        <v>0.4416376</v>
      </c>
      <c r="P88" s="46" t="n">
        <v>0.8391008</v>
      </c>
      <c r="Q88" s="46" t="n">
        <v>6.9990309</v>
      </c>
      <c r="R88" s="46" t="n">
        <v>1.6346064</v>
      </c>
      <c r="S88" s="47" t="n">
        <f aca="false">M88+N88+O88</f>
        <v>0.8176792</v>
      </c>
      <c r="T88" s="47" t="n">
        <f aca="false">M88+P88</f>
        <v>1.0731368</v>
      </c>
    </row>
    <row r="89" customFormat="false" ht="15" hidden="false" customHeight="false" outlineLevel="0" collapsed="false">
      <c r="A89" s="42" t="s">
        <v>44</v>
      </c>
      <c r="B89" s="42" t="n">
        <v>-20</v>
      </c>
      <c r="C89" s="42" t="n">
        <v>88</v>
      </c>
      <c r="D89" s="42" t="n">
        <v>74271003</v>
      </c>
      <c r="E89" s="43" t="n">
        <v>0.0184803770256568</v>
      </c>
      <c r="F89" s="43" t="n">
        <v>0.0172530090499104</v>
      </c>
      <c r="G89" s="43" t="n">
        <v>0.33131269422559</v>
      </c>
      <c r="H89" s="43" t="n">
        <v>0.318949933231988</v>
      </c>
      <c r="I89" s="42" t="n">
        <v>0</v>
      </c>
      <c r="J89" s="42" t="n">
        <v>0</v>
      </c>
      <c r="K89" s="44" t="str">
        <f aca="false">IF(AND(I89=1,J89=1),"两者都跟住",IF(AND(I89=0,J89=1),"仅 PC-TBD 跟住",IF(AND(I89=1,J89=0),"仅 VIT-LPS 跟住","都没跟住")))</f>
        <v>都没跟住</v>
      </c>
      <c r="L89" s="45" t="n">
        <f aca="false">F89-G89</f>
        <v>-0.31405968517568</v>
      </c>
      <c r="M89" s="46" t="n">
        <v>0.1767049</v>
      </c>
      <c r="N89" s="46" t="n">
        <v>0.1259683</v>
      </c>
      <c r="O89" s="46" t="n">
        <v>0.2807168</v>
      </c>
      <c r="P89" s="46" t="n">
        <v>0.4874279</v>
      </c>
      <c r="Q89" s="46" t="n">
        <v>6.7659807</v>
      </c>
      <c r="R89" s="46" t="n">
        <v>1.9040974</v>
      </c>
      <c r="S89" s="47" t="n">
        <f aca="false">M89+N89+O89</f>
        <v>0.58339</v>
      </c>
      <c r="T89" s="47" t="n">
        <f aca="false">M89+P89</f>
        <v>0.6641328</v>
      </c>
    </row>
    <row r="90" customFormat="false" ht="15" hidden="false" customHeight="false" outlineLevel="0" collapsed="false">
      <c r="A90" s="42" t="s">
        <v>44</v>
      </c>
      <c r="B90" s="42" t="n">
        <v>-20</v>
      </c>
      <c r="C90" s="42" t="n">
        <v>89</v>
      </c>
      <c r="D90" s="42" t="n">
        <v>74271004</v>
      </c>
      <c r="E90" s="43" t="n">
        <v>0.0164435135370747</v>
      </c>
      <c r="F90" s="43" t="n">
        <v>0.0104815621475275</v>
      </c>
      <c r="G90" s="43" t="n">
        <v>0.301082656595427</v>
      </c>
      <c r="H90" s="43" t="n">
        <v>0.324571500218604</v>
      </c>
      <c r="I90" s="42" t="n">
        <v>0</v>
      </c>
      <c r="J90" s="42" t="n">
        <v>1</v>
      </c>
      <c r="K90" s="44" t="str">
        <f aca="false">IF(AND(I90=1,J90=1),"两者都跟住",IF(AND(I90=0,J90=1),"仅 PC-TBD 跟住",IF(AND(I90=1,J90=0),"仅 VIT-LPS 跟住","都没跟住")))</f>
        <v>仅 PC-TBD 跟住</v>
      </c>
      <c r="L90" s="45" t="n">
        <f aca="false">F90-G90</f>
        <v>-0.2906010944479</v>
      </c>
      <c r="M90" s="46" t="n">
        <v>0.1733312</v>
      </c>
      <c r="N90" s="46" t="n">
        <v>0.1186939</v>
      </c>
      <c r="O90" s="46" t="n">
        <v>0.3445071</v>
      </c>
      <c r="P90" s="46" t="n">
        <v>0.5235864</v>
      </c>
      <c r="Q90" s="46" t="n">
        <v>3.8933302</v>
      </c>
      <c r="R90" s="46" t="n">
        <v>3.058615</v>
      </c>
      <c r="S90" s="47" t="n">
        <f aca="false">M90+N90+O90</f>
        <v>0.6365322</v>
      </c>
      <c r="T90" s="47" t="n">
        <f aca="false">M90+P90</f>
        <v>0.6969176</v>
      </c>
    </row>
    <row r="91" customFormat="false" ht="15" hidden="false" customHeight="false" outlineLevel="0" collapsed="false">
      <c r="A91" s="42" t="s">
        <v>44</v>
      </c>
      <c r="B91" s="42" t="n">
        <v>-20</v>
      </c>
      <c r="C91" s="42" t="n">
        <v>90</v>
      </c>
      <c r="D91" s="42" t="n">
        <v>74271005</v>
      </c>
      <c r="E91" s="43" t="n">
        <v>0.019352384884221</v>
      </c>
      <c r="F91" s="43" t="n">
        <v>0.0220572014131781</v>
      </c>
      <c r="G91" s="43" t="n">
        <v>0.777638143925098</v>
      </c>
      <c r="H91" s="43" t="n">
        <v>0.797518913355182</v>
      </c>
      <c r="I91" s="42" t="n">
        <v>0</v>
      </c>
      <c r="J91" s="42" t="n">
        <v>1</v>
      </c>
      <c r="K91" s="44" t="str">
        <f aca="false">IF(AND(I91=1,J91=1),"两者都跟住",IF(AND(I91=0,J91=1),"仅 PC-TBD 跟住",IF(AND(I91=1,J91=0),"仅 VIT-LPS 跟住","都没跟住")))</f>
        <v>仅 PC-TBD 跟住</v>
      </c>
      <c r="L91" s="45" t="n">
        <f aca="false">F91-G91</f>
        <v>-0.75558094251192</v>
      </c>
      <c r="M91" s="46" t="n">
        <v>0.1420011</v>
      </c>
      <c r="N91" s="46" t="n">
        <v>0.1160962</v>
      </c>
      <c r="O91" s="46" t="n">
        <v>0.2354012</v>
      </c>
      <c r="P91" s="46" t="n">
        <v>0.545295</v>
      </c>
      <c r="Q91" s="46" t="n">
        <v>7.8231318</v>
      </c>
      <c r="R91" s="46" t="n">
        <v>1.5906155</v>
      </c>
      <c r="S91" s="47" t="n">
        <f aca="false">M91+N91+O91</f>
        <v>0.4934985</v>
      </c>
      <c r="T91" s="47" t="n">
        <f aca="false">M91+P91</f>
        <v>0.6872961</v>
      </c>
    </row>
    <row r="92" customFormat="false" ht="15" hidden="false" customHeight="false" outlineLevel="0" collapsed="false">
      <c r="A92" s="42" t="s">
        <v>44</v>
      </c>
      <c r="B92" s="42" t="n">
        <v>-20</v>
      </c>
      <c r="C92" s="42" t="n">
        <v>91</v>
      </c>
      <c r="D92" s="42" t="n">
        <v>74271006</v>
      </c>
      <c r="E92" s="43" t="n">
        <v>0.242317372571966</v>
      </c>
      <c r="F92" s="43" t="n">
        <v>0.746794643641468</v>
      </c>
      <c r="G92" s="43" t="n">
        <v>0.555289509390886</v>
      </c>
      <c r="H92" s="43" t="n">
        <v>0.548595693037067</v>
      </c>
      <c r="I92" s="42" t="n">
        <v>1</v>
      </c>
      <c r="J92" s="42" t="n">
        <v>1</v>
      </c>
      <c r="K92" s="44" t="str">
        <f aca="false">IF(AND(I92=1,J92=1),"两者都跟住",IF(AND(I92=0,J92=1),"仅 PC-TBD 跟住",IF(AND(I92=1,J92=0),"仅 VIT-LPS 跟住","都没跟住")))</f>
        <v>两者都跟住</v>
      </c>
      <c r="L92" s="45" t="n">
        <f aca="false">F92-G92</f>
        <v>0.191505134250582</v>
      </c>
      <c r="M92" s="46" t="n">
        <v>0.2496311</v>
      </c>
      <c r="N92" s="46" t="n">
        <v>0.1281526</v>
      </c>
      <c r="O92" s="46" t="n">
        <v>0.1690189</v>
      </c>
      <c r="P92" s="46" t="n">
        <v>0.6737952</v>
      </c>
      <c r="Q92" s="46" t="n">
        <v>4.4819692</v>
      </c>
      <c r="R92" s="46" t="n">
        <v>4.5703175</v>
      </c>
      <c r="S92" s="47" t="n">
        <f aca="false">M92+N92+O92</f>
        <v>0.5468026</v>
      </c>
      <c r="T92" s="47" t="n">
        <f aca="false">M92+P92</f>
        <v>0.9234263</v>
      </c>
    </row>
    <row r="93" customFormat="false" ht="15" hidden="false" customHeight="false" outlineLevel="0" collapsed="false">
      <c r="A93" s="42" t="s">
        <v>44</v>
      </c>
      <c r="B93" s="42" t="n">
        <v>-20</v>
      </c>
      <c r="C93" s="42" t="n">
        <v>92</v>
      </c>
      <c r="D93" s="42" t="n">
        <v>74271007</v>
      </c>
      <c r="E93" s="43" t="n">
        <v>0.0191192936318862</v>
      </c>
      <c r="F93" s="43" t="n">
        <v>0.0313394369569367</v>
      </c>
      <c r="G93" s="43" t="n">
        <v>0.582739290449746</v>
      </c>
      <c r="H93" s="43" t="n">
        <v>0.62378203360787</v>
      </c>
      <c r="I93" s="42" t="n">
        <v>0</v>
      </c>
      <c r="J93" s="42" t="n">
        <v>1</v>
      </c>
      <c r="K93" s="44" t="str">
        <f aca="false">IF(AND(I93=1,J93=1),"两者都跟住",IF(AND(I93=0,J93=1),"仅 PC-TBD 跟住",IF(AND(I93=1,J93=0),"仅 VIT-LPS 跟住","都没跟住")))</f>
        <v>仅 PC-TBD 跟住</v>
      </c>
      <c r="L93" s="45" t="n">
        <f aca="false">F93-G93</f>
        <v>-0.551399853492809</v>
      </c>
      <c r="M93" s="46" t="n">
        <v>0.2612812</v>
      </c>
      <c r="N93" s="46" t="n">
        <v>0.1383625</v>
      </c>
      <c r="O93" s="46" t="n">
        <v>0.3501777</v>
      </c>
      <c r="P93" s="46" t="n">
        <v>0.4636144</v>
      </c>
      <c r="Q93" s="46" t="n">
        <v>10.1819732</v>
      </c>
      <c r="R93" s="46" t="n">
        <v>3.7549214</v>
      </c>
      <c r="S93" s="47" t="n">
        <f aca="false">M93+N93+O93</f>
        <v>0.7498214</v>
      </c>
      <c r="T93" s="47" t="n">
        <f aca="false">M93+P93</f>
        <v>0.7248956</v>
      </c>
    </row>
    <row r="94" customFormat="false" ht="15" hidden="false" customHeight="false" outlineLevel="0" collapsed="false">
      <c r="A94" s="42" t="s">
        <v>44</v>
      </c>
      <c r="B94" s="42" t="n">
        <v>-20</v>
      </c>
      <c r="C94" s="42" t="n">
        <v>93</v>
      </c>
      <c r="D94" s="42" t="n">
        <v>74271008</v>
      </c>
      <c r="E94" s="43" t="n">
        <v>0.0147605508493053</v>
      </c>
      <c r="F94" s="43" t="n">
        <v>0.0269222064877366</v>
      </c>
      <c r="G94" s="43" t="n">
        <v>0.750488141491749</v>
      </c>
      <c r="H94" s="43" t="n">
        <v>0.749553073677977</v>
      </c>
      <c r="I94" s="42" t="n">
        <v>0</v>
      </c>
      <c r="J94" s="42" t="n">
        <v>1</v>
      </c>
      <c r="K94" s="44" t="str">
        <f aca="false">IF(AND(I94=1,J94=1),"两者都跟住",IF(AND(I94=0,J94=1),"仅 PC-TBD 跟住",IF(AND(I94=1,J94=0),"仅 VIT-LPS 跟住","都没跟住")))</f>
        <v>仅 PC-TBD 跟住</v>
      </c>
      <c r="L94" s="45" t="n">
        <f aca="false">F94-G94</f>
        <v>-0.723565935004013</v>
      </c>
      <c r="M94" s="46" t="n">
        <v>0.2263661</v>
      </c>
      <c r="N94" s="46" t="n">
        <v>0.1286543</v>
      </c>
      <c r="O94" s="46" t="n">
        <v>0.3186378</v>
      </c>
      <c r="P94" s="46" t="n">
        <v>0.6266098</v>
      </c>
      <c r="Q94" s="46" t="n">
        <v>4.728489</v>
      </c>
      <c r="R94" s="46" t="n">
        <v>3.366899</v>
      </c>
      <c r="S94" s="47" t="n">
        <f aca="false">M94+N94+O94</f>
        <v>0.6736582</v>
      </c>
      <c r="T94" s="47" t="n">
        <f aca="false">M94+P94</f>
        <v>0.8529759</v>
      </c>
    </row>
    <row r="95" customFormat="false" ht="15" hidden="false" customHeight="false" outlineLevel="0" collapsed="false">
      <c r="A95" s="42" t="s">
        <v>44</v>
      </c>
      <c r="B95" s="42" t="n">
        <v>-20</v>
      </c>
      <c r="C95" s="42" t="n">
        <v>94</v>
      </c>
      <c r="D95" s="42" t="n">
        <v>74271009</v>
      </c>
      <c r="E95" s="43" t="n">
        <v>0.0202598353225574</v>
      </c>
      <c r="F95" s="43" t="n">
        <v>0.0177702173568227</v>
      </c>
      <c r="G95" s="43" t="n">
        <v>0.434628834065183</v>
      </c>
      <c r="H95" s="43" t="n">
        <v>0.457619576967618</v>
      </c>
      <c r="I95" s="42" t="n">
        <v>0</v>
      </c>
      <c r="J95" s="42" t="n">
        <v>0</v>
      </c>
      <c r="K95" s="44" t="str">
        <f aca="false">IF(AND(I95=1,J95=1),"两者都跟住",IF(AND(I95=0,J95=1),"仅 PC-TBD 跟住",IF(AND(I95=1,J95=0),"仅 VIT-LPS 跟住","都没跟住")))</f>
        <v>都没跟住</v>
      </c>
      <c r="L95" s="45" t="n">
        <f aca="false">F95-G95</f>
        <v>-0.41685861670836</v>
      </c>
      <c r="M95" s="46" t="n">
        <v>0.2421826</v>
      </c>
      <c r="N95" s="46" t="n">
        <v>0.1358397</v>
      </c>
      <c r="O95" s="46" t="n">
        <v>0.3394182</v>
      </c>
      <c r="P95" s="46" t="n">
        <v>0.6866443</v>
      </c>
      <c r="Q95" s="46" t="n">
        <v>8.2625052</v>
      </c>
      <c r="R95" s="46" t="n">
        <v>3.2306266</v>
      </c>
      <c r="S95" s="47" t="n">
        <f aca="false">M95+N95+O95</f>
        <v>0.7174405</v>
      </c>
      <c r="T95" s="47" t="n">
        <f aca="false">M95+P95</f>
        <v>0.9288269</v>
      </c>
    </row>
    <row r="96" customFormat="false" ht="15" hidden="false" customHeight="false" outlineLevel="0" collapsed="false">
      <c r="A96" s="42" t="s">
        <v>44</v>
      </c>
      <c r="B96" s="42" t="n">
        <v>-20</v>
      </c>
      <c r="C96" s="42" t="n">
        <v>95</v>
      </c>
      <c r="D96" s="42" t="n">
        <v>74271010</v>
      </c>
      <c r="E96" s="43" t="n">
        <v>0.0169577695831866</v>
      </c>
      <c r="F96" s="43" t="n">
        <v>0.0215453867848498</v>
      </c>
      <c r="G96" s="43" t="n">
        <v>0.254458293989008</v>
      </c>
      <c r="H96" s="43" t="n">
        <v>0.254213454179703</v>
      </c>
      <c r="I96" s="42" t="n">
        <v>0</v>
      </c>
      <c r="J96" s="42" t="n">
        <v>1</v>
      </c>
      <c r="K96" s="44" t="str">
        <f aca="false">IF(AND(I96=1,J96=1),"两者都跟住",IF(AND(I96=0,J96=1),"仅 PC-TBD 跟住",IF(AND(I96=1,J96=0),"仅 VIT-LPS 跟住","都没跟住")))</f>
        <v>仅 PC-TBD 跟住</v>
      </c>
      <c r="L96" s="45" t="n">
        <f aca="false">F96-G96</f>
        <v>-0.232912907204158</v>
      </c>
      <c r="M96" s="46" t="n">
        <v>0.2607812</v>
      </c>
      <c r="N96" s="46" t="n">
        <v>0.1459225</v>
      </c>
      <c r="O96" s="46" t="n">
        <v>0.3806648</v>
      </c>
      <c r="P96" s="46" t="n">
        <v>0.4776429</v>
      </c>
      <c r="Q96" s="46" t="n">
        <v>8.6769328</v>
      </c>
      <c r="R96" s="46" t="n">
        <v>3.1969399</v>
      </c>
      <c r="S96" s="47" t="n">
        <f aca="false">M96+N96+O96</f>
        <v>0.7873685</v>
      </c>
      <c r="T96" s="47" t="n">
        <f aca="false">M96+P96</f>
        <v>0.7384241</v>
      </c>
    </row>
    <row r="97" customFormat="false" ht="15" hidden="false" customHeight="false" outlineLevel="0" collapsed="false">
      <c r="A97" s="42" t="s">
        <v>44</v>
      </c>
      <c r="B97" s="42" t="n">
        <v>-20</v>
      </c>
      <c r="C97" s="42" t="n">
        <v>96</v>
      </c>
      <c r="D97" s="42" t="n">
        <v>74271011</v>
      </c>
      <c r="E97" s="43" t="n">
        <v>0.0159295580240065</v>
      </c>
      <c r="F97" s="43" t="n">
        <v>0.0177785284758455</v>
      </c>
      <c r="G97" s="43" t="n">
        <v>0.6592242273839</v>
      </c>
      <c r="H97" s="43" t="n">
        <v>0.695637746775328</v>
      </c>
      <c r="I97" s="42" t="n">
        <v>0</v>
      </c>
      <c r="J97" s="42" t="n">
        <v>1</v>
      </c>
      <c r="K97" s="44" t="str">
        <f aca="false">IF(AND(I97=1,J97=1),"两者都跟住",IF(AND(I97=0,J97=1),"仅 PC-TBD 跟住",IF(AND(I97=1,J97=0),"仅 VIT-LPS 跟住","都没跟住")))</f>
        <v>仅 PC-TBD 跟住</v>
      </c>
      <c r="L97" s="45" t="n">
        <f aca="false">F97-G97</f>
        <v>-0.641445698908055</v>
      </c>
      <c r="M97" s="46" t="n">
        <v>0.2528004</v>
      </c>
      <c r="N97" s="46" t="n">
        <v>0.1247493</v>
      </c>
      <c r="O97" s="46" t="n">
        <v>0.2865341</v>
      </c>
      <c r="P97" s="46" t="n">
        <v>0.6107896</v>
      </c>
      <c r="Q97" s="46" t="n">
        <v>4.6928915</v>
      </c>
      <c r="R97" s="46" t="n">
        <v>3.0841882</v>
      </c>
      <c r="S97" s="47" t="n">
        <f aca="false">M97+N97+O97</f>
        <v>0.6640838</v>
      </c>
      <c r="T97" s="47" t="n">
        <f aca="false">M97+P97</f>
        <v>0.86359</v>
      </c>
    </row>
    <row r="98" customFormat="false" ht="15" hidden="false" customHeight="false" outlineLevel="0" collapsed="false">
      <c r="A98" s="42" t="s">
        <v>44</v>
      </c>
      <c r="B98" s="42" t="n">
        <v>-20</v>
      </c>
      <c r="C98" s="42" t="n">
        <v>97</v>
      </c>
      <c r="D98" s="42" t="n">
        <v>74271012</v>
      </c>
      <c r="E98" s="43" t="n">
        <v>0.0195050072997622</v>
      </c>
      <c r="F98" s="43" t="n">
        <v>0.0232695239372128</v>
      </c>
      <c r="G98" s="43" t="n">
        <v>0.3764366007474</v>
      </c>
      <c r="H98" s="43" t="n">
        <v>0.411492623685687</v>
      </c>
      <c r="I98" s="42" t="n">
        <v>0</v>
      </c>
      <c r="J98" s="42" t="n">
        <v>0</v>
      </c>
      <c r="K98" s="44" t="str">
        <f aca="false">IF(AND(I98=1,J98=1),"两者都跟住",IF(AND(I98=0,J98=1),"仅 PC-TBD 跟住",IF(AND(I98=1,J98=0),"仅 VIT-LPS 跟住","都没跟住")))</f>
        <v>都没跟住</v>
      </c>
      <c r="L98" s="45" t="n">
        <f aca="false">F98-G98</f>
        <v>-0.353167076810187</v>
      </c>
      <c r="M98" s="46" t="n">
        <v>0.2676102</v>
      </c>
      <c r="N98" s="46" t="n">
        <v>0.1756473</v>
      </c>
      <c r="O98" s="46" t="n">
        <v>0.3939124</v>
      </c>
      <c r="P98" s="46" t="n">
        <v>0.7223194</v>
      </c>
      <c r="Q98" s="46" t="n">
        <v>7.5133487</v>
      </c>
      <c r="R98" s="46" t="n">
        <v>2.1585211</v>
      </c>
      <c r="S98" s="47" t="n">
        <f aca="false">M98+N98+O98</f>
        <v>0.8371699</v>
      </c>
      <c r="T98" s="47" t="n">
        <f aca="false">M98+P98</f>
        <v>0.9899296</v>
      </c>
    </row>
    <row r="99" customFormat="false" ht="15" hidden="false" customHeight="false" outlineLevel="0" collapsed="false">
      <c r="A99" s="42" t="s">
        <v>44</v>
      </c>
      <c r="B99" s="42" t="n">
        <v>-20</v>
      </c>
      <c r="C99" s="42" t="n">
        <v>98</v>
      </c>
      <c r="D99" s="42" t="n">
        <v>74271013</v>
      </c>
      <c r="E99" s="43" t="n">
        <v>0.0156718944018635</v>
      </c>
      <c r="F99" s="43" t="n">
        <v>0.0138906027956486</v>
      </c>
      <c r="G99" s="43" t="n">
        <v>0.711047464796002</v>
      </c>
      <c r="H99" s="43" t="n">
        <v>0.694448651817235</v>
      </c>
      <c r="I99" s="42" t="n">
        <v>0</v>
      </c>
      <c r="J99" s="42" t="n">
        <v>1</v>
      </c>
      <c r="K99" s="44" t="str">
        <f aca="false">IF(AND(I99=1,J99=1),"两者都跟住",IF(AND(I99=0,J99=1),"仅 PC-TBD 跟住",IF(AND(I99=1,J99=0),"仅 VIT-LPS 跟住","都没跟住")))</f>
        <v>仅 PC-TBD 跟住</v>
      </c>
      <c r="L99" s="45" t="n">
        <f aca="false">F99-G99</f>
        <v>-0.697156862000353</v>
      </c>
      <c r="M99" s="46" t="n">
        <v>0.1990097</v>
      </c>
      <c r="N99" s="46" t="n">
        <v>0.1053796</v>
      </c>
      <c r="O99" s="46" t="n">
        <v>0.3131314</v>
      </c>
      <c r="P99" s="46" t="n">
        <v>0.6687801</v>
      </c>
      <c r="Q99" s="46" t="n">
        <v>6.3628828</v>
      </c>
      <c r="R99" s="46" t="n">
        <v>1.9462117</v>
      </c>
      <c r="S99" s="47" t="n">
        <f aca="false">M99+N99+O99</f>
        <v>0.6175207</v>
      </c>
      <c r="T99" s="47" t="n">
        <f aca="false">M99+P99</f>
        <v>0.8677898</v>
      </c>
    </row>
    <row r="100" customFormat="false" ht="15" hidden="false" customHeight="false" outlineLevel="0" collapsed="false">
      <c r="A100" s="42" t="s">
        <v>44</v>
      </c>
      <c r="B100" s="42" t="n">
        <v>-20</v>
      </c>
      <c r="C100" s="42" t="n">
        <v>99</v>
      </c>
      <c r="D100" s="42" t="n">
        <v>74271014</v>
      </c>
      <c r="E100" s="43" t="n">
        <v>0.0132800807749921</v>
      </c>
      <c r="F100" s="43" t="n">
        <v>0.016839210012192</v>
      </c>
      <c r="G100" s="43" t="n">
        <v>0.669536612740188</v>
      </c>
      <c r="H100" s="43" t="n">
        <v>0.70212217231221</v>
      </c>
      <c r="I100" s="42" t="n">
        <v>0</v>
      </c>
      <c r="J100" s="42" t="n">
        <v>1</v>
      </c>
      <c r="K100" s="44" t="str">
        <f aca="false">IF(AND(I100=1,J100=1),"两者都跟住",IF(AND(I100=0,J100=1),"仅 PC-TBD 跟住",IF(AND(I100=1,J100=0),"仅 VIT-LPS 跟住","都没跟住")))</f>
        <v>仅 PC-TBD 跟住</v>
      </c>
      <c r="L100" s="45" t="n">
        <f aca="false">F100-G100</f>
        <v>-0.652697402727996</v>
      </c>
      <c r="M100" s="46" t="n">
        <v>0.2269691</v>
      </c>
      <c r="N100" s="46" t="n">
        <v>0.1506319</v>
      </c>
      <c r="O100" s="46" t="n">
        <v>0.4926256</v>
      </c>
      <c r="P100" s="46" t="n">
        <v>0.7516145</v>
      </c>
      <c r="Q100" s="46" t="n">
        <v>7.9770446</v>
      </c>
      <c r="R100" s="46" t="n">
        <v>1.6054594</v>
      </c>
      <c r="S100" s="47" t="n">
        <f aca="false">M100+N100+O100</f>
        <v>0.8702266</v>
      </c>
      <c r="T100" s="47" t="n">
        <f aca="false">M100+P100</f>
        <v>0.9785836</v>
      </c>
    </row>
    <row r="101" customFormat="false" ht="15" hidden="false" customHeight="false" outlineLevel="0" collapsed="false">
      <c r="A101" s="42" t="s">
        <v>44</v>
      </c>
      <c r="B101" s="42" t="n">
        <v>-20</v>
      </c>
      <c r="C101" s="42" t="n">
        <v>100</v>
      </c>
      <c r="D101" s="42" t="n">
        <v>74271015</v>
      </c>
      <c r="E101" s="43" t="n">
        <v>0.0170982720736063</v>
      </c>
      <c r="F101" s="43" t="n">
        <v>0.0182129970595294</v>
      </c>
      <c r="G101" s="43" t="n">
        <v>0.417985878718116</v>
      </c>
      <c r="H101" s="43" t="n">
        <v>0.460280306034679</v>
      </c>
      <c r="I101" s="42" t="n">
        <v>0</v>
      </c>
      <c r="J101" s="42" t="n">
        <v>1</v>
      </c>
      <c r="K101" s="44" t="str">
        <f aca="false">IF(AND(I101=1,J101=1),"两者都跟住",IF(AND(I101=0,J101=1),"仅 PC-TBD 跟住",IF(AND(I101=1,J101=0),"仅 VIT-LPS 跟住","都没跟住")))</f>
        <v>仅 PC-TBD 跟住</v>
      </c>
      <c r="L101" s="45" t="n">
        <f aca="false">F101-G101</f>
        <v>-0.399772881658587</v>
      </c>
      <c r="M101" s="46" t="n">
        <v>0.2158601</v>
      </c>
      <c r="N101" s="46" t="n">
        <v>0.1539957</v>
      </c>
      <c r="O101" s="46" t="n">
        <v>0.3601212</v>
      </c>
      <c r="P101" s="46" t="n">
        <v>0.5967451</v>
      </c>
      <c r="Q101" s="46" t="n">
        <v>3.3577421</v>
      </c>
      <c r="R101" s="46" t="n">
        <v>2.6521547</v>
      </c>
      <c r="S101" s="47" t="n">
        <f aca="false">M101+N101+O101</f>
        <v>0.729977</v>
      </c>
      <c r="T101" s="47" t="n">
        <f aca="false">M101+P101</f>
        <v>0.8126052</v>
      </c>
    </row>
    <row r="102" customFormat="false" ht="15" hidden="false" customHeight="false" outlineLevel="0" collapsed="false">
      <c r="A102" s="42" t="s">
        <v>44</v>
      </c>
      <c r="B102" s="42" t="n">
        <v>-18</v>
      </c>
      <c r="C102" s="42" t="n">
        <v>1</v>
      </c>
      <c r="D102" s="42" t="n">
        <v>74270916</v>
      </c>
      <c r="E102" s="43" t="n">
        <v>0.012102499818404</v>
      </c>
      <c r="F102" s="43" t="n">
        <v>0.0109858342626592</v>
      </c>
      <c r="G102" s="43" t="n">
        <v>0.850805343594021</v>
      </c>
      <c r="H102" s="43" t="n">
        <v>0.851054142547856</v>
      </c>
      <c r="I102" s="42" t="n">
        <v>0</v>
      </c>
      <c r="J102" s="42" t="n">
        <v>1</v>
      </c>
      <c r="K102" s="44" t="str">
        <f aca="false">IF(AND(I102=1,J102=1),"两者都跟住",IF(AND(I102=0,J102=1),"仅 PC-TBD 跟住",IF(AND(I102=1,J102=0),"仅 VIT-LPS 跟住","都没跟住")))</f>
        <v>仅 PC-TBD 跟住</v>
      </c>
      <c r="L102" s="45" t="n">
        <f aca="false">F102-G102</f>
        <v>-0.839819509331362</v>
      </c>
      <c r="M102" s="46" t="n">
        <v>0.7953454</v>
      </c>
      <c r="N102" s="46" t="n">
        <v>0.5297189</v>
      </c>
      <c r="O102" s="46" t="n">
        <v>3.764589</v>
      </c>
      <c r="P102" s="46" t="n">
        <v>1.087535</v>
      </c>
      <c r="Q102" s="46" t="n">
        <v>5.7587311</v>
      </c>
      <c r="R102" s="46" t="n">
        <v>3.1078317</v>
      </c>
      <c r="S102" s="47" t="n">
        <f aca="false">M102+N102+O102</f>
        <v>5.0896533</v>
      </c>
      <c r="T102" s="47" t="n">
        <f aca="false">M102+P102</f>
        <v>1.8828804</v>
      </c>
    </row>
    <row r="103" customFormat="false" ht="15" hidden="false" customHeight="false" outlineLevel="0" collapsed="false">
      <c r="A103" s="42" t="s">
        <v>44</v>
      </c>
      <c r="B103" s="42" t="n">
        <v>-18</v>
      </c>
      <c r="C103" s="42" t="n">
        <v>2</v>
      </c>
      <c r="D103" s="42" t="n">
        <v>74270917</v>
      </c>
      <c r="E103" s="43" t="n">
        <v>0.431097861566802</v>
      </c>
      <c r="F103" s="43" t="n">
        <v>0.876117346658359</v>
      </c>
      <c r="G103" s="43" t="n">
        <v>0.860395898837859</v>
      </c>
      <c r="H103" s="43" t="n">
        <v>0.858063876520037</v>
      </c>
      <c r="I103" s="42" t="n">
        <v>1</v>
      </c>
      <c r="J103" s="42" t="n">
        <v>1</v>
      </c>
      <c r="K103" s="44" t="str">
        <f aca="false">IF(AND(I103=1,J103=1),"两者都跟住",IF(AND(I103=0,J103=1),"仅 PC-TBD 跟住",IF(AND(I103=1,J103=0),"仅 VIT-LPS 跟住","都没跟住")))</f>
        <v>两者都跟住</v>
      </c>
      <c r="L103" s="45" t="n">
        <f aca="false">F103-G103</f>
        <v>0.0157214478205</v>
      </c>
      <c r="M103" s="46" t="n">
        <v>0.7952718</v>
      </c>
      <c r="N103" s="46" t="n">
        <v>0.5429743</v>
      </c>
      <c r="O103" s="46" t="n">
        <v>3.6028031</v>
      </c>
      <c r="P103" s="46" t="n">
        <v>1.0755429</v>
      </c>
      <c r="Q103" s="46" t="n">
        <v>5.006891</v>
      </c>
      <c r="R103" s="46" t="n">
        <v>3.1325882</v>
      </c>
      <c r="S103" s="47" t="n">
        <f aca="false">M103+N103+O103</f>
        <v>4.9410492</v>
      </c>
      <c r="T103" s="47" t="n">
        <f aca="false">M103+P103</f>
        <v>1.8708147</v>
      </c>
    </row>
    <row r="104" customFormat="false" ht="15" hidden="false" customHeight="false" outlineLevel="0" collapsed="false">
      <c r="A104" s="42" t="s">
        <v>44</v>
      </c>
      <c r="B104" s="42" t="n">
        <v>-18</v>
      </c>
      <c r="C104" s="42" t="n">
        <v>3</v>
      </c>
      <c r="D104" s="42" t="n">
        <v>74270918</v>
      </c>
      <c r="E104" s="43" t="n">
        <v>0.254317620892968</v>
      </c>
      <c r="F104" s="43" t="n">
        <v>0.695330495113262</v>
      </c>
      <c r="G104" s="43" t="n">
        <v>0.697590892836681</v>
      </c>
      <c r="H104" s="43" t="n">
        <v>0.669870033761666</v>
      </c>
      <c r="I104" s="42" t="n">
        <v>1</v>
      </c>
      <c r="J104" s="42" t="n">
        <v>1</v>
      </c>
      <c r="K104" s="44" t="str">
        <f aca="false">IF(AND(I104=1,J104=1),"两者都跟住",IF(AND(I104=0,J104=1),"仅 PC-TBD 跟住",IF(AND(I104=1,J104=0),"仅 VIT-LPS 跟住","都没跟住")))</f>
        <v>两者都跟住</v>
      </c>
      <c r="L104" s="45" t="n">
        <f aca="false">F104-G104</f>
        <v>-0.00226039772341902</v>
      </c>
      <c r="M104" s="46" t="n">
        <v>0.8285415</v>
      </c>
      <c r="N104" s="46" t="n">
        <v>0.5131858</v>
      </c>
      <c r="O104" s="46" t="n">
        <v>3.7250391</v>
      </c>
      <c r="P104" s="46" t="n">
        <v>1.1912037</v>
      </c>
      <c r="Q104" s="46" t="n">
        <v>5.2130339</v>
      </c>
      <c r="R104" s="46" t="n">
        <v>3.7879356</v>
      </c>
      <c r="S104" s="47" t="n">
        <f aca="false">M104+N104+O104</f>
        <v>5.0667664</v>
      </c>
      <c r="T104" s="47" t="n">
        <f aca="false">M104+P104</f>
        <v>2.0197452</v>
      </c>
    </row>
    <row r="105" customFormat="false" ht="15" hidden="false" customHeight="false" outlineLevel="0" collapsed="false">
      <c r="A105" s="42" t="s">
        <v>44</v>
      </c>
      <c r="B105" s="42" t="n">
        <v>-18</v>
      </c>
      <c r="C105" s="42" t="n">
        <v>4</v>
      </c>
      <c r="D105" s="42" t="n">
        <v>74270919</v>
      </c>
      <c r="E105" s="43" t="n">
        <v>0.415747576409833</v>
      </c>
      <c r="F105" s="43" t="n">
        <v>0.936498659093881</v>
      </c>
      <c r="G105" s="43" t="n">
        <v>0.8789133464616</v>
      </c>
      <c r="H105" s="43" t="n">
        <v>0.897214948202107</v>
      </c>
      <c r="I105" s="42" t="n">
        <v>1</v>
      </c>
      <c r="J105" s="42" t="n">
        <v>1</v>
      </c>
      <c r="K105" s="44" t="str">
        <f aca="false">IF(AND(I105=1,J105=1),"两者都跟住",IF(AND(I105=0,J105=1),"仅 PC-TBD 跟住",IF(AND(I105=1,J105=0),"仅 VIT-LPS 跟住","都没跟住")))</f>
        <v>两者都跟住</v>
      </c>
      <c r="L105" s="45" t="n">
        <f aca="false">F105-G105</f>
        <v>0.057585312632281</v>
      </c>
      <c r="M105" s="46" t="n">
        <v>0.7852168</v>
      </c>
      <c r="N105" s="46" t="n">
        <v>0.5456507</v>
      </c>
      <c r="O105" s="46" t="n">
        <v>3.4891386</v>
      </c>
      <c r="P105" s="46" t="n">
        <v>1.2113162</v>
      </c>
      <c r="Q105" s="46" t="n">
        <v>4.954238</v>
      </c>
      <c r="R105" s="46" t="n">
        <v>2.7752339</v>
      </c>
      <c r="S105" s="47" t="n">
        <f aca="false">M105+N105+O105</f>
        <v>4.8200061</v>
      </c>
      <c r="T105" s="47" t="n">
        <f aca="false">M105+P105</f>
        <v>1.996533</v>
      </c>
    </row>
    <row r="106" customFormat="false" ht="15" hidden="false" customHeight="false" outlineLevel="0" collapsed="false">
      <c r="A106" s="42" t="s">
        <v>44</v>
      </c>
      <c r="B106" s="42" t="n">
        <v>-18</v>
      </c>
      <c r="C106" s="42" t="n">
        <v>5</v>
      </c>
      <c r="D106" s="42" t="n">
        <v>74270920</v>
      </c>
      <c r="E106" s="43" t="n">
        <v>0.501859387324119</v>
      </c>
      <c r="F106" s="43" t="n">
        <v>0.898932057524437</v>
      </c>
      <c r="G106" s="43" t="n">
        <v>0.786785568324179</v>
      </c>
      <c r="H106" s="43" t="n">
        <v>0.80917760952738</v>
      </c>
      <c r="I106" s="42" t="n">
        <v>1</v>
      </c>
      <c r="J106" s="42" t="n">
        <v>1</v>
      </c>
      <c r="K106" s="44" t="str">
        <f aca="false">IF(AND(I106=1,J106=1),"两者都跟住",IF(AND(I106=0,J106=1),"仅 PC-TBD 跟住",IF(AND(I106=1,J106=0),"仅 VIT-LPS 跟住","都没跟住")))</f>
        <v>两者都跟住</v>
      </c>
      <c r="L106" s="45" t="n">
        <f aca="false">F106-G106</f>
        <v>0.112146489200258</v>
      </c>
      <c r="M106" s="46" t="n">
        <v>0.7738959</v>
      </c>
      <c r="N106" s="46" t="n">
        <v>0.5333201</v>
      </c>
      <c r="O106" s="46" t="n">
        <v>3.5331893</v>
      </c>
      <c r="P106" s="46" t="n">
        <v>1.1153806</v>
      </c>
      <c r="Q106" s="46" t="n">
        <v>10.100779</v>
      </c>
      <c r="R106" s="46" t="n">
        <v>2.7305351</v>
      </c>
      <c r="S106" s="47" t="n">
        <f aca="false">M106+N106+O106</f>
        <v>4.8404053</v>
      </c>
      <c r="T106" s="47" t="n">
        <f aca="false">M106+P106</f>
        <v>1.8892765</v>
      </c>
    </row>
    <row r="107" customFormat="false" ht="15" hidden="false" customHeight="false" outlineLevel="0" collapsed="false">
      <c r="A107" s="42" t="s">
        <v>44</v>
      </c>
      <c r="B107" s="42" t="n">
        <v>-18</v>
      </c>
      <c r="C107" s="42" t="n">
        <v>6</v>
      </c>
      <c r="D107" s="42" t="n">
        <v>74270921</v>
      </c>
      <c r="E107" s="43" t="n">
        <v>0.0173884699938729</v>
      </c>
      <c r="F107" s="43" t="n">
        <v>0.0200136305297641</v>
      </c>
      <c r="G107" s="43" t="n">
        <v>0.80232986725497</v>
      </c>
      <c r="H107" s="43" t="n">
        <v>0.803674352608512</v>
      </c>
      <c r="I107" s="42" t="n">
        <v>0</v>
      </c>
      <c r="J107" s="42" t="n">
        <v>1</v>
      </c>
      <c r="K107" s="44" t="str">
        <f aca="false">IF(AND(I107=1,J107=1),"两者都跟住",IF(AND(I107=0,J107=1),"仅 PC-TBD 跟住",IF(AND(I107=1,J107=0),"仅 VIT-LPS 跟住","都没跟住")))</f>
        <v>仅 PC-TBD 跟住</v>
      </c>
      <c r="L107" s="45" t="n">
        <f aca="false">F107-G107</f>
        <v>-0.782316236725206</v>
      </c>
      <c r="M107" s="46" t="n">
        <v>0.8291611</v>
      </c>
      <c r="N107" s="46" t="n">
        <v>0.5139937</v>
      </c>
      <c r="O107" s="46" t="n">
        <v>3.6047884</v>
      </c>
      <c r="P107" s="46" t="n">
        <v>1.0096783</v>
      </c>
      <c r="Q107" s="46" t="n">
        <v>6.187814</v>
      </c>
      <c r="R107" s="46" t="n">
        <v>3.4991868</v>
      </c>
      <c r="S107" s="47" t="n">
        <f aca="false">M107+N107+O107</f>
        <v>4.9479432</v>
      </c>
      <c r="T107" s="47" t="n">
        <f aca="false">M107+P107</f>
        <v>1.8388394</v>
      </c>
    </row>
    <row r="108" customFormat="false" ht="15" hidden="false" customHeight="false" outlineLevel="0" collapsed="false">
      <c r="A108" s="42" t="s">
        <v>44</v>
      </c>
      <c r="B108" s="42" t="n">
        <v>-18</v>
      </c>
      <c r="C108" s="42" t="n">
        <v>7</v>
      </c>
      <c r="D108" s="42" t="n">
        <v>74270922</v>
      </c>
      <c r="E108" s="43" t="n">
        <v>0.46097156896431</v>
      </c>
      <c r="F108" s="43" t="n">
        <v>0.940772808913009</v>
      </c>
      <c r="G108" s="43" t="n">
        <v>0.837917221577065</v>
      </c>
      <c r="H108" s="43" t="n">
        <v>0.841540573377741</v>
      </c>
      <c r="I108" s="42" t="n">
        <v>1</v>
      </c>
      <c r="J108" s="42" t="n">
        <v>1</v>
      </c>
      <c r="K108" s="44" t="str">
        <f aca="false">IF(AND(I108=1,J108=1),"两者都跟住",IF(AND(I108=0,J108=1),"仅 PC-TBD 跟住",IF(AND(I108=1,J108=0),"仅 VIT-LPS 跟住","都没跟住")))</f>
        <v>两者都跟住</v>
      </c>
      <c r="L108" s="45" t="n">
        <f aca="false">F108-G108</f>
        <v>0.102855587335944</v>
      </c>
      <c r="M108" s="46" t="n">
        <v>0.2860862</v>
      </c>
      <c r="N108" s="46" t="n">
        <v>0.1811186</v>
      </c>
      <c r="O108" s="46" t="n">
        <v>0.4598204</v>
      </c>
      <c r="P108" s="46" t="n">
        <v>0.6675067</v>
      </c>
      <c r="Q108" s="46" t="n">
        <v>3.4713411</v>
      </c>
      <c r="R108" s="46" t="n">
        <v>2.3364243</v>
      </c>
      <c r="S108" s="47" t="n">
        <f aca="false">M108+N108+O108</f>
        <v>0.9270252</v>
      </c>
      <c r="T108" s="47" t="n">
        <f aca="false">M108+P108</f>
        <v>0.9535929</v>
      </c>
    </row>
    <row r="109" customFormat="false" ht="15" hidden="false" customHeight="false" outlineLevel="0" collapsed="false">
      <c r="A109" s="42" t="s">
        <v>44</v>
      </c>
      <c r="B109" s="42" t="n">
        <v>-18</v>
      </c>
      <c r="C109" s="42" t="n">
        <v>8</v>
      </c>
      <c r="D109" s="42" t="n">
        <v>74270923</v>
      </c>
      <c r="E109" s="43" t="n">
        <v>0.630763528748298</v>
      </c>
      <c r="F109" s="43" t="n">
        <v>0.917654356120415</v>
      </c>
      <c r="G109" s="43" t="n">
        <v>0.85739965369764</v>
      </c>
      <c r="H109" s="43" t="n">
        <v>0.88383513272641</v>
      </c>
      <c r="I109" s="42" t="n">
        <v>1</v>
      </c>
      <c r="J109" s="42" t="n">
        <v>1</v>
      </c>
      <c r="K109" s="44" t="str">
        <f aca="false">IF(AND(I109=1,J109=1),"两者都跟住",IF(AND(I109=0,J109=1),"仅 PC-TBD 跟住",IF(AND(I109=1,J109=0),"仅 VIT-LPS 跟住","都没跟住")))</f>
        <v>两者都跟住</v>
      </c>
      <c r="L109" s="45" t="n">
        <f aca="false">F109-G109</f>
        <v>0.060254702422775</v>
      </c>
      <c r="M109" s="46" t="n">
        <v>0.2768343</v>
      </c>
      <c r="N109" s="46" t="n">
        <v>0.180864</v>
      </c>
      <c r="O109" s="46" t="n">
        <v>0.4020269</v>
      </c>
      <c r="P109" s="46" t="n">
        <v>0.6970804</v>
      </c>
      <c r="Q109" s="46" t="n">
        <v>2.6855586</v>
      </c>
      <c r="R109" s="46" t="n">
        <v>2.5561656</v>
      </c>
      <c r="S109" s="47" t="n">
        <f aca="false">M109+N109+O109</f>
        <v>0.8597252</v>
      </c>
      <c r="T109" s="47" t="n">
        <f aca="false">M109+P109</f>
        <v>0.9739147</v>
      </c>
    </row>
    <row r="110" customFormat="false" ht="15" hidden="false" customHeight="false" outlineLevel="0" collapsed="false">
      <c r="A110" s="42" t="s">
        <v>44</v>
      </c>
      <c r="B110" s="42" t="n">
        <v>-18</v>
      </c>
      <c r="C110" s="42" t="n">
        <v>9</v>
      </c>
      <c r="D110" s="42" t="n">
        <v>74270924</v>
      </c>
      <c r="E110" s="43" t="n">
        <v>0.703215676814399</v>
      </c>
      <c r="F110" s="43" t="n">
        <v>0.913494620984002</v>
      </c>
      <c r="G110" s="43" t="n">
        <v>0.77807663795745</v>
      </c>
      <c r="H110" s="43" t="n">
        <v>0.801119964406191</v>
      </c>
      <c r="I110" s="42" t="n">
        <v>1</v>
      </c>
      <c r="J110" s="42" t="n">
        <v>1</v>
      </c>
      <c r="K110" s="44" t="str">
        <f aca="false">IF(AND(I110=1,J110=1),"两者都跟住",IF(AND(I110=0,J110=1),"仅 PC-TBD 跟住",IF(AND(I110=1,J110=0),"仅 VIT-LPS 跟住","都没跟住")))</f>
        <v>两者都跟住</v>
      </c>
      <c r="L110" s="45" t="n">
        <f aca="false">F110-G110</f>
        <v>0.135417983026552</v>
      </c>
      <c r="M110" s="46" t="n">
        <v>0.2039357</v>
      </c>
      <c r="N110" s="46" t="n">
        <v>0.1457003</v>
      </c>
      <c r="O110" s="46" t="n">
        <v>0.4275509</v>
      </c>
      <c r="P110" s="46" t="n">
        <v>0.8737973</v>
      </c>
      <c r="Q110" s="46" t="n">
        <v>3.5923875</v>
      </c>
      <c r="R110" s="46" t="n">
        <v>3.2228446</v>
      </c>
      <c r="S110" s="47" t="n">
        <f aca="false">M110+N110+O110</f>
        <v>0.7771869</v>
      </c>
      <c r="T110" s="47" t="n">
        <f aca="false">M110+P110</f>
        <v>1.077733</v>
      </c>
    </row>
    <row r="111" customFormat="false" ht="15" hidden="false" customHeight="false" outlineLevel="0" collapsed="false">
      <c r="A111" s="42" t="s">
        <v>44</v>
      </c>
      <c r="B111" s="42" t="n">
        <v>-18</v>
      </c>
      <c r="C111" s="42" t="n">
        <v>10</v>
      </c>
      <c r="D111" s="42" t="n">
        <v>74270925</v>
      </c>
      <c r="E111" s="43" t="n">
        <v>0.1941828602835</v>
      </c>
      <c r="F111" s="43" t="n">
        <v>0.720812042320212</v>
      </c>
      <c r="G111" s="43" t="n">
        <v>0.521496161871303</v>
      </c>
      <c r="H111" s="43" t="n">
        <v>0.521496161871303</v>
      </c>
      <c r="I111" s="42" t="n">
        <v>1</v>
      </c>
      <c r="J111" s="42" t="n">
        <v>1</v>
      </c>
      <c r="K111" s="44" t="str">
        <f aca="false">IF(AND(I111=1,J111=1),"两者都跟住",IF(AND(I111=0,J111=1),"仅 PC-TBD 跟住",IF(AND(I111=1,J111=0),"仅 VIT-LPS 跟住","都没跟住")))</f>
        <v>两者都跟住</v>
      </c>
      <c r="L111" s="45" t="n">
        <f aca="false">F111-G111</f>
        <v>0.199315880448909</v>
      </c>
      <c r="M111" s="46" t="n">
        <v>0.2705008</v>
      </c>
      <c r="N111" s="46" t="n">
        <v>0.1608654</v>
      </c>
      <c r="O111" s="46" t="n">
        <v>0.4345283</v>
      </c>
      <c r="P111" s="46" t="n">
        <v>0.9296358</v>
      </c>
      <c r="Q111" s="46" t="n">
        <v>3.3472435</v>
      </c>
      <c r="R111" s="46" t="n">
        <v>2.7282291</v>
      </c>
      <c r="S111" s="47" t="n">
        <f aca="false">M111+N111+O111</f>
        <v>0.8658945</v>
      </c>
      <c r="T111" s="47" t="n">
        <f aca="false">M111+P111</f>
        <v>1.2001366</v>
      </c>
    </row>
    <row r="112" customFormat="false" ht="15" hidden="false" customHeight="false" outlineLevel="0" collapsed="false">
      <c r="A112" s="42" t="s">
        <v>44</v>
      </c>
      <c r="B112" s="42" t="n">
        <v>-18</v>
      </c>
      <c r="C112" s="42" t="n">
        <v>11</v>
      </c>
      <c r="D112" s="42" t="n">
        <v>74270926</v>
      </c>
      <c r="E112" s="43" t="n">
        <v>0.177774926567089</v>
      </c>
      <c r="F112" s="43" t="n">
        <v>0.355292193362475</v>
      </c>
      <c r="G112" s="43" t="n">
        <v>0.585143881005817</v>
      </c>
      <c r="H112" s="43" t="n">
        <v>0.589177763727925</v>
      </c>
      <c r="I112" s="42" t="n">
        <v>1</v>
      </c>
      <c r="J112" s="42" t="n">
        <v>1</v>
      </c>
      <c r="K112" s="44" t="str">
        <f aca="false">IF(AND(I112=1,J112=1),"两者都跟住",IF(AND(I112=0,J112=1),"仅 PC-TBD 跟住",IF(AND(I112=1,J112=0),"仅 VIT-LPS 跟住","都没跟住")))</f>
        <v>两者都跟住</v>
      </c>
      <c r="L112" s="45" t="n">
        <f aca="false">F112-G112</f>
        <v>-0.229851687643342</v>
      </c>
      <c r="M112" s="46" t="n">
        <v>0.3453244</v>
      </c>
      <c r="N112" s="46" t="n">
        <v>0.1601124</v>
      </c>
      <c r="O112" s="46" t="n">
        <v>0.4397127</v>
      </c>
      <c r="P112" s="46" t="n">
        <v>1.3937865</v>
      </c>
      <c r="Q112" s="46" t="n">
        <v>4.1618529</v>
      </c>
      <c r="R112" s="46" t="n">
        <v>2.8145847</v>
      </c>
      <c r="S112" s="47" t="n">
        <f aca="false">M112+N112+O112</f>
        <v>0.9451495</v>
      </c>
      <c r="T112" s="47" t="n">
        <f aca="false">M112+P112</f>
        <v>1.7391109</v>
      </c>
    </row>
    <row r="113" customFormat="false" ht="15" hidden="false" customHeight="false" outlineLevel="0" collapsed="false">
      <c r="A113" s="42" t="s">
        <v>44</v>
      </c>
      <c r="B113" s="42" t="n">
        <v>-18</v>
      </c>
      <c r="C113" s="42" t="n">
        <v>12</v>
      </c>
      <c r="D113" s="42" t="n">
        <v>74270927</v>
      </c>
      <c r="E113" s="43" t="n">
        <v>0.0156187543632976</v>
      </c>
      <c r="F113" s="43" t="n">
        <v>0.0118361946422401</v>
      </c>
      <c r="G113" s="43" t="n">
        <v>0.835581707403411</v>
      </c>
      <c r="H113" s="43" t="n">
        <v>0.843598460327813</v>
      </c>
      <c r="I113" s="42" t="n">
        <v>0</v>
      </c>
      <c r="J113" s="42" t="n">
        <v>1</v>
      </c>
      <c r="K113" s="44" t="str">
        <f aca="false">IF(AND(I113=1,J113=1),"两者都跟住",IF(AND(I113=0,J113=1),"仅 PC-TBD 跟住",IF(AND(I113=1,J113=0),"仅 VIT-LPS 跟住","都没跟住")))</f>
        <v>仅 PC-TBD 跟住</v>
      </c>
      <c r="L113" s="45" t="n">
        <f aca="false">F113-G113</f>
        <v>-0.823745512761171</v>
      </c>
      <c r="M113" s="46" t="n">
        <v>0.3988367</v>
      </c>
      <c r="N113" s="46" t="n">
        <v>0.1882652</v>
      </c>
      <c r="O113" s="46" t="n">
        <v>0.5056533</v>
      </c>
      <c r="P113" s="46" t="n">
        <v>0.9567404</v>
      </c>
      <c r="Q113" s="46" t="n">
        <v>5.2266128</v>
      </c>
      <c r="R113" s="46" t="n">
        <v>2.8355566</v>
      </c>
      <c r="S113" s="47" t="n">
        <f aca="false">M113+N113+O113</f>
        <v>1.0927552</v>
      </c>
      <c r="T113" s="47" t="n">
        <f aca="false">M113+P113</f>
        <v>1.3555771</v>
      </c>
    </row>
    <row r="114" customFormat="false" ht="15" hidden="false" customHeight="false" outlineLevel="0" collapsed="false">
      <c r="A114" s="42" t="s">
        <v>44</v>
      </c>
      <c r="B114" s="42" t="n">
        <v>-18</v>
      </c>
      <c r="C114" s="42" t="n">
        <v>13</v>
      </c>
      <c r="D114" s="42" t="n">
        <v>74270928</v>
      </c>
      <c r="E114" s="43" t="n">
        <v>0.366571544238062</v>
      </c>
      <c r="F114" s="43" t="n">
        <v>0.600752166058677</v>
      </c>
      <c r="G114" s="43" t="n">
        <v>0.690913319724318</v>
      </c>
      <c r="H114" s="43" t="n">
        <v>0.688310245254883</v>
      </c>
      <c r="I114" s="42" t="n">
        <v>1</v>
      </c>
      <c r="J114" s="42" t="n">
        <v>1</v>
      </c>
      <c r="K114" s="44" t="str">
        <f aca="false">IF(AND(I114=1,J114=1),"两者都跟住",IF(AND(I114=0,J114=1),"仅 PC-TBD 跟住",IF(AND(I114=1,J114=0),"仅 VIT-LPS 跟住","都没跟住")))</f>
        <v>两者都跟住</v>
      </c>
      <c r="L114" s="45" t="n">
        <f aca="false">F114-G114</f>
        <v>-0.090161153665641</v>
      </c>
      <c r="M114" s="46" t="n">
        <v>0.4080173</v>
      </c>
      <c r="N114" s="46" t="n">
        <v>0.1633221</v>
      </c>
      <c r="O114" s="46" t="n">
        <v>0.4049892</v>
      </c>
      <c r="P114" s="46" t="n">
        <v>1.2408387</v>
      </c>
      <c r="Q114" s="46" t="n">
        <v>4.3718898</v>
      </c>
      <c r="R114" s="46" t="n">
        <v>3.2202095</v>
      </c>
      <c r="S114" s="47" t="n">
        <f aca="false">M114+N114+O114</f>
        <v>0.9763286</v>
      </c>
      <c r="T114" s="47" t="n">
        <f aca="false">M114+P114</f>
        <v>1.648856</v>
      </c>
    </row>
    <row r="115" customFormat="false" ht="15" hidden="false" customHeight="false" outlineLevel="0" collapsed="false">
      <c r="A115" s="42" t="s">
        <v>44</v>
      </c>
      <c r="B115" s="42" t="n">
        <v>-18</v>
      </c>
      <c r="C115" s="42" t="n">
        <v>14</v>
      </c>
      <c r="D115" s="42" t="n">
        <v>74270929</v>
      </c>
      <c r="E115" s="43" t="n">
        <v>0.393173350977886</v>
      </c>
      <c r="F115" s="43" t="n">
        <v>0.774013659003047</v>
      </c>
      <c r="G115" s="43" t="n">
        <v>0.801358748957371</v>
      </c>
      <c r="H115" s="43" t="n">
        <v>0.814528830697435</v>
      </c>
      <c r="I115" s="42" t="n">
        <v>1</v>
      </c>
      <c r="J115" s="42" t="n">
        <v>1</v>
      </c>
      <c r="K115" s="44" t="str">
        <f aca="false">IF(AND(I115=1,J115=1),"两者都跟住",IF(AND(I115=0,J115=1),"仅 PC-TBD 跟住",IF(AND(I115=1,J115=0),"仅 VIT-LPS 跟住","都没跟住")))</f>
        <v>两者都跟住</v>
      </c>
      <c r="L115" s="45" t="n">
        <f aca="false">F115-G115</f>
        <v>-0.0273450899543241</v>
      </c>
      <c r="M115" s="46" t="n">
        <v>0.3747785</v>
      </c>
      <c r="N115" s="46" t="n">
        <v>0.1559776</v>
      </c>
      <c r="O115" s="46" t="n">
        <v>0.4325651</v>
      </c>
      <c r="P115" s="46" t="n">
        <v>1.1524599</v>
      </c>
      <c r="Q115" s="46" t="n">
        <v>3.7419573</v>
      </c>
      <c r="R115" s="46" t="n">
        <v>3.1150131</v>
      </c>
      <c r="S115" s="47" t="n">
        <f aca="false">M115+N115+O115</f>
        <v>0.9633212</v>
      </c>
      <c r="T115" s="47" t="n">
        <f aca="false">M115+P115</f>
        <v>1.5272384</v>
      </c>
    </row>
    <row r="116" customFormat="false" ht="15" hidden="false" customHeight="false" outlineLevel="0" collapsed="false">
      <c r="A116" s="42" t="s">
        <v>44</v>
      </c>
      <c r="B116" s="42" t="n">
        <v>-18</v>
      </c>
      <c r="C116" s="42" t="n">
        <v>15</v>
      </c>
      <c r="D116" s="42" t="n">
        <v>74270930</v>
      </c>
      <c r="E116" s="43" t="n">
        <v>0.354790694850235</v>
      </c>
      <c r="F116" s="43" t="n">
        <v>0.905894009203939</v>
      </c>
      <c r="G116" s="43" t="n">
        <v>0.605545876304194</v>
      </c>
      <c r="H116" s="43" t="n">
        <v>0.604006804108958</v>
      </c>
      <c r="I116" s="42" t="n">
        <v>1</v>
      </c>
      <c r="J116" s="42" t="n">
        <v>1</v>
      </c>
      <c r="K116" s="44" t="str">
        <f aca="false">IF(AND(I116=1,J116=1),"两者都跟住",IF(AND(I116=0,J116=1),"仅 PC-TBD 跟住",IF(AND(I116=1,J116=0),"仅 VIT-LPS 跟住","都没跟住")))</f>
        <v>两者都跟住</v>
      </c>
      <c r="L116" s="45" t="n">
        <f aca="false">F116-G116</f>
        <v>0.300348132899745</v>
      </c>
      <c r="M116" s="46" t="n">
        <v>0.408931</v>
      </c>
      <c r="N116" s="46" t="n">
        <v>0.1934813</v>
      </c>
      <c r="O116" s="46" t="n">
        <v>0.5343579</v>
      </c>
      <c r="P116" s="46" t="n">
        <v>0.8001529</v>
      </c>
      <c r="Q116" s="46" t="n">
        <v>6.5208231</v>
      </c>
      <c r="R116" s="46" t="n">
        <v>3.2058161</v>
      </c>
      <c r="S116" s="47" t="n">
        <f aca="false">M116+N116+O116</f>
        <v>1.1367702</v>
      </c>
      <c r="T116" s="47" t="n">
        <f aca="false">M116+P116</f>
        <v>1.2090839</v>
      </c>
    </row>
    <row r="117" customFormat="false" ht="15" hidden="false" customHeight="false" outlineLevel="0" collapsed="false">
      <c r="A117" s="42" t="s">
        <v>44</v>
      </c>
      <c r="B117" s="42" t="n">
        <v>-18</v>
      </c>
      <c r="C117" s="42" t="n">
        <v>16</v>
      </c>
      <c r="D117" s="42" t="n">
        <v>74270931</v>
      </c>
      <c r="E117" s="43" t="n">
        <v>0.742182367638895</v>
      </c>
      <c r="F117" s="43" t="n">
        <v>0.906807463867086</v>
      </c>
      <c r="G117" s="43" t="n">
        <v>0.783546368292645</v>
      </c>
      <c r="H117" s="43" t="n">
        <v>0.754234134859683</v>
      </c>
      <c r="I117" s="42" t="n">
        <v>1</v>
      </c>
      <c r="J117" s="42" t="n">
        <v>1</v>
      </c>
      <c r="K117" s="44" t="str">
        <f aca="false">IF(AND(I117=1,J117=1),"两者都跟住",IF(AND(I117=0,J117=1),"仅 PC-TBD 跟住",IF(AND(I117=1,J117=0),"仅 VIT-LPS 跟住","都没跟住")))</f>
        <v>两者都跟住</v>
      </c>
      <c r="L117" s="45" t="n">
        <f aca="false">F117-G117</f>
        <v>0.123261095574441</v>
      </c>
      <c r="M117" s="46" t="n">
        <v>0.4046423</v>
      </c>
      <c r="N117" s="46" t="n">
        <v>0.1781447</v>
      </c>
      <c r="O117" s="46" t="n">
        <v>0.5007032</v>
      </c>
      <c r="P117" s="46" t="n">
        <v>1.2949525</v>
      </c>
      <c r="Q117" s="46" t="n">
        <v>2.958065</v>
      </c>
      <c r="R117" s="46" t="n">
        <v>4.1891803</v>
      </c>
      <c r="S117" s="47" t="n">
        <f aca="false">M117+N117+O117</f>
        <v>1.0834902</v>
      </c>
      <c r="T117" s="47" t="n">
        <f aca="false">M117+P117</f>
        <v>1.6995948</v>
      </c>
    </row>
    <row r="118" customFormat="false" ht="15" hidden="false" customHeight="false" outlineLevel="0" collapsed="false">
      <c r="A118" s="42" t="s">
        <v>44</v>
      </c>
      <c r="B118" s="42" t="n">
        <v>-18</v>
      </c>
      <c r="C118" s="42" t="n">
        <v>17</v>
      </c>
      <c r="D118" s="42" t="n">
        <v>74270932</v>
      </c>
      <c r="E118" s="43" t="n">
        <v>0.549537074436435</v>
      </c>
      <c r="F118" s="43" t="n">
        <v>0.944723508607193</v>
      </c>
      <c r="G118" s="43" t="n">
        <v>0.704792970019371</v>
      </c>
      <c r="H118" s="43" t="n">
        <v>0.699392544763601</v>
      </c>
      <c r="I118" s="42" t="n">
        <v>1</v>
      </c>
      <c r="J118" s="42" t="n">
        <v>1</v>
      </c>
      <c r="K118" s="44" t="str">
        <f aca="false">IF(AND(I118=1,J118=1),"两者都跟住",IF(AND(I118=0,J118=1),"仅 PC-TBD 跟住",IF(AND(I118=1,J118=0),"仅 VIT-LPS 跟住","都没跟住")))</f>
        <v>两者都跟住</v>
      </c>
      <c r="L118" s="45" t="n">
        <f aca="false">F118-G118</f>
        <v>0.239930538587822</v>
      </c>
      <c r="M118" s="46" t="n">
        <v>0.2663758</v>
      </c>
      <c r="N118" s="46" t="n">
        <v>0.1729788</v>
      </c>
      <c r="O118" s="46" t="n">
        <v>0.2839307</v>
      </c>
      <c r="P118" s="46" t="n">
        <v>0.8718444</v>
      </c>
      <c r="Q118" s="46" t="n">
        <v>2.8741162</v>
      </c>
      <c r="R118" s="46" t="n">
        <v>2.263259</v>
      </c>
      <c r="S118" s="47" t="n">
        <f aca="false">M118+N118+O118</f>
        <v>0.7232853</v>
      </c>
      <c r="T118" s="47" t="n">
        <f aca="false">M118+P118</f>
        <v>1.1382202</v>
      </c>
    </row>
    <row r="119" customFormat="false" ht="15" hidden="false" customHeight="false" outlineLevel="0" collapsed="false">
      <c r="A119" s="42" t="s">
        <v>44</v>
      </c>
      <c r="B119" s="42" t="n">
        <v>-18</v>
      </c>
      <c r="C119" s="42" t="n">
        <v>18</v>
      </c>
      <c r="D119" s="42" t="n">
        <v>74270933</v>
      </c>
      <c r="E119" s="43" t="n">
        <v>0.478367630664227</v>
      </c>
      <c r="F119" s="43" t="n">
        <v>0.847089465701726</v>
      </c>
      <c r="G119" s="43" t="n">
        <v>0.785331640062901</v>
      </c>
      <c r="H119" s="43" t="n">
        <v>0.80995825011683</v>
      </c>
      <c r="I119" s="42" t="n">
        <v>1</v>
      </c>
      <c r="J119" s="42" t="n">
        <v>1</v>
      </c>
      <c r="K119" s="44" t="str">
        <f aca="false">IF(AND(I119=1,J119=1),"两者都跟住",IF(AND(I119=0,J119=1),"仅 PC-TBD 跟住",IF(AND(I119=1,J119=0),"仅 VIT-LPS 跟住","都没跟住")))</f>
        <v>两者都跟住</v>
      </c>
      <c r="L119" s="45" t="n">
        <f aca="false">F119-G119</f>
        <v>0.061757825638825</v>
      </c>
      <c r="M119" s="46" t="n">
        <v>0.1970209</v>
      </c>
      <c r="N119" s="46" t="n">
        <v>0.149898</v>
      </c>
      <c r="O119" s="46" t="n">
        <v>0.3489188</v>
      </c>
      <c r="P119" s="46" t="n">
        <v>0.7060626</v>
      </c>
      <c r="Q119" s="46" t="n">
        <v>2.1862702</v>
      </c>
      <c r="R119" s="46" t="n">
        <v>2.6918059</v>
      </c>
      <c r="S119" s="47" t="n">
        <f aca="false">M119+N119+O119</f>
        <v>0.6958377</v>
      </c>
      <c r="T119" s="47" t="n">
        <f aca="false">M119+P119</f>
        <v>0.9030835</v>
      </c>
    </row>
    <row r="120" customFormat="false" ht="15" hidden="false" customHeight="false" outlineLevel="0" collapsed="false">
      <c r="A120" s="42" t="s">
        <v>44</v>
      </c>
      <c r="B120" s="42" t="n">
        <v>-18</v>
      </c>
      <c r="C120" s="42" t="n">
        <v>19</v>
      </c>
      <c r="D120" s="42" t="n">
        <v>74270934</v>
      </c>
      <c r="E120" s="43" t="n">
        <v>0.861159231840251</v>
      </c>
      <c r="F120" s="43" t="n">
        <v>0.933028029142455</v>
      </c>
      <c r="G120" s="43" t="n">
        <v>0.893740201539531</v>
      </c>
      <c r="H120" s="43" t="n">
        <v>0.905554212180975</v>
      </c>
      <c r="I120" s="42" t="n">
        <v>1</v>
      </c>
      <c r="J120" s="42" t="n">
        <v>1</v>
      </c>
      <c r="K120" s="44" t="str">
        <f aca="false">IF(AND(I120=1,J120=1),"两者都跟住",IF(AND(I120=0,J120=1),"仅 PC-TBD 跟住",IF(AND(I120=1,J120=0),"仅 VIT-LPS 跟住","都没跟住")))</f>
        <v>两者都跟住</v>
      </c>
      <c r="L120" s="45" t="n">
        <f aca="false">F120-G120</f>
        <v>0.0392878276029239</v>
      </c>
      <c r="M120" s="46" t="n">
        <v>0.2290887</v>
      </c>
      <c r="N120" s="46" t="n">
        <v>0.1780622</v>
      </c>
      <c r="O120" s="46" t="n">
        <v>0.4072256</v>
      </c>
      <c r="P120" s="46" t="n">
        <v>0.7767541</v>
      </c>
      <c r="Q120" s="46" t="n">
        <v>3.7008833</v>
      </c>
      <c r="R120" s="46" t="n">
        <v>2.3894049</v>
      </c>
      <c r="S120" s="47" t="n">
        <f aca="false">M120+N120+O120</f>
        <v>0.8143765</v>
      </c>
      <c r="T120" s="47" t="n">
        <f aca="false">M120+P120</f>
        <v>1.0058428</v>
      </c>
    </row>
    <row r="121" customFormat="false" ht="15" hidden="false" customHeight="false" outlineLevel="0" collapsed="false">
      <c r="A121" s="42" t="s">
        <v>44</v>
      </c>
      <c r="B121" s="42" t="n">
        <v>-18</v>
      </c>
      <c r="C121" s="42" t="n">
        <v>20</v>
      </c>
      <c r="D121" s="42" t="n">
        <v>74270935</v>
      </c>
      <c r="E121" s="43" t="n">
        <v>0.589567582737919</v>
      </c>
      <c r="F121" s="43" t="n">
        <v>0.782784350767221</v>
      </c>
      <c r="G121" s="43" t="n">
        <v>0.589775568028566</v>
      </c>
      <c r="H121" s="43" t="n">
        <v>0.606442991642483</v>
      </c>
      <c r="I121" s="42" t="n">
        <v>1</v>
      </c>
      <c r="J121" s="42" t="n">
        <v>1</v>
      </c>
      <c r="K121" s="44" t="str">
        <f aca="false">IF(AND(I121=1,J121=1),"两者都跟住",IF(AND(I121=0,J121=1),"仅 PC-TBD 跟住",IF(AND(I121=1,J121=0),"仅 VIT-LPS 跟住","都没跟住")))</f>
        <v>两者都跟住</v>
      </c>
      <c r="L121" s="45" t="n">
        <f aca="false">F121-G121</f>
        <v>0.193008782738655</v>
      </c>
      <c r="M121" s="46" t="n">
        <v>0.2067233</v>
      </c>
      <c r="N121" s="46" t="n">
        <v>0.1645987</v>
      </c>
      <c r="O121" s="46" t="n">
        <v>0.4253893</v>
      </c>
      <c r="P121" s="46" t="n">
        <v>0.7127675</v>
      </c>
      <c r="Q121" s="46" t="n">
        <v>5.9637262</v>
      </c>
      <c r="R121" s="46" t="n">
        <v>2.2235088</v>
      </c>
      <c r="S121" s="47" t="n">
        <f aca="false">M121+N121+O121</f>
        <v>0.7967113</v>
      </c>
      <c r="T121" s="47" t="n">
        <f aca="false">M121+P121</f>
        <v>0.9194908</v>
      </c>
    </row>
    <row r="122" customFormat="false" ht="15" hidden="false" customHeight="false" outlineLevel="0" collapsed="false">
      <c r="A122" s="42" t="s">
        <v>44</v>
      </c>
      <c r="B122" s="42" t="n">
        <v>-18</v>
      </c>
      <c r="C122" s="42" t="n">
        <v>21</v>
      </c>
      <c r="D122" s="42" t="n">
        <v>74270936</v>
      </c>
      <c r="E122" s="43" t="n">
        <v>0.0211585861609813</v>
      </c>
      <c r="F122" s="43" t="n">
        <v>0.0214044957366285</v>
      </c>
      <c r="G122" s="43" t="n">
        <v>0.852081688739631</v>
      </c>
      <c r="H122" s="43" t="n">
        <v>0.865212247109518</v>
      </c>
      <c r="I122" s="42" t="n">
        <v>0</v>
      </c>
      <c r="J122" s="42" t="n">
        <v>1</v>
      </c>
      <c r="K122" s="44" t="str">
        <f aca="false">IF(AND(I122=1,J122=1),"两者都跟住",IF(AND(I122=0,J122=1),"仅 PC-TBD 跟住",IF(AND(I122=1,J122=0),"仅 VIT-LPS 跟住","都没跟住")))</f>
        <v>仅 PC-TBD 跟住</v>
      </c>
      <c r="L122" s="45" t="n">
        <f aca="false">F122-G122</f>
        <v>-0.830677193003003</v>
      </c>
      <c r="M122" s="46" t="n">
        <v>0.3004559</v>
      </c>
      <c r="N122" s="46" t="n">
        <v>0.1448077</v>
      </c>
      <c r="O122" s="46" t="n">
        <v>0.6009875</v>
      </c>
      <c r="P122" s="46" t="n">
        <v>0.9226046</v>
      </c>
      <c r="Q122" s="46" t="n">
        <v>9.8090727</v>
      </c>
      <c r="R122" s="46" t="n">
        <v>3.0659372</v>
      </c>
      <c r="S122" s="47" t="n">
        <f aca="false">M122+N122+O122</f>
        <v>1.0462511</v>
      </c>
      <c r="T122" s="47" t="n">
        <f aca="false">M122+P122</f>
        <v>1.2230605</v>
      </c>
    </row>
    <row r="123" customFormat="false" ht="15" hidden="false" customHeight="false" outlineLevel="0" collapsed="false">
      <c r="A123" s="42" t="s">
        <v>44</v>
      </c>
      <c r="B123" s="42" t="n">
        <v>-18</v>
      </c>
      <c r="C123" s="42" t="n">
        <v>22</v>
      </c>
      <c r="D123" s="42" t="n">
        <v>74270937</v>
      </c>
      <c r="E123" s="43" t="n">
        <v>0.318338957062273</v>
      </c>
      <c r="F123" s="43" t="n">
        <v>0.857665958968632</v>
      </c>
      <c r="G123" s="43" t="n">
        <v>0.871134148775666</v>
      </c>
      <c r="H123" s="43" t="n">
        <v>0.833271400814627</v>
      </c>
      <c r="I123" s="42" t="n">
        <v>1</v>
      </c>
      <c r="J123" s="42" t="n">
        <v>1</v>
      </c>
      <c r="K123" s="44" t="str">
        <f aca="false">IF(AND(I123=1,J123=1),"两者都跟住",IF(AND(I123=0,J123=1),"仅 PC-TBD 跟住",IF(AND(I123=1,J123=0),"仅 VIT-LPS 跟住","都没跟住")))</f>
        <v>两者都跟住</v>
      </c>
      <c r="L123" s="45" t="n">
        <f aca="false">F123-G123</f>
        <v>-0.013468189807034</v>
      </c>
      <c r="M123" s="46" t="n">
        <v>0.3189466</v>
      </c>
      <c r="N123" s="46" t="n">
        <v>0.171024</v>
      </c>
      <c r="O123" s="46" t="n">
        <v>0.6565935</v>
      </c>
      <c r="P123" s="46" t="n">
        <v>0.8046431</v>
      </c>
      <c r="Q123" s="46" t="n">
        <v>3.0978926</v>
      </c>
      <c r="R123" s="46" t="n">
        <v>2.5769974</v>
      </c>
      <c r="S123" s="47" t="n">
        <f aca="false">M123+N123+O123</f>
        <v>1.1465641</v>
      </c>
      <c r="T123" s="47" t="n">
        <f aca="false">M123+P123</f>
        <v>1.1235897</v>
      </c>
    </row>
    <row r="124" customFormat="false" ht="15" hidden="false" customHeight="false" outlineLevel="0" collapsed="false">
      <c r="A124" s="42" t="s">
        <v>44</v>
      </c>
      <c r="B124" s="42" t="n">
        <v>-18</v>
      </c>
      <c r="C124" s="42" t="n">
        <v>23</v>
      </c>
      <c r="D124" s="42" t="n">
        <v>74270938</v>
      </c>
      <c r="E124" s="43" t="n">
        <v>0.541588406160224</v>
      </c>
      <c r="F124" s="43" t="n">
        <v>0.872596786364882</v>
      </c>
      <c r="G124" s="43" t="n">
        <v>0.887994651463177</v>
      </c>
      <c r="H124" s="43" t="n">
        <v>0.87735882917306</v>
      </c>
      <c r="I124" s="42" t="n">
        <v>1</v>
      </c>
      <c r="J124" s="42" t="n">
        <v>1</v>
      </c>
      <c r="K124" s="44" t="str">
        <f aca="false">IF(AND(I124=1,J124=1),"两者都跟住",IF(AND(I124=0,J124=1),"仅 PC-TBD 跟住",IF(AND(I124=1,J124=0),"仅 VIT-LPS 跟住","都没跟住")))</f>
        <v>两者都跟住</v>
      </c>
      <c r="L124" s="45" t="n">
        <f aca="false">F124-G124</f>
        <v>-0.015397865098295</v>
      </c>
      <c r="M124" s="46" t="n">
        <v>0.3221124</v>
      </c>
      <c r="N124" s="46" t="n">
        <v>0.1675039</v>
      </c>
      <c r="O124" s="46" t="n">
        <v>0.6688957</v>
      </c>
      <c r="P124" s="46" t="n">
        <v>0.8028945</v>
      </c>
      <c r="Q124" s="46" t="n">
        <v>3.0833427</v>
      </c>
      <c r="R124" s="46" t="n">
        <v>3.3336479</v>
      </c>
      <c r="S124" s="47" t="n">
        <f aca="false">M124+N124+O124</f>
        <v>1.158512</v>
      </c>
      <c r="T124" s="47" t="n">
        <f aca="false">M124+P124</f>
        <v>1.1250069</v>
      </c>
    </row>
    <row r="125" customFormat="false" ht="15" hidden="false" customHeight="false" outlineLevel="0" collapsed="false">
      <c r="A125" s="42" t="s">
        <v>44</v>
      </c>
      <c r="B125" s="42" t="n">
        <v>-18</v>
      </c>
      <c r="C125" s="42" t="n">
        <v>24</v>
      </c>
      <c r="D125" s="42" t="n">
        <v>74270939</v>
      </c>
      <c r="E125" s="43" t="n">
        <v>0.307261370275004</v>
      </c>
      <c r="F125" s="43" t="n">
        <v>0.759380855742029</v>
      </c>
      <c r="G125" s="43" t="n">
        <v>0.67125420101282</v>
      </c>
      <c r="H125" s="43" t="n">
        <v>0.693145560047305</v>
      </c>
      <c r="I125" s="42" t="n">
        <v>1</v>
      </c>
      <c r="J125" s="42" t="n">
        <v>1</v>
      </c>
      <c r="K125" s="44" t="str">
        <f aca="false">IF(AND(I125=1,J125=1),"两者都跟住",IF(AND(I125=0,J125=1),"仅 PC-TBD 跟住",IF(AND(I125=1,J125=0),"仅 VIT-LPS 跟住","都没跟住")))</f>
        <v>两者都跟住</v>
      </c>
      <c r="L125" s="45" t="n">
        <f aca="false">F125-G125</f>
        <v>0.088126654729209</v>
      </c>
      <c r="M125" s="46" t="n">
        <v>0.3247931</v>
      </c>
      <c r="N125" s="46" t="n">
        <v>0.1698003</v>
      </c>
      <c r="O125" s="46" t="n">
        <v>0.4567622</v>
      </c>
      <c r="P125" s="46" t="n">
        <v>0.7983994</v>
      </c>
      <c r="Q125" s="46" t="n">
        <v>6.5399782</v>
      </c>
      <c r="R125" s="46" t="n">
        <v>3.2158042</v>
      </c>
      <c r="S125" s="47" t="n">
        <f aca="false">M125+N125+O125</f>
        <v>0.9513556</v>
      </c>
      <c r="T125" s="47" t="n">
        <f aca="false">M125+P125</f>
        <v>1.1231925</v>
      </c>
    </row>
    <row r="126" customFormat="false" ht="15" hidden="false" customHeight="false" outlineLevel="0" collapsed="false">
      <c r="A126" s="42" t="s">
        <v>44</v>
      </c>
      <c r="B126" s="42" t="n">
        <v>-18</v>
      </c>
      <c r="C126" s="42" t="n">
        <v>25</v>
      </c>
      <c r="D126" s="42" t="n">
        <v>74270940</v>
      </c>
      <c r="E126" s="43" t="n">
        <v>0.0143392693607061</v>
      </c>
      <c r="F126" s="43" t="n">
        <v>0.0234277192890723</v>
      </c>
      <c r="G126" s="43" t="n">
        <v>0.686834647089772</v>
      </c>
      <c r="H126" s="43" t="n">
        <v>0.698441244961911</v>
      </c>
      <c r="I126" s="42" t="n">
        <v>0</v>
      </c>
      <c r="J126" s="42" t="n">
        <v>1</v>
      </c>
      <c r="K126" s="44" t="str">
        <f aca="false">IF(AND(I126=1,J126=1),"两者都跟住",IF(AND(I126=0,J126=1),"仅 PC-TBD 跟住",IF(AND(I126=1,J126=0),"仅 VIT-LPS 跟住","都没跟住")))</f>
        <v>仅 PC-TBD 跟住</v>
      </c>
      <c r="L126" s="45" t="n">
        <f aca="false">F126-G126</f>
        <v>-0.6634069278007</v>
      </c>
      <c r="M126" s="46" t="n">
        <v>0.3571547</v>
      </c>
      <c r="N126" s="46" t="n">
        <v>0.174342</v>
      </c>
      <c r="O126" s="46" t="n">
        <v>0.7549537</v>
      </c>
      <c r="P126" s="46" t="n">
        <v>0.8268531</v>
      </c>
      <c r="Q126" s="46" t="n">
        <v>4.6525156</v>
      </c>
      <c r="R126" s="46" t="n">
        <v>3.9173998</v>
      </c>
      <c r="S126" s="47" t="n">
        <f aca="false">M126+N126+O126</f>
        <v>1.2864504</v>
      </c>
      <c r="T126" s="47" t="n">
        <f aca="false">M126+P126</f>
        <v>1.1840078</v>
      </c>
    </row>
    <row r="127" customFormat="false" ht="15" hidden="false" customHeight="false" outlineLevel="0" collapsed="false">
      <c r="A127" s="42" t="s">
        <v>44</v>
      </c>
      <c r="B127" s="42" t="n">
        <v>-18</v>
      </c>
      <c r="C127" s="42" t="n">
        <v>26</v>
      </c>
      <c r="D127" s="42" t="n">
        <v>74270941</v>
      </c>
      <c r="E127" s="43" t="n">
        <v>0.413308702260573</v>
      </c>
      <c r="F127" s="43" t="n">
        <v>0.648657495303139</v>
      </c>
      <c r="G127" s="43" t="n">
        <v>0.673805400162422</v>
      </c>
      <c r="H127" s="43" t="n">
        <v>0.686735213698073</v>
      </c>
      <c r="I127" s="42" t="n">
        <v>1</v>
      </c>
      <c r="J127" s="42" t="n">
        <v>1</v>
      </c>
      <c r="K127" s="44" t="str">
        <f aca="false">IF(AND(I127=1,J127=1),"两者都跟住",IF(AND(I127=0,J127=1),"仅 PC-TBD 跟住",IF(AND(I127=1,J127=0),"仅 VIT-LPS 跟住","都没跟住")))</f>
        <v>两者都跟住</v>
      </c>
      <c r="L127" s="45" t="n">
        <f aca="false">F127-G127</f>
        <v>-0.025147904859283</v>
      </c>
      <c r="M127" s="46" t="n">
        <v>0.3251524</v>
      </c>
      <c r="N127" s="46" t="n">
        <v>0.1837395</v>
      </c>
      <c r="O127" s="46" t="n">
        <v>0.3755577</v>
      </c>
      <c r="P127" s="46" t="n">
        <v>0.7820287</v>
      </c>
      <c r="Q127" s="46" t="n">
        <v>2.4597045</v>
      </c>
      <c r="R127" s="46" t="n">
        <v>3.4234116</v>
      </c>
      <c r="S127" s="47" t="n">
        <f aca="false">M127+N127+O127</f>
        <v>0.8844496</v>
      </c>
      <c r="T127" s="47" t="n">
        <f aca="false">M127+P127</f>
        <v>1.1071811</v>
      </c>
    </row>
    <row r="128" customFormat="false" ht="15" hidden="false" customHeight="false" outlineLevel="0" collapsed="false">
      <c r="A128" s="42" t="s">
        <v>44</v>
      </c>
      <c r="B128" s="42" t="n">
        <v>-18</v>
      </c>
      <c r="C128" s="42" t="n">
        <v>27</v>
      </c>
      <c r="D128" s="42" t="n">
        <v>74270942</v>
      </c>
      <c r="E128" s="43" t="n">
        <v>0.27004881625709</v>
      </c>
      <c r="F128" s="43" t="n">
        <v>0.680315249893484</v>
      </c>
      <c r="G128" s="43" t="n">
        <v>0.543447355667144</v>
      </c>
      <c r="H128" s="43" t="n">
        <v>0.548855515148425</v>
      </c>
      <c r="I128" s="42" t="n">
        <v>1</v>
      </c>
      <c r="J128" s="42" t="n">
        <v>1</v>
      </c>
      <c r="K128" s="44" t="str">
        <f aca="false">IF(AND(I128=1,J128=1),"两者都跟住",IF(AND(I128=0,J128=1),"仅 PC-TBD 跟住",IF(AND(I128=1,J128=0),"仅 VIT-LPS 跟住","都没跟住")))</f>
        <v>两者都跟住</v>
      </c>
      <c r="L128" s="45" t="n">
        <f aca="false">F128-G128</f>
        <v>0.13686789422634</v>
      </c>
      <c r="M128" s="46" t="n">
        <v>0.1576943</v>
      </c>
      <c r="N128" s="46" t="n">
        <v>0.1038572</v>
      </c>
      <c r="O128" s="46" t="n">
        <v>0.190811</v>
      </c>
      <c r="P128" s="46" t="n">
        <v>0.578467</v>
      </c>
      <c r="Q128" s="46" t="n">
        <v>3.1616059</v>
      </c>
      <c r="R128" s="46" t="n">
        <v>1.7104465</v>
      </c>
      <c r="S128" s="47" t="n">
        <f aca="false">M128+N128+O128</f>
        <v>0.4523625</v>
      </c>
      <c r="T128" s="47" t="n">
        <f aca="false">M128+P128</f>
        <v>0.7361613</v>
      </c>
    </row>
    <row r="129" customFormat="false" ht="15" hidden="false" customHeight="false" outlineLevel="0" collapsed="false">
      <c r="A129" s="42" t="s">
        <v>44</v>
      </c>
      <c r="B129" s="42" t="n">
        <v>-18</v>
      </c>
      <c r="C129" s="42" t="n">
        <v>28</v>
      </c>
      <c r="D129" s="42" t="n">
        <v>74270943</v>
      </c>
      <c r="E129" s="43" t="n">
        <v>0.39815808975955</v>
      </c>
      <c r="F129" s="43" t="n">
        <v>0.699448079003098</v>
      </c>
      <c r="G129" s="43" t="n">
        <v>0.721311556880461</v>
      </c>
      <c r="H129" s="43" t="n">
        <v>0.73770865530937</v>
      </c>
      <c r="I129" s="42" t="n">
        <v>1</v>
      </c>
      <c r="J129" s="42" t="n">
        <v>1</v>
      </c>
      <c r="K129" s="44" t="str">
        <f aca="false">IF(AND(I129=1,J129=1),"两者都跟住",IF(AND(I129=0,J129=1),"仅 PC-TBD 跟住",IF(AND(I129=1,J129=0),"仅 VIT-LPS 跟住","都没跟住")))</f>
        <v>两者都跟住</v>
      </c>
      <c r="L129" s="45" t="n">
        <f aca="false">F129-G129</f>
        <v>-0.021863477877363</v>
      </c>
      <c r="M129" s="46" t="n">
        <v>0.1902753</v>
      </c>
      <c r="N129" s="46" t="n">
        <v>0.1413757</v>
      </c>
      <c r="O129" s="46" t="n">
        <v>0.2795804</v>
      </c>
      <c r="P129" s="46" t="n">
        <v>0.5631779</v>
      </c>
      <c r="Q129" s="46" t="n">
        <v>2.9069588</v>
      </c>
      <c r="R129" s="46" t="n">
        <v>2.5392561</v>
      </c>
      <c r="S129" s="47" t="n">
        <f aca="false">M129+N129+O129</f>
        <v>0.6112314</v>
      </c>
      <c r="T129" s="47" t="n">
        <f aca="false">M129+P129</f>
        <v>0.7534532</v>
      </c>
    </row>
    <row r="130" customFormat="false" ht="15" hidden="false" customHeight="false" outlineLevel="0" collapsed="false">
      <c r="A130" s="42" t="s">
        <v>44</v>
      </c>
      <c r="B130" s="42" t="n">
        <v>-18</v>
      </c>
      <c r="C130" s="42" t="n">
        <v>29</v>
      </c>
      <c r="D130" s="42" t="n">
        <v>74270944</v>
      </c>
      <c r="E130" s="43" t="n">
        <v>0.591124389636782</v>
      </c>
      <c r="F130" s="43" t="n">
        <v>0.742024652569451</v>
      </c>
      <c r="G130" s="43" t="n">
        <v>0.75948064077217</v>
      </c>
      <c r="H130" s="43" t="n">
        <v>0.746215473331793</v>
      </c>
      <c r="I130" s="42" t="n">
        <v>1</v>
      </c>
      <c r="J130" s="42" t="n">
        <v>1</v>
      </c>
      <c r="K130" s="44" t="str">
        <f aca="false">IF(AND(I130=1,J130=1),"两者都跟住",IF(AND(I130=0,J130=1),"仅 PC-TBD 跟住",IF(AND(I130=1,J130=0),"仅 VIT-LPS 跟住","都没跟住")))</f>
        <v>两者都跟住</v>
      </c>
      <c r="L130" s="45" t="n">
        <f aca="false">F130-G130</f>
        <v>-0.017455988202719</v>
      </c>
      <c r="M130" s="46" t="n">
        <v>0.1600617</v>
      </c>
      <c r="N130" s="46" t="n">
        <v>0.1226261</v>
      </c>
      <c r="O130" s="46" t="n">
        <v>0.2302707</v>
      </c>
      <c r="P130" s="46" t="n">
        <v>0.6490483</v>
      </c>
      <c r="Q130" s="46" t="n">
        <v>2.2947951</v>
      </c>
      <c r="R130" s="46" t="n">
        <v>1.8842711</v>
      </c>
      <c r="S130" s="47" t="n">
        <f aca="false">M130+N130+O130</f>
        <v>0.5129585</v>
      </c>
      <c r="T130" s="47" t="n">
        <f aca="false">M130+P130</f>
        <v>0.80911</v>
      </c>
    </row>
    <row r="131" customFormat="false" ht="15" hidden="false" customHeight="false" outlineLevel="0" collapsed="false">
      <c r="A131" s="42" t="s">
        <v>44</v>
      </c>
      <c r="B131" s="42" t="n">
        <v>-18</v>
      </c>
      <c r="C131" s="42" t="n">
        <v>30</v>
      </c>
      <c r="D131" s="42" t="n">
        <v>74270945</v>
      </c>
      <c r="E131" s="43" t="n">
        <v>0.51592593577882</v>
      </c>
      <c r="F131" s="43" t="n">
        <v>0.659540224703138</v>
      </c>
      <c r="G131" s="43" t="n">
        <v>0.72178870418809</v>
      </c>
      <c r="H131" s="43" t="n">
        <v>0.71449157920086</v>
      </c>
      <c r="I131" s="42" t="n">
        <v>1</v>
      </c>
      <c r="J131" s="42" t="n">
        <v>1</v>
      </c>
      <c r="K131" s="44" t="str">
        <f aca="false">IF(AND(I131=1,J131=1),"两者都跟住",IF(AND(I131=0,J131=1),"仅 PC-TBD 跟住",IF(AND(I131=1,J131=0),"仅 VIT-LPS 跟住","都没跟住")))</f>
        <v>两者都跟住</v>
      </c>
      <c r="L131" s="45" t="n">
        <f aca="false">F131-G131</f>
        <v>-0.062248479484952</v>
      </c>
      <c r="M131" s="46" t="n">
        <v>0.1668814</v>
      </c>
      <c r="N131" s="46" t="n">
        <v>0.1095293</v>
      </c>
      <c r="O131" s="46" t="n">
        <v>0.2124526</v>
      </c>
      <c r="P131" s="46" t="n">
        <v>0.5013679</v>
      </c>
      <c r="Q131" s="46" t="n">
        <v>2.6160532</v>
      </c>
      <c r="R131" s="46" t="n">
        <v>1.6807022</v>
      </c>
      <c r="S131" s="47" t="n">
        <f aca="false">M131+N131+O131</f>
        <v>0.4888633</v>
      </c>
      <c r="T131" s="47" t="n">
        <f aca="false">M131+P131</f>
        <v>0.6682493</v>
      </c>
    </row>
    <row r="132" customFormat="false" ht="15" hidden="false" customHeight="false" outlineLevel="0" collapsed="false">
      <c r="A132" s="42" t="s">
        <v>44</v>
      </c>
      <c r="B132" s="42" t="n">
        <v>-18</v>
      </c>
      <c r="C132" s="42" t="n">
        <v>31</v>
      </c>
      <c r="D132" s="42" t="n">
        <v>74270946</v>
      </c>
      <c r="E132" s="43" t="n">
        <v>0.180312225897381</v>
      </c>
      <c r="F132" s="43" t="n">
        <v>0.568839917010552</v>
      </c>
      <c r="G132" s="43" t="n">
        <v>0.388582724592441</v>
      </c>
      <c r="H132" s="43" t="n">
        <v>0.428426695368083</v>
      </c>
      <c r="I132" s="42" t="n">
        <v>1</v>
      </c>
      <c r="J132" s="42" t="n">
        <v>1</v>
      </c>
      <c r="K132" s="44" t="str">
        <f aca="false">IF(AND(I132=1,J132=1),"两者都跟住",IF(AND(I132=0,J132=1),"仅 PC-TBD 跟住",IF(AND(I132=1,J132=0),"仅 VIT-LPS 跟住","都没跟住")))</f>
        <v>两者都跟住</v>
      </c>
      <c r="L132" s="45" t="n">
        <f aca="false">F132-G132</f>
        <v>0.180257192418111</v>
      </c>
      <c r="M132" s="46" t="n">
        <v>0.3580791</v>
      </c>
      <c r="N132" s="46" t="n">
        <v>0.1544435</v>
      </c>
      <c r="O132" s="46" t="n">
        <v>0.3800907</v>
      </c>
      <c r="P132" s="46" t="n">
        <v>0.902585</v>
      </c>
      <c r="Q132" s="46" t="n">
        <v>2.9758394</v>
      </c>
      <c r="R132" s="46" t="n">
        <v>2.6975366</v>
      </c>
      <c r="S132" s="47" t="n">
        <f aca="false">M132+N132+O132</f>
        <v>0.8926133</v>
      </c>
      <c r="T132" s="47" t="n">
        <f aca="false">M132+P132</f>
        <v>1.2606641</v>
      </c>
    </row>
    <row r="133" customFormat="false" ht="15" hidden="false" customHeight="false" outlineLevel="0" collapsed="false">
      <c r="A133" s="42" t="s">
        <v>44</v>
      </c>
      <c r="B133" s="42" t="n">
        <v>-18</v>
      </c>
      <c r="C133" s="42" t="n">
        <v>32</v>
      </c>
      <c r="D133" s="42" t="n">
        <v>74270947</v>
      </c>
      <c r="E133" s="43" t="n">
        <v>0.457301800641888</v>
      </c>
      <c r="F133" s="43" t="n">
        <v>0.921562658240311</v>
      </c>
      <c r="G133" s="43" t="n">
        <v>0.792394876190664</v>
      </c>
      <c r="H133" s="43" t="n">
        <v>0.805238172003266</v>
      </c>
      <c r="I133" s="42" t="n">
        <v>1</v>
      </c>
      <c r="J133" s="42" t="n">
        <v>1</v>
      </c>
      <c r="K133" s="44" t="str">
        <f aca="false">IF(AND(I133=1,J133=1),"两者都跟住",IF(AND(I133=0,J133=1),"仅 PC-TBD 跟住",IF(AND(I133=1,J133=0),"仅 VIT-LPS 跟住","都没跟住")))</f>
        <v>两者都跟住</v>
      </c>
      <c r="L133" s="45" t="n">
        <f aca="false">F133-G133</f>
        <v>0.129167782049647</v>
      </c>
      <c r="M133" s="46" t="n">
        <v>0.3354767</v>
      </c>
      <c r="N133" s="46" t="n">
        <v>0.1438896</v>
      </c>
      <c r="O133" s="46" t="n">
        <v>0.274531</v>
      </c>
      <c r="P133" s="46" t="n">
        <v>0.8079518</v>
      </c>
      <c r="Q133" s="46" t="n">
        <v>3.5472405</v>
      </c>
      <c r="R133" s="46" t="n">
        <v>2.4199146</v>
      </c>
      <c r="S133" s="47" t="n">
        <f aca="false">M133+N133+O133</f>
        <v>0.7538973</v>
      </c>
      <c r="T133" s="47" t="n">
        <f aca="false">M133+P133</f>
        <v>1.1434285</v>
      </c>
    </row>
    <row r="134" customFormat="false" ht="15" hidden="false" customHeight="false" outlineLevel="0" collapsed="false">
      <c r="A134" s="42" t="s">
        <v>44</v>
      </c>
      <c r="B134" s="42" t="n">
        <v>-18</v>
      </c>
      <c r="C134" s="42" t="n">
        <v>33</v>
      </c>
      <c r="D134" s="42" t="n">
        <v>74270948</v>
      </c>
      <c r="E134" s="43" t="n">
        <v>0.746565757245765</v>
      </c>
      <c r="F134" s="43" t="n">
        <v>0.932737432242768</v>
      </c>
      <c r="G134" s="43" t="n">
        <v>0.936448469072116</v>
      </c>
      <c r="H134" s="43" t="n">
        <v>0.936910519565943</v>
      </c>
      <c r="I134" s="42" t="n">
        <v>1</v>
      </c>
      <c r="J134" s="42" t="n">
        <v>1</v>
      </c>
      <c r="K134" s="44" t="str">
        <f aca="false">IF(AND(I134=1,J134=1),"两者都跟住",IF(AND(I134=0,J134=1),"仅 PC-TBD 跟住",IF(AND(I134=1,J134=0),"仅 VIT-LPS 跟住","都没跟住")))</f>
        <v>两者都跟住</v>
      </c>
      <c r="L134" s="45" t="n">
        <f aca="false">F134-G134</f>
        <v>-0.00371103682934804</v>
      </c>
      <c r="M134" s="46" t="n">
        <v>0.3707856</v>
      </c>
      <c r="N134" s="46" t="n">
        <v>0.1674648</v>
      </c>
      <c r="O134" s="46" t="n">
        <v>0.2560792</v>
      </c>
      <c r="P134" s="46" t="n">
        <v>0.7711778</v>
      </c>
      <c r="Q134" s="46" t="n">
        <v>2.4418521</v>
      </c>
      <c r="R134" s="46" t="n">
        <v>3.1247929</v>
      </c>
      <c r="S134" s="47" t="n">
        <f aca="false">M134+N134+O134</f>
        <v>0.7943296</v>
      </c>
      <c r="T134" s="47" t="n">
        <f aca="false">M134+P134</f>
        <v>1.1419634</v>
      </c>
    </row>
    <row r="135" customFormat="false" ht="15" hidden="false" customHeight="false" outlineLevel="0" collapsed="false">
      <c r="A135" s="42" t="s">
        <v>44</v>
      </c>
      <c r="B135" s="42" t="n">
        <v>-18</v>
      </c>
      <c r="C135" s="42" t="n">
        <v>34</v>
      </c>
      <c r="D135" s="42" t="n">
        <v>74270949</v>
      </c>
      <c r="E135" s="43" t="n">
        <v>0.451069404105166</v>
      </c>
      <c r="F135" s="43" t="n">
        <v>0.684884026983392</v>
      </c>
      <c r="G135" s="43" t="n">
        <v>0.704777972542104</v>
      </c>
      <c r="H135" s="43" t="n">
        <v>0.706363191501055</v>
      </c>
      <c r="I135" s="42" t="n">
        <v>1</v>
      </c>
      <c r="J135" s="42" t="n">
        <v>1</v>
      </c>
      <c r="K135" s="44" t="str">
        <f aca="false">IF(AND(I135=1,J135=1),"两者都跟住",IF(AND(I135=0,J135=1),"仅 PC-TBD 跟住",IF(AND(I135=1,J135=0),"仅 VIT-LPS 跟住","都没跟住")))</f>
        <v>两者都跟住</v>
      </c>
      <c r="L135" s="45" t="n">
        <f aca="false">F135-G135</f>
        <v>-0.0198939455587119</v>
      </c>
      <c r="M135" s="46" t="n">
        <v>0.3633632</v>
      </c>
      <c r="N135" s="46" t="n">
        <v>0.1626314</v>
      </c>
      <c r="O135" s="46" t="n">
        <v>0.4024571</v>
      </c>
      <c r="P135" s="46" t="n">
        <v>0.9048232</v>
      </c>
      <c r="Q135" s="46" t="n">
        <v>4.251176</v>
      </c>
      <c r="R135" s="46" t="n">
        <v>3.3212805</v>
      </c>
      <c r="S135" s="47" t="n">
        <f aca="false">M135+N135+O135</f>
        <v>0.9284517</v>
      </c>
      <c r="T135" s="47" t="n">
        <f aca="false">M135+P135</f>
        <v>1.2681864</v>
      </c>
    </row>
    <row r="136" customFormat="false" ht="15" hidden="false" customHeight="false" outlineLevel="0" collapsed="false">
      <c r="A136" s="42" t="s">
        <v>44</v>
      </c>
      <c r="B136" s="42" t="n">
        <v>-18</v>
      </c>
      <c r="C136" s="42" t="n">
        <v>35</v>
      </c>
      <c r="D136" s="42" t="n">
        <v>74270950</v>
      </c>
      <c r="E136" s="43" t="n">
        <v>0.574638761287469</v>
      </c>
      <c r="F136" s="43" t="n">
        <v>0.912440399202268</v>
      </c>
      <c r="G136" s="43" t="n">
        <v>0.853105191963956</v>
      </c>
      <c r="H136" s="43" t="n">
        <v>0.869549891847594</v>
      </c>
      <c r="I136" s="42" t="n">
        <v>1</v>
      </c>
      <c r="J136" s="42" t="n">
        <v>1</v>
      </c>
      <c r="K136" s="44" t="str">
        <f aca="false">IF(AND(I136=1,J136=1),"两者都跟住",IF(AND(I136=0,J136=1),"仅 PC-TBD 跟住",IF(AND(I136=1,J136=0),"仅 VIT-LPS 跟住","都没跟住")))</f>
        <v>两者都跟住</v>
      </c>
      <c r="L136" s="45" t="n">
        <f aca="false">F136-G136</f>
        <v>0.0593352072383121</v>
      </c>
      <c r="M136" s="46" t="n">
        <v>0.319641</v>
      </c>
      <c r="N136" s="46" t="n">
        <v>0.1661346</v>
      </c>
      <c r="O136" s="46" t="n">
        <v>0.4249223</v>
      </c>
      <c r="P136" s="46" t="n">
        <v>0.8163163</v>
      </c>
      <c r="Q136" s="46" t="n">
        <v>3.6633313</v>
      </c>
      <c r="R136" s="46" t="n">
        <v>2.9186969</v>
      </c>
      <c r="S136" s="47" t="n">
        <f aca="false">M136+N136+O136</f>
        <v>0.9106979</v>
      </c>
      <c r="T136" s="47" t="n">
        <f aca="false">M136+P136</f>
        <v>1.1359573</v>
      </c>
    </row>
    <row r="137" customFormat="false" ht="15" hidden="false" customHeight="false" outlineLevel="0" collapsed="false">
      <c r="A137" s="42" t="s">
        <v>44</v>
      </c>
      <c r="B137" s="42" t="n">
        <v>-18</v>
      </c>
      <c r="C137" s="42" t="n">
        <v>36</v>
      </c>
      <c r="D137" s="42" t="n">
        <v>74270951</v>
      </c>
      <c r="E137" s="43" t="n">
        <v>0.361063200328426</v>
      </c>
      <c r="F137" s="43" t="n">
        <v>0.639669898135817</v>
      </c>
      <c r="G137" s="43" t="n">
        <v>0.64815696408494</v>
      </c>
      <c r="H137" s="43" t="n">
        <v>0.658744350235311</v>
      </c>
      <c r="I137" s="42" t="n">
        <v>1</v>
      </c>
      <c r="J137" s="42" t="n">
        <v>1</v>
      </c>
      <c r="K137" s="44" t="str">
        <f aca="false">IF(AND(I137=1,J137=1),"两者都跟住",IF(AND(I137=0,J137=1),"仅 PC-TBD 跟住",IF(AND(I137=1,J137=0),"仅 VIT-LPS 跟住","都没跟住")))</f>
        <v>两者都跟住</v>
      </c>
      <c r="L137" s="45" t="n">
        <f aca="false">F137-G137</f>
        <v>-0.00848706594912296</v>
      </c>
      <c r="M137" s="46" t="n">
        <v>0.352485</v>
      </c>
      <c r="N137" s="46" t="n">
        <v>0.1714698</v>
      </c>
      <c r="O137" s="46" t="n">
        <v>0.470194</v>
      </c>
      <c r="P137" s="46" t="n">
        <v>0.8586182</v>
      </c>
      <c r="Q137" s="46" t="n">
        <v>3.4854666</v>
      </c>
      <c r="R137" s="46" t="n">
        <v>3.4471659</v>
      </c>
      <c r="S137" s="47" t="n">
        <f aca="false">M137+N137+O137</f>
        <v>0.9941488</v>
      </c>
      <c r="T137" s="47" t="n">
        <f aca="false">M137+P137</f>
        <v>1.2111032</v>
      </c>
    </row>
    <row r="138" customFormat="false" ht="15" hidden="false" customHeight="false" outlineLevel="0" collapsed="false">
      <c r="A138" s="42" t="s">
        <v>44</v>
      </c>
      <c r="B138" s="42" t="n">
        <v>-18</v>
      </c>
      <c r="C138" s="42" t="n">
        <v>37</v>
      </c>
      <c r="D138" s="42" t="n">
        <v>74270952</v>
      </c>
      <c r="E138" s="43" t="n">
        <v>0.797936689134145</v>
      </c>
      <c r="F138" s="43" t="n">
        <v>0.951106759890125</v>
      </c>
      <c r="G138" s="43" t="n">
        <v>0.915792044883521</v>
      </c>
      <c r="H138" s="43" t="n">
        <v>0.926105443303019</v>
      </c>
      <c r="I138" s="42" t="n">
        <v>1</v>
      </c>
      <c r="J138" s="42" t="n">
        <v>1</v>
      </c>
      <c r="K138" s="44" t="str">
        <f aca="false">IF(AND(I138=1,J138=1),"两者都跟住",IF(AND(I138=0,J138=1),"仅 PC-TBD 跟住",IF(AND(I138=1,J138=0),"仅 VIT-LPS 跟住","都没跟住")))</f>
        <v>两者都跟住</v>
      </c>
      <c r="L138" s="45" t="n">
        <f aca="false">F138-G138</f>
        <v>0.0353147150066041</v>
      </c>
      <c r="M138" s="46" t="n">
        <v>0.2136622</v>
      </c>
      <c r="N138" s="46" t="n">
        <v>0.1301131</v>
      </c>
      <c r="O138" s="46" t="n">
        <v>0.2492269</v>
      </c>
      <c r="P138" s="46" t="n">
        <v>0.6965918</v>
      </c>
      <c r="Q138" s="46" t="n">
        <v>2.680495</v>
      </c>
      <c r="R138" s="46" t="n">
        <v>1.886737</v>
      </c>
      <c r="S138" s="47" t="n">
        <f aca="false">M138+N138+O138</f>
        <v>0.5930022</v>
      </c>
      <c r="T138" s="47" t="n">
        <f aca="false">M138+P138</f>
        <v>0.910254</v>
      </c>
    </row>
    <row r="139" customFormat="false" ht="15" hidden="false" customHeight="false" outlineLevel="0" collapsed="false">
      <c r="A139" s="42" t="s">
        <v>44</v>
      </c>
      <c r="B139" s="42" t="n">
        <v>-18</v>
      </c>
      <c r="C139" s="42" t="n">
        <v>38</v>
      </c>
      <c r="D139" s="42" t="n">
        <v>74270953</v>
      </c>
      <c r="E139" s="43" t="n">
        <v>0.524965359371487</v>
      </c>
      <c r="F139" s="43" t="n">
        <v>0.908020788757473</v>
      </c>
      <c r="G139" s="43" t="n">
        <v>0.882365967200402</v>
      </c>
      <c r="H139" s="43" t="n">
        <v>0.874452070297698</v>
      </c>
      <c r="I139" s="42" t="n">
        <v>1</v>
      </c>
      <c r="J139" s="42" t="n">
        <v>1</v>
      </c>
      <c r="K139" s="44" t="str">
        <f aca="false">IF(AND(I139=1,J139=1),"两者都跟住",IF(AND(I139=0,J139=1),"仅 PC-TBD 跟住",IF(AND(I139=1,J139=0),"仅 VIT-LPS 跟住","都没跟住")))</f>
        <v>两者都跟住</v>
      </c>
      <c r="L139" s="45" t="n">
        <f aca="false">F139-G139</f>
        <v>0.0256548215570711</v>
      </c>
      <c r="M139" s="46" t="n">
        <v>0.2137585</v>
      </c>
      <c r="N139" s="46" t="n">
        <v>0.119027</v>
      </c>
      <c r="O139" s="46" t="n">
        <v>0.2129335</v>
      </c>
      <c r="P139" s="46" t="n">
        <v>0.5753114</v>
      </c>
      <c r="Q139" s="46" t="n">
        <v>4.3857334</v>
      </c>
      <c r="R139" s="46" t="n">
        <v>1.9198128</v>
      </c>
      <c r="S139" s="47" t="n">
        <f aca="false">M139+N139+O139</f>
        <v>0.545719</v>
      </c>
      <c r="T139" s="47" t="n">
        <f aca="false">M139+P139</f>
        <v>0.7890699</v>
      </c>
    </row>
    <row r="140" customFormat="false" ht="15" hidden="false" customHeight="false" outlineLevel="0" collapsed="false">
      <c r="A140" s="42" t="s">
        <v>44</v>
      </c>
      <c r="B140" s="42" t="n">
        <v>-18</v>
      </c>
      <c r="C140" s="42" t="n">
        <v>39</v>
      </c>
      <c r="D140" s="42" t="n">
        <v>74270954</v>
      </c>
      <c r="E140" s="43" t="n">
        <v>0.295892321503747</v>
      </c>
      <c r="F140" s="43" t="n">
        <v>0.789022071457835</v>
      </c>
      <c r="G140" s="43" t="n">
        <v>0.79002424459069</v>
      </c>
      <c r="H140" s="43" t="n">
        <v>0.793343609670968</v>
      </c>
      <c r="I140" s="42" t="n">
        <v>1</v>
      </c>
      <c r="J140" s="42" t="n">
        <v>1</v>
      </c>
      <c r="K140" s="44" t="str">
        <f aca="false">IF(AND(I140=1,J140=1),"两者都跟住",IF(AND(I140=0,J140=1),"仅 PC-TBD 跟住",IF(AND(I140=1,J140=0),"仅 VIT-LPS 跟住","都没跟住")))</f>
        <v>两者都跟住</v>
      </c>
      <c r="L140" s="45" t="n">
        <f aca="false">F140-G140</f>
        <v>-0.001002173132855</v>
      </c>
      <c r="M140" s="46" t="n">
        <v>0.2410002</v>
      </c>
      <c r="N140" s="46" t="n">
        <v>0.1688182</v>
      </c>
      <c r="O140" s="46" t="n">
        <v>0.3005993</v>
      </c>
      <c r="P140" s="46" t="n">
        <v>0.6900667</v>
      </c>
      <c r="Q140" s="46" t="n">
        <v>2.7162951</v>
      </c>
      <c r="R140" s="46" t="n">
        <v>2.5023967</v>
      </c>
      <c r="S140" s="47" t="n">
        <f aca="false">M140+N140+O140</f>
        <v>0.7104177</v>
      </c>
      <c r="T140" s="47" t="n">
        <f aca="false">M140+P140</f>
        <v>0.9310669</v>
      </c>
    </row>
    <row r="141" customFormat="false" ht="15" hidden="false" customHeight="false" outlineLevel="0" collapsed="false">
      <c r="A141" s="42" t="s">
        <v>44</v>
      </c>
      <c r="B141" s="42" t="n">
        <v>-18</v>
      </c>
      <c r="C141" s="42" t="n">
        <v>40</v>
      </c>
      <c r="D141" s="42" t="n">
        <v>74270955</v>
      </c>
      <c r="E141" s="43" t="n">
        <v>0.705916248473074</v>
      </c>
      <c r="F141" s="43" t="n">
        <v>0.903959651254241</v>
      </c>
      <c r="G141" s="43" t="n">
        <v>0.912269839266879</v>
      </c>
      <c r="H141" s="43" t="n">
        <v>0.911379715264989</v>
      </c>
      <c r="I141" s="42" t="n">
        <v>1</v>
      </c>
      <c r="J141" s="42" t="n">
        <v>1</v>
      </c>
      <c r="K141" s="44" t="str">
        <f aca="false">IF(AND(I141=1,J141=1),"两者都跟住",IF(AND(I141=0,J141=1),"仅 PC-TBD 跟住",IF(AND(I141=1,J141=0),"仅 VIT-LPS 跟住","都没跟住")))</f>
        <v>两者都跟住</v>
      </c>
      <c r="L141" s="45" t="n">
        <f aca="false">F141-G141</f>
        <v>-0.00831018801263794</v>
      </c>
      <c r="M141" s="46" t="n">
        <v>0.1506225</v>
      </c>
      <c r="N141" s="46" t="n">
        <v>0.0859259</v>
      </c>
      <c r="O141" s="46" t="n">
        <v>0.2328446</v>
      </c>
      <c r="P141" s="46" t="n">
        <v>0.7302712</v>
      </c>
      <c r="Q141" s="46" t="n">
        <v>3.9491693</v>
      </c>
      <c r="R141" s="46" t="n">
        <v>0.8354262</v>
      </c>
      <c r="S141" s="47" t="n">
        <f aca="false">M141+N141+O141</f>
        <v>0.469393</v>
      </c>
      <c r="T141" s="47" t="n">
        <f aca="false">M141+P141</f>
        <v>0.8808937</v>
      </c>
    </row>
    <row r="142" customFormat="false" ht="15" hidden="false" customHeight="false" outlineLevel="0" collapsed="false">
      <c r="A142" s="42" t="s">
        <v>44</v>
      </c>
      <c r="B142" s="42" t="n">
        <v>-18</v>
      </c>
      <c r="C142" s="42" t="n">
        <v>41</v>
      </c>
      <c r="D142" s="42" t="n">
        <v>74270956</v>
      </c>
      <c r="E142" s="43" t="n">
        <v>0.586777097790113</v>
      </c>
      <c r="F142" s="43" t="n">
        <v>0.915022542734371</v>
      </c>
      <c r="G142" s="43" t="n">
        <v>0.778294632408071</v>
      </c>
      <c r="H142" s="43" t="n">
        <v>0.766722462528151</v>
      </c>
      <c r="I142" s="42" t="n">
        <v>1</v>
      </c>
      <c r="J142" s="42" t="n">
        <v>1</v>
      </c>
      <c r="K142" s="44" t="str">
        <f aca="false">IF(AND(I142=1,J142=1),"两者都跟住",IF(AND(I142=0,J142=1),"仅 PC-TBD 跟住",IF(AND(I142=1,J142=0),"仅 VIT-LPS 跟住","都没跟住")))</f>
        <v>两者都跟住</v>
      </c>
      <c r="L142" s="45" t="n">
        <f aca="false">F142-G142</f>
        <v>0.1367279103263</v>
      </c>
      <c r="M142" s="46" t="n">
        <v>0.2569803</v>
      </c>
      <c r="N142" s="46" t="n">
        <v>0.1410799</v>
      </c>
      <c r="O142" s="46" t="n">
        <v>0.1759192</v>
      </c>
      <c r="P142" s="46" t="n">
        <v>0.7929883</v>
      </c>
      <c r="Q142" s="46" t="n">
        <v>3.6455994</v>
      </c>
      <c r="R142" s="46" t="n">
        <v>3.0498323</v>
      </c>
      <c r="S142" s="47" t="n">
        <f aca="false">M142+N142+O142</f>
        <v>0.5739794</v>
      </c>
      <c r="T142" s="47" t="n">
        <f aca="false">M142+P142</f>
        <v>1.0499686</v>
      </c>
    </row>
    <row r="143" customFormat="false" ht="15" hidden="false" customHeight="false" outlineLevel="0" collapsed="false">
      <c r="A143" s="42" t="s">
        <v>44</v>
      </c>
      <c r="B143" s="42" t="n">
        <v>-18</v>
      </c>
      <c r="C143" s="42" t="n">
        <v>42</v>
      </c>
      <c r="D143" s="42" t="n">
        <v>74270957</v>
      </c>
      <c r="E143" s="43" t="n">
        <v>0.739733471694773</v>
      </c>
      <c r="F143" s="43" t="n">
        <v>0.910610333319156</v>
      </c>
      <c r="G143" s="43" t="n">
        <v>0.737532044875005</v>
      </c>
      <c r="H143" s="43" t="n">
        <v>0.770720428811852</v>
      </c>
      <c r="I143" s="42" t="n">
        <v>1</v>
      </c>
      <c r="J143" s="42" t="n">
        <v>1</v>
      </c>
      <c r="K143" s="44" t="str">
        <f aca="false">IF(AND(I143=1,J143=1),"两者都跟住",IF(AND(I143=0,J143=1),"仅 PC-TBD 跟住",IF(AND(I143=1,J143=0),"仅 VIT-LPS 跟住","都没跟住")))</f>
        <v>两者都跟住</v>
      </c>
      <c r="L143" s="45" t="n">
        <f aca="false">F143-G143</f>
        <v>0.173078288444151</v>
      </c>
      <c r="M143" s="46" t="n">
        <v>0.2240137</v>
      </c>
      <c r="N143" s="46" t="n">
        <v>0.1379763</v>
      </c>
      <c r="O143" s="46" t="n">
        <v>0.1877928</v>
      </c>
      <c r="P143" s="46" t="n">
        <v>0.6799927</v>
      </c>
      <c r="Q143" s="46" t="n">
        <v>3.0551288</v>
      </c>
      <c r="R143" s="46" t="n">
        <v>2.7777207</v>
      </c>
      <c r="S143" s="47" t="n">
        <f aca="false">M143+N143+O143</f>
        <v>0.5497828</v>
      </c>
      <c r="T143" s="47" t="n">
        <f aca="false">M143+P143</f>
        <v>0.9040064</v>
      </c>
    </row>
    <row r="144" customFormat="false" ht="15" hidden="false" customHeight="false" outlineLevel="0" collapsed="false">
      <c r="A144" s="42" t="s">
        <v>44</v>
      </c>
      <c r="B144" s="42" t="n">
        <v>-18</v>
      </c>
      <c r="C144" s="42" t="n">
        <v>43</v>
      </c>
      <c r="D144" s="42" t="n">
        <v>74270958</v>
      </c>
      <c r="E144" s="43" t="n">
        <v>0.516565603705468</v>
      </c>
      <c r="F144" s="43" t="n">
        <v>0.889095588260454</v>
      </c>
      <c r="G144" s="43" t="n">
        <v>0.760688750392158</v>
      </c>
      <c r="H144" s="43" t="n">
        <v>0.784558726373525</v>
      </c>
      <c r="I144" s="42" t="n">
        <v>1</v>
      </c>
      <c r="J144" s="42" t="n">
        <v>1</v>
      </c>
      <c r="K144" s="44" t="str">
        <f aca="false">IF(AND(I144=1,J144=1),"两者都跟住",IF(AND(I144=0,J144=1),"仅 PC-TBD 跟住",IF(AND(I144=1,J144=0),"仅 VIT-LPS 跟住","都没跟住")))</f>
        <v>两者都跟住</v>
      </c>
      <c r="L144" s="45" t="n">
        <f aca="false">F144-G144</f>
        <v>0.128406837868296</v>
      </c>
      <c r="M144" s="46" t="n">
        <v>0.2590167</v>
      </c>
      <c r="N144" s="46" t="n">
        <v>0.1411922</v>
      </c>
      <c r="O144" s="46" t="n">
        <v>0.2811024</v>
      </c>
      <c r="P144" s="46" t="n">
        <v>0.5811486</v>
      </c>
      <c r="Q144" s="46" t="n">
        <v>3.8906501</v>
      </c>
      <c r="R144" s="46" t="n">
        <v>2.8486348</v>
      </c>
      <c r="S144" s="47" t="n">
        <f aca="false">M144+N144+O144</f>
        <v>0.6813113</v>
      </c>
      <c r="T144" s="47" t="n">
        <f aca="false">M144+P144</f>
        <v>0.8401653</v>
      </c>
    </row>
    <row r="145" customFormat="false" ht="15" hidden="false" customHeight="false" outlineLevel="0" collapsed="false">
      <c r="A145" s="42" t="s">
        <v>44</v>
      </c>
      <c r="B145" s="42" t="n">
        <v>-18</v>
      </c>
      <c r="C145" s="42" t="n">
        <v>44</v>
      </c>
      <c r="D145" s="42" t="n">
        <v>74270959</v>
      </c>
      <c r="E145" s="43" t="n">
        <v>0.52254188082142</v>
      </c>
      <c r="F145" s="43" t="n">
        <v>0.763331044143034</v>
      </c>
      <c r="G145" s="43" t="n">
        <v>0.872680717817328</v>
      </c>
      <c r="H145" s="43" t="n">
        <v>0.885292460404852</v>
      </c>
      <c r="I145" s="42" t="n">
        <v>1</v>
      </c>
      <c r="J145" s="42" t="n">
        <v>1</v>
      </c>
      <c r="K145" s="44" t="str">
        <f aca="false">IF(AND(I145=1,J145=1),"两者都跟住",IF(AND(I145=0,J145=1),"仅 PC-TBD 跟住",IF(AND(I145=1,J145=0),"仅 VIT-LPS 跟住","都没跟住")))</f>
        <v>两者都跟住</v>
      </c>
      <c r="L145" s="45" t="n">
        <f aca="false">F145-G145</f>
        <v>-0.109349673674294</v>
      </c>
      <c r="M145" s="46" t="n">
        <v>0.2439285</v>
      </c>
      <c r="N145" s="46" t="n">
        <v>0.1309083</v>
      </c>
      <c r="O145" s="46" t="n">
        <v>0.2767983</v>
      </c>
      <c r="P145" s="46" t="n">
        <v>0.7587368</v>
      </c>
      <c r="Q145" s="46" t="n">
        <v>4.2051175</v>
      </c>
      <c r="R145" s="46" t="n">
        <v>3.0309496</v>
      </c>
      <c r="S145" s="47" t="n">
        <f aca="false">M145+N145+O145</f>
        <v>0.6516351</v>
      </c>
      <c r="T145" s="47" t="n">
        <f aca="false">M145+P145</f>
        <v>1.0026653</v>
      </c>
    </row>
    <row r="146" customFormat="false" ht="15" hidden="false" customHeight="false" outlineLevel="0" collapsed="false">
      <c r="A146" s="42" t="s">
        <v>44</v>
      </c>
      <c r="B146" s="42" t="n">
        <v>-18</v>
      </c>
      <c r="C146" s="42" t="n">
        <v>45</v>
      </c>
      <c r="D146" s="42" t="n">
        <v>74270960</v>
      </c>
      <c r="E146" s="43" t="n">
        <v>0.39707784165391</v>
      </c>
      <c r="F146" s="43" t="n">
        <v>0.905974055235609</v>
      </c>
      <c r="G146" s="43" t="n">
        <v>0.759924127049709</v>
      </c>
      <c r="H146" s="43" t="n">
        <v>0.784188004961617</v>
      </c>
      <c r="I146" s="42" t="n">
        <v>1</v>
      </c>
      <c r="J146" s="42" t="n">
        <v>1</v>
      </c>
      <c r="K146" s="44" t="str">
        <f aca="false">IF(AND(I146=1,J146=1),"两者都跟住",IF(AND(I146=0,J146=1),"仅 PC-TBD 跟住",IF(AND(I146=1,J146=0),"仅 VIT-LPS 跟住","都没跟住")))</f>
        <v>两者都跟住</v>
      </c>
      <c r="L146" s="45" t="n">
        <f aca="false">F146-G146</f>
        <v>0.1460499281859</v>
      </c>
      <c r="M146" s="46" t="n">
        <v>0.2641894</v>
      </c>
      <c r="N146" s="46" t="n">
        <v>0.1402988</v>
      </c>
      <c r="O146" s="46" t="n">
        <v>0.4892473</v>
      </c>
      <c r="P146" s="46" t="n">
        <v>0.7791397</v>
      </c>
      <c r="Q146" s="46" t="n">
        <v>4.0287166</v>
      </c>
      <c r="R146" s="46" t="n">
        <v>3.2754264</v>
      </c>
      <c r="S146" s="47" t="n">
        <f aca="false">M146+N146+O146</f>
        <v>0.8937355</v>
      </c>
      <c r="T146" s="47" t="n">
        <f aca="false">M146+P146</f>
        <v>1.0433291</v>
      </c>
    </row>
    <row r="147" customFormat="false" ht="15" hidden="false" customHeight="false" outlineLevel="0" collapsed="false">
      <c r="A147" s="42" t="s">
        <v>44</v>
      </c>
      <c r="B147" s="42" t="n">
        <v>-18</v>
      </c>
      <c r="C147" s="42" t="n">
        <v>46</v>
      </c>
      <c r="D147" s="42" t="n">
        <v>74270961</v>
      </c>
      <c r="E147" s="43" t="n">
        <v>0.441829105129509</v>
      </c>
      <c r="F147" s="43" t="n">
        <v>0.608686789201164</v>
      </c>
      <c r="G147" s="43" t="n">
        <v>0.666111874888838</v>
      </c>
      <c r="H147" s="43" t="n">
        <v>0.655595335354314</v>
      </c>
      <c r="I147" s="42" t="n">
        <v>1</v>
      </c>
      <c r="J147" s="42" t="n">
        <v>1</v>
      </c>
      <c r="K147" s="44" t="str">
        <f aca="false">IF(AND(I147=1,J147=1),"两者都跟住",IF(AND(I147=0,J147=1),"仅 PC-TBD 跟住",IF(AND(I147=1,J147=0),"仅 VIT-LPS 跟住","都没跟住")))</f>
        <v>两者都跟住</v>
      </c>
      <c r="L147" s="45" t="n">
        <f aca="false">F147-G147</f>
        <v>-0.057425085687674</v>
      </c>
      <c r="M147" s="46" t="n">
        <v>0.2769105</v>
      </c>
      <c r="N147" s="46" t="n">
        <v>0.1057149</v>
      </c>
      <c r="O147" s="46" t="n">
        <v>0.4292519</v>
      </c>
      <c r="P147" s="46" t="n">
        <v>0.7605022</v>
      </c>
      <c r="Q147" s="46" t="n">
        <v>3.2874869</v>
      </c>
      <c r="R147" s="46" t="n">
        <v>2.7472641</v>
      </c>
      <c r="S147" s="47" t="n">
        <f aca="false">M147+N147+O147</f>
        <v>0.8118773</v>
      </c>
      <c r="T147" s="47" t="n">
        <f aca="false">M147+P147</f>
        <v>1.0374127</v>
      </c>
    </row>
    <row r="148" customFormat="false" ht="15" hidden="false" customHeight="false" outlineLevel="0" collapsed="false">
      <c r="A148" s="42" t="s">
        <v>44</v>
      </c>
      <c r="B148" s="42" t="n">
        <v>-18</v>
      </c>
      <c r="C148" s="42" t="n">
        <v>47</v>
      </c>
      <c r="D148" s="42" t="n">
        <v>74270962</v>
      </c>
      <c r="E148" s="43" t="n">
        <v>0.2233889695346</v>
      </c>
      <c r="F148" s="43" t="n">
        <v>0.723909296070935</v>
      </c>
      <c r="G148" s="43" t="n">
        <v>0.870035897540253</v>
      </c>
      <c r="H148" s="43" t="n">
        <v>0.886989127761775</v>
      </c>
      <c r="I148" s="42" t="n">
        <v>1</v>
      </c>
      <c r="J148" s="42" t="n">
        <v>1</v>
      </c>
      <c r="K148" s="44" t="str">
        <f aca="false">IF(AND(I148=1,J148=1),"两者都跟住",IF(AND(I148=0,J148=1),"仅 PC-TBD 跟住",IF(AND(I148=1,J148=0),"仅 VIT-LPS 跟住","都没跟住")))</f>
        <v>两者都跟住</v>
      </c>
      <c r="L148" s="45" t="n">
        <f aca="false">F148-G148</f>
        <v>-0.146126601469318</v>
      </c>
      <c r="M148" s="46" t="n">
        <v>0.2021017</v>
      </c>
      <c r="N148" s="46" t="n">
        <v>0.1387788</v>
      </c>
      <c r="O148" s="46" t="n">
        <v>0.2310183</v>
      </c>
      <c r="P148" s="46" t="n">
        <v>0.5238786</v>
      </c>
      <c r="Q148" s="46" t="n">
        <v>2.7151439</v>
      </c>
      <c r="R148" s="46" t="n">
        <v>2.2341203</v>
      </c>
      <c r="S148" s="47" t="n">
        <f aca="false">M148+N148+O148</f>
        <v>0.5718988</v>
      </c>
      <c r="T148" s="47" t="n">
        <f aca="false">M148+P148</f>
        <v>0.7259803</v>
      </c>
    </row>
    <row r="149" customFormat="false" ht="15" hidden="false" customHeight="false" outlineLevel="0" collapsed="false">
      <c r="A149" s="42" t="s">
        <v>44</v>
      </c>
      <c r="B149" s="42" t="n">
        <v>-18</v>
      </c>
      <c r="C149" s="42" t="n">
        <v>48</v>
      </c>
      <c r="D149" s="42" t="n">
        <v>74270963</v>
      </c>
      <c r="E149" s="43" t="n">
        <v>0.011698506131534</v>
      </c>
      <c r="F149" s="43" t="n">
        <v>0.0118154404479759</v>
      </c>
      <c r="G149" s="43" t="n">
        <v>0.917496843585551</v>
      </c>
      <c r="H149" s="43" t="n">
        <v>0.913347687329957</v>
      </c>
      <c r="I149" s="42" t="n">
        <v>0</v>
      </c>
      <c r="J149" s="42" t="n">
        <v>1</v>
      </c>
      <c r="K149" s="44" t="str">
        <f aca="false">IF(AND(I149=1,J149=1),"两者都跟住",IF(AND(I149=0,J149=1),"仅 PC-TBD 跟住",IF(AND(I149=1,J149=0),"仅 VIT-LPS 跟住","都没跟住")))</f>
        <v>仅 PC-TBD 跟住</v>
      </c>
      <c r="L149" s="45" t="n">
        <f aca="false">F149-G149</f>
        <v>-0.905681403137575</v>
      </c>
      <c r="M149" s="46" t="n">
        <v>0.1864984</v>
      </c>
      <c r="N149" s="46" t="n">
        <v>0.1296943</v>
      </c>
      <c r="O149" s="46" t="n">
        <v>0.3745395</v>
      </c>
      <c r="P149" s="46" t="n">
        <v>0.8553364</v>
      </c>
      <c r="Q149" s="46" t="n">
        <v>6.6771616</v>
      </c>
      <c r="R149" s="46" t="n">
        <v>2.1826995</v>
      </c>
      <c r="S149" s="47" t="n">
        <f aca="false">M149+N149+O149</f>
        <v>0.6907322</v>
      </c>
      <c r="T149" s="47" t="n">
        <f aca="false">M149+P149</f>
        <v>1.0418348</v>
      </c>
    </row>
    <row r="150" customFormat="false" ht="15" hidden="false" customHeight="false" outlineLevel="0" collapsed="false">
      <c r="A150" s="42" t="s">
        <v>44</v>
      </c>
      <c r="B150" s="42" t="n">
        <v>-18</v>
      </c>
      <c r="C150" s="42" t="n">
        <v>49</v>
      </c>
      <c r="D150" s="42" t="n">
        <v>74270964</v>
      </c>
      <c r="E150" s="43" t="n">
        <v>0.509230959966967</v>
      </c>
      <c r="F150" s="43" t="n">
        <v>0.80214347826566</v>
      </c>
      <c r="G150" s="43" t="n">
        <v>0.663423045931118</v>
      </c>
      <c r="H150" s="43" t="n">
        <v>0.667030481206776</v>
      </c>
      <c r="I150" s="42" t="n">
        <v>1</v>
      </c>
      <c r="J150" s="42" t="n">
        <v>1</v>
      </c>
      <c r="K150" s="44" t="str">
        <f aca="false">IF(AND(I150=1,J150=1),"两者都跟住",IF(AND(I150=0,J150=1),"仅 PC-TBD 跟住",IF(AND(I150=1,J150=0),"仅 VIT-LPS 跟住","都没跟住")))</f>
        <v>两者都跟住</v>
      </c>
      <c r="L150" s="45" t="n">
        <f aca="false">F150-G150</f>
        <v>0.138720432334542</v>
      </c>
      <c r="M150" s="46" t="n">
        <v>0.2082679</v>
      </c>
      <c r="N150" s="46" t="n">
        <v>0.1662694</v>
      </c>
      <c r="O150" s="46" t="n">
        <v>0.3506758</v>
      </c>
      <c r="P150" s="46" t="n">
        <v>0.5381861</v>
      </c>
      <c r="Q150" s="46" t="n">
        <v>2.2550864</v>
      </c>
      <c r="R150" s="46" t="n">
        <v>2.401869</v>
      </c>
      <c r="S150" s="47" t="n">
        <f aca="false">M150+N150+O150</f>
        <v>0.7252131</v>
      </c>
      <c r="T150" s="47" t="n">
        <f aca="false">M150+P150</f>
        <v>0.746454</v>
      </c>
    </row>
    <row r="151" customFormat="false" ht="15" hidden="false" customHeight="false" outlineLevel="0" collapsed="false">
      <c r="A151" s="42" t="s">
        <v>44</v>
      </c>
      <c r="B151" s="42" t="n">
        <v>-18</v>
      </c>
      <c r="C151" s="42" t="n">
        <v>50</v>
      </c>
      <c r="D151" s="42" t="n">
        <v>74270965</v>
      </c>
      <c r="E151" s="43" t="n">
        <v>0.273390966847856</v>
      </c>
      <c r="F151" s="43" t="n">
        <v>0.662168650813235</v>
      </c>
      <c r="G151" s="43" t="n">
        <v>0.672555240508867</v>
      </c>
      <c r="H151" s="43" t="n">
        <v>0.697200956056919</v>
      </c>
      <c r="I151" s="42" t="n">
        <v>1</v>
      </c>
      <c r="J151" s="42" t="n">
        <v>1</v>
      </c>
      <c r="K151" s="44" t="str">
        <f aca="false">IF(AND(I151=1,J151=1),"两者都跟住",IF(AND(I151=0,J151=1),"仅 PC-TBD 跟住",IF(AND(I151=1,J151=0),"仅 VIT-LPS 跟住","都没跟住")))</f>
        <v>两者都跟住</v>
      </c>
      <c r="L151" s="45" t="n">
        <f aca="false">F151-G151</f>
        <v>-0.010386589695632</v>
      </c>
      <c r="M151" s="46" t="n">
        <v>0.1718409</v>
      </c>
      <c r="N151" s="46" t="n">
        <v>0.0985203</v>
      </c>
      <c r="O151" s="46" t="n">
        <v>0.2075108</v>
      </c>
      <c r="P151" s="46" t="n">
        <v>0.6494578</v>
      </c>
      <c r="Q151" s="46" t="n">
        <v>5.7845266</v>
      </c>
      <c r="R151" s="46" t="n">
        <v>1.4299065</v>
      </c>
      <c r="S151" s="47" t="n">
        <f aca="false">M151+N151+O151</f>
        <v>0.477872</v>
      </c>
      <c r="T151" s="47" t="n">
        <f aca="false">M151+P151</f>
        <v>0.8212987</v>
      </c>
    </row>
    <row r="152" customFormat="false" ht="15" hidden="false" customHeight="false" outlineLevel="0" collapsed="false">
      <c r="A152" s="42" t="s">
        <v>44</v>
      </c>
      <c r="B152" s="42" t="n">
        <v>-18</v>
      </c>
      <c r="C152" s="42" t="n">
        <v>51</v>
      </c>
      <c r="D152" s="42" t="n">
        <v>74270966</v>
      </c>
      <c r="E152" s="43" t="n">
        <v>0.624488762097574</v>
      </c>
      <c r="F152" s="43" t="n">
        <v>0.934109299621819</v>
      </c>
      <c r="G152" s="43" t="n">
        <v>0.622190278726996</v>
      </c>
      <c r="H152" s="43" t="n">
        <v>0.638626861837404</v>
      </c>
      <c r="I152" s="42" t="n">
        <v>1</v>
      </c>
      <c r="J152" s="42" t="n">
        <v>1</v>
      </c>
      <c r="K152" s="44" t="str">
        <f aca="false">IF(AND(I152=1,J152=1),"两者都跟住",IF(AND(I152=0,J152=1),"仅 PC-TBD 跟住",IF(AND(I152=1,J152=0),"仅 VIT-LPS 跟住","都没跟住")))</f>
        <v>两者都跟住</v>
      </c>
      <c r="L152" s="45" t="n">
        <f aca="false">F152-G152</f>
        <v>0.311919020894823</v>
      </c>
      <c r="M152" s="46" t="n">
        <v>0.2985249</v>
      </c>
      <c r="N152" s="46" t="n">
        <v>0.1298783</v>
      </c>
      <c r="O152" s="46" t="n">
        <v>0.2252464</v>
      </c>
      <c r="P152" s="46" t="n">
        <v>0.5704231</v>
      </c>
      <c r="Q152" s="46" t="n">
        <v>3.3944051</v>
      </c>
      <c r="R152" s="46" t="n">
        <v>3.1075183</v>
      </c>
      <c r="S152" s="47" t="n">
        <f aca="false">M152+N152+O152</f>
        <v>0.6536496</v>
      </c>
      <c r="T152" s="47" t="n">
        <f aca="false">M152+P152</f>
        <v>0.868948</v>
      </c>
    </row>
    <row r="153" customFormat="false" ht="15" hidden="false" customHeight="false" outlineLevel="0" collapsed="false">
      <c r="A153" s="42" t="s">
        <v>44</v>
      </c>
      <c r="B153" s="42" t="n">
        <v>-18</v>
      </c>
      <c r="C153" s="42" t="n">
        <v>52</v>
      </c>
      <c r="D153" s="42" t="n">
        <v>74270967</v>
      </c>
      <c r="E153" s="43" t="n">
        <v>0.577944870125789</v>
      </c>
      <c r="F153" s="43" t="n">
        <v>0.880411924672104</v>
      </c>
      <c r="G153" s="43" t="n">
        <v>0.535160791908663</v>
      </c>
      <c r="H153" s="43" t="n">
        <v>0.560686152060823</v>
      </c>
      <c r="I153" s="42" t="n">
        <v>1</v>
      </c>
      <c r="J153" s="42" t="n">
        <v>1</v>
      </c>
      <c r="K153" s="44" t="str">
        <f aca="false">IF(AND(I153=1,J153=1),"两者都跟住",IF(AND(I153=0,J153=1),"仅 PC-TBD 跟住",IF(AND(I153=1,J153=0),"仅 VIT-LPS 跟住","都没跟住")))</f>
        <v>两者都跟住</v>
      </c>
      <c r="L153" s="45" t="n">
        <f aca="false">F153-G153</f>
        <v>0.345251132763441</v>
      </c>
      <c r="M153" s="46" t="n">
        <v>0.278192</v>
      </c>
      <c r="N153" s="46" t="n">
        <v>0.1168762</v>
      </c>
      <c r="O153" s="46" t="n">
        <v>0.2002365</v>
      </c>
      <c r="P153" s="46" t="n">
        <v>0.5683878</v>
      </c>
      <c r="Q153" s="46" t="n">
        <v>3.5309768</v>
      </c>
      <c r="R153" s="46" t="n">
        <v>3.1143216</v>
      </c>
      <c r="S153" s="47" t="n">
        <f aca="false">M153+N153+O153</f>
        <v>0.5953047</v>
      </c>
      <c r="T153" s="47" t="n">
        <f aca="false">M153+P153</f>
        <v>0.8465798</v>
      </c>
    </row>
    <row r="154" customFormat="false" ht="15" hidden="false" customHeight="false" outlineLevel="0" collapsed="false">
      <c r="A154" s="42" t="s">
        <v>44</v>
      </c>
      <c r="B154" s="42" t="n">
        <v>-18</v>
      </c>
      <c r="C154" s="42" t="n">
        <v>53</v>
      </c>
      <c r="D154" s="42" t="n">
        <v>74270968</v>
      </c>
      <c r="E154" s="43" t="n">
        <v>0.29897168424772</v>
      </c>
      <c r="F154" s="43" t="n">
        <v>0.854210272237808</v>
      </c>
      <c r="G154" s="43" t="n">
        <v>0.776483316027498</v>
      </c>
      <c r="H154" s="43" t="n">
        <v>0.795291161658551</v>
      </c>
      <c r="I154" s="42" t="n">
        <v>1</v>
      </c>
      <c r="J154" s="42" t="n">
        <v>1</v>
      </c>
      <c r="K154" s="44" t="str">
        <f aca="false">IF(AND(I154=1,J154=1),"两者都跟住",IF(AND(I154=0,J154=1),"仅 PC-TBD 跟住",IF(AND(I154=1,J154=0),"仅 VIT-LPS 跟住","都没跟住")))</f>
        <v>两者都跟住</v>
      </c>
      <c r="L154" s="45" t="n">
        <f aca="false">F154-G154</f>
        <v>0.07772695621031</v>
      </c>
      <c r="M154" s="46" t="n">
        <v>0.2444535</v>
      </c>
      <c r="N154" s="46" t="n">
        <v>0.1532789</v>
      </c>
      <c r="O154" s="46" t="n">
        <v>0.2488609</v>
      </c>
      <c r="P154" s="46" t="n">
        <v>0.5891486</v>
      </c>
      <c r="Q154" s="46" t="n">
        <v>3.566711</v>
      </c>
      <c r="R154" s="46" t="n">
        <v>3.2720029</v>
      </c>
      <c r="S154" s="47" t="n">
        <f aca="false">M154+N154+O154</f>
        <v>0.6465933</v>
      </c>
      <c r="T154" s="47" t="n">
        <f aca="false">M154+P154</f>
        <v>0.8336021</v>
      </c>
    </row>
    <row r="155" customFormat="false" ht="15" hidden="false" customHeight="false" outlineLevel="0" collapsed="false">
      <c r="A155" s="42" t="s">
        <v>44</v>
      </c>
      <c r="B155" s="42" t="n">
        <v>-18</v>
      </c>
      <c r="C155" s="42" t="n">
        <v>54</v>
      </c>
      <c r="D155" s="42" t="n">
        <v>74270969</v>
      </c>
      <c r="E155" s="43" t="n">
        <v>0.0142871231426943</v>
      </c>
      <c r="F155" s="43" t="n">
        <v>0.0223052015612004</v>
      </c>
      <c r="G155" s="43" t="n">
        <v>0.493439718163324</v>
      </c>
      <c r="H155" s="43" t="n">
        <v>0.538321625262607</v>
      </c>
      <c r="I155" s="42" t="n">
        <v>0</v>
      </c>
      <c r="J155" s="42" t="n">
        <v>1</v>
      </c>
      <c r="K155" s="44" t="str">
        <f aca="false">IF(AND(I155=1,J155=1),"两者都跟住",IF(AND(I155=0,J155=1),"仅 PC-TBD 跟住",IF(AND(I155=1,J155=0),"仅 VIT-LPS 跟住","都没跟住")))</f>
        <v>仅 PC-TBD 跟住</v>
      </c>
      <c r="L155" s="45" t="n">
        <f aca="false">F155-G155</f>
        <v>-0.471134516602124</v>
      </c>
      <c r="M155" s="46" t="n">
        <v>0.2460169</v>
      </c>
      <c r="N155" s="46" t="n">
        <v>0.1536297</v>
      </c>
      <c r="O155" s="46" t="n">
        <v>0.3152048</v>
      </c>
      <c r="P155" s="46" t="n">
        <v>0.5562494</v>
      </c>
      <c r="Q155" s="46" t="n">
        <v>9.1803846</v>
      </c>
      <c r="R155" s="46" t="n">
        <v>2.8449136</v>
      </c>
      <c r="S155" s="47" t="n">
        <f aca="false">M155+N155+O155</f>
        <v>0.7148514</v>
      </c>
      <c r="T155" s="47" t="n">
        <f aca="false">M155+P155</f>
        <v>0.8022663</v>
      </c>
    </row>
    <row r="156" customFormat="false" ht="15" hidden="false" customHeight="false" outlineLevel="0" collapsed="false">
      <c r="A156" s="42" t="s">
        <v>44</v>
      </c>
      <c r="B156" s="42" t="n">
        <v>-18</v>
      </c>
      <c r="C156" s="42" t="n">
        <v>55</v>
      </c>
      <c r="D156" s="42" t="n">
        <v>74270970</v>
      </c>
      <c r="E156" s="43" t="n">
        <v>0.537693018694456</v>
      </c>
      <c r="F156" s="43" t="n">
        <v>0.857754466227881</v>
      </c>
      <c r="G156" s="43" t="n">
        <v>0.660754397134632</v>
      </c>
      <c r="H156" s="43" t="n">
        <v>0.670610235454101</v>
      </c>
      <c r="I156" s="42" t="n">
        <v>1</v>
      </c>
      <c r="J156" s="42" t="n">
        <v>1</v>
      </c>
      <c r="K156" s="44" t="str">
        <f aca="false">IF(AND(I156=1,J156=1),"两者都跟住",IF(AND(I156=0,J156=1),"仅 PC-TBD 跟住",IF(AND(I156=1,J156=0),"仅 VIT-LPS 跟住","都没跟住")))</f>
        <v>两者都跟住</v>
      </c>
      <c r="L156" s="45" t="n">
        <f aca="false">F156-G156</f>
        <v>0.197000069093249</v>
      </c>
      <c r="M156" s="46" t="n">
        <v>0.2631309</v>
      </c>
      <c r="N156" s="46" t="n">
        <v>0.1115856</v>
      </c>
      <c r="O156" s="46" t="n">
        <v>0.2702948</v>
      </c>
      <c r="P156" s="46" t="n">
        <v>0.6359368</v>
      </c>
      <c r="Q156" s="46" t="n">
        <v>3.4232294</v>
      </c>
      <c r="R156" s="46" t="n">
        <v>3.7566885</v>
      </c>
      <c r="S156" s="47" t="n">
        <f aca="false">M156+N156+O156</f>
        <v>0.6450113</v>
      </c>
      <c r="T156" s="47" t="n">
        <f aca="false">M156+P156</f>
        <v>0.8990677</v>
      </c>
    </row>
    <row r="157" customFormat="false" ht="15" hidden="false" customHeight="false" outlineLevel="0" collapsed="false">
      <c r="A157" s="42" t="s">
        <v>44</v>
      </c>
      <c r="B157" s="42" t="n">
        <v>-18</v>
      </c>
      <c r="C157" s="42" t="n">
        <v>56</v>
      </c>
      <c r="D157" s="42" t="n">
        <v>74270971</v>
      </c>
      <c r="E157" s="43" t="n">
        <v>0.632155903191723</v>
      </c>
      <c r="F157" s="43" t="n">
        <v>0.85737864645235</v>
      </c>
      <c r="G157" s="43" t="n">
        <v>0.875624807604191</v>
      </c>
      <c r="H157" s="43" t="n">
        <v>0.857180306354796</v>
      </c>
      <c r="I157" s="42" t="n">
        <v>1</v>
      </c>
      <c r="J157" s="42" t="n">
        <v>1</v>
      </c>
      <c r="K157" s="44" t="str">
        <f aca="false">IF(AND(I157=1,J157=1),"两者都跟住",IF(AND(I157=0,J157=1),"仅 PC-TBD 跟住",IF(AND(I157=1,J157=0),"仅 VIT-LPS 跟住","都没跟住")))</f>
        <v>两者都跟住</v>
      </c>
      <c r="L157" s="45" t="n">
        <f aca="false">F157-G157</f>
        <v>-0.0182461611518411</v>
      </c>
      <c r="M157" s="46" t="n">
        <v>0.2778348</v>
      </c>
      <c r="N157" s="46" t="n">
        <v>0.1085197</v>
      </c>
      <c r="O157" s="46" t="n">
        <v>0.2510173</v>
      </c>
      <c r="P157" s="46" t="n">
        <v>0.5545634</v>
      </c>
      <c r="Q157" s="46" t="n">
        <v>3.5381608</v>
      </c>
      <c r="R157" s="46" t="n">
        <v>2.6086824</v>
      </c>
      <c r="S157" s="47" t="n">
        <f aca="false">M157+N157+O157</f>
        <v>0.6373718</v>
      </c>
      <c r="T157" s="47" t="n">
        <f aca="false">M157+P157</f>
        <v>0.8323982</v>
      </c>
    </row>
    <row r="158" customFormat="false" ht="15" hidden="false" customHeight="false" outlineLevel="0" collapsed="false">
      <c r="A158" s="42" t="s">
        <v>44</v>
      </c>
      <c r="B158" s="42" t="n">
        <v>-18</v>
      </c>
      <c r="C158" s="42" t="n">
        <v>57</v>
      </c>
      <c r="D158" s="42" t="n">
        <v>74270972</v>
      </c>
      <c r="E158" s="43" t="n">
        <v>0.500323117037698</v>
      </c>
      <c r="F158" s="43" t="n">
        <v>0.836507294641817</v>
      </c>
      <c r="G158" s="43" t="n">
        <v>0.815289690205957</v>
      </c>
      <c r="H158" s="43" t="n">
        <v>0.824337952842466</v>
      </c>
      <c r="I158" s="42" t="n">
        <v>1</v>
      </c>
      <c r="J158" s="42" t="n">
        <v>1</v>
      </c>
      <c r="K158" s="44" t="str">
        <f aca="false">IF(AND(I158=1,J158=1),"两者都跟住",IF(AND(I158=0,J158=1),"仅 PC-TBD 跟住",IF(AND(I158=1,J158=0),"仅 VIT-LPS 跟住","都没跟住")))</f>
        <v>两者都跟住</v>
      </c>
      <c r="L158" s="45" t="n">
        <f aca="false">F158-G158</f>
        <v>0.02121760443586</v>
      </c>
      <c r="M158" s="46" t="n">
        <v>0.1971632</v>
      </c>
      <c r="N158" s="46" t="n">
        <v>0.1224664</v>
      </c>
      <c r="O158" s="46" t="n">
        <v>0.2891334</v>
      </c>
      <c r="P158" s="46" t="n">
        <v>0.7199778</v>
      </c>
      <c r="Q158" s="46" t="n">
        <v>2.3171749</v>
      </c>
      <c r="R158" s="46" t="n">
        <v>1.5757536</v>
      </c>
      <c r="S158" s="47" t="n">
        <f aca="false">M158+N158+O158</f>
        <v>0.608763</v>
      </c>
      <c r="T158" s="47" t="n">
        <f aca="false">M158+P158</f>
        <v>0.917141</v>
      </c>
    </row>
    <row r="159" customFormat="false" ht="15" hidden="false" customHeight="false" outlineLevel="0" collapsed="false">
      <c r="A159" s="42" t="s">
        <v>44</v>
      </c>
      <c r="B159" s="42" t="n">
        <v>-18</v>
      </c>
      <c r="C159" s="42" t="n">
        <v>58</v>
      </c>
      <c r="D159" s="42" t="n">
        <v>74270973</v>
      </c>
      <c r="E159" s="43" t="n">
        <v>0.471292303470607</v>
      </c>
      <c r="F159" s="43" t="n">
        <v>0.900874920827778</v>
      </c>
      <c r="G159" s="43" t="n">
        <v>0.9155196618807</v>
      </c>
      <c r="H159" s="43" t="n">
        <v>0.889529777369239</v>
      </c>
      <c r="I159" s="42" t="n">
        <v>1</v>
      </c>
      <c r="J159" s="42" t="n">
        <v>1</v>
      </c>
      <c r="K159" s="44" t="str">
        <f aca="false">IF(AND(I159=1,J159=1),"两者都跟住",IF(AND(I159=0,J159=1),"仅 PC-TBD 跟住",IF(AND(I159=1,J159=0),"仅 VIT-LPS 跟住","都没跟住")))</f>
        <v>两者都跟住</v>
      </c>
      <c r="L159" s="45" t="n">
        <f aca="false">F159-G159</f>
        <v>-0.014644741052922</v>
      </c>
      <c r="M159" s="46" t="n">
        <v>0.1604742</v>
      </c>
      <c r="N159" s="46" t="n">
        <v>0.1270936</v>
      </c>
      <c r="O159" s="46" t="n">
        <v>0.2082281</v>
      </c>
      <c r="P159" s="46" t="n">
        <v>0.6288693</v>
      </c>
      <c r="Q159" s="46" t="n">
        <v>2.640512</v>
      </c>
      <c r="R159" s="46" t="n">
        <v>2.1685585</v>
      </c>
      <c r="S159" s="47" t="n">
        <f aca="false">M159+N159+O159</f>
        <v>0.4957959</v>
      </c>
      <c r="T159" s="47" t="n">
        <f aca="false">M159+P159</f>
        <v>0.7893435</v>
      </c>
    </row>
    <row r="160" customFormat="false" ht="15" hidden="false" customHeight="false" outlineLevel="0" collapsed="false">
      <c r="A160" s="42" t="s">
        <v>44</v>
      </c>
      <c r="B160" s="42" t="n">
        <v>-18</v>
      </c>
      <c r="C160" s="42" t="n">
        <v>59</v>
      </c>
      <c r="D160" s="42" t="n">
        <v>74270974</v>
      </c>
      <c r="E160" s="43" t="n">
        <v>0.255100634931331</v>
      </c>
      <c r="F160" s="43" t="n">
        <v>0.913966248445398</v>
      </c>
      <c r="G160" s="43" t="n">
        <v>0.792834465068992</v>
      </c>
      <c r="H160" s="43" t="n">
        <v>0.808465262169558</v>
      </c>
      <c r="I160" s="42" t="n">
        <v>1</v>
      </c>
      <c r="J160" s="42" t="n">
        <v>1</v>
      </c>
      <c r="K160" s="44" t="str">
        <f aca="false">IF(AND(I160=1,J160=1),"两者都跟住",IF(AND(I160=0,J160=1),"仅 PC-TBD 跟住",IF(AND(I160=1,J160=0),"仅 VIT-LPS 跟住","都没跟住")))</f>
        <v>两者都跟住</v>
      </c>
      <c r="L160" s="45" t="n">
        <f aca="false">F160-G160</f>
        <v>0.121131783376406</v>
      </c>
      <c r="M160" s="46" t="n">
        <v>0.2400017</v>
      </c>
      <c r="N160" s="46" t="n">
        <v>0.1365454</v>
      </c>
      <c r="O160" s="46" t="n">
        <v>0.2523047</v>
      </c>
      <c r="P160" s="46" t="n">
        <v>0.6198742</v>
      </c>
      <c r="Q160" s="46" t="n">
        <v>5.7503971</v>
      </c>
      <c r="R160" s="46" t="n">
        <v>2.183598</v>
      </c>
      <c r="S160" s="47" t="n">
        <f aca="false">M160+N160+O160</f>
        <v>0.6288518</v>
      </c>
      <c r="T160" s="47" t="n">
        <f aca="false">M160+P160</f>
        <v>0.8598759</v>
      </c>
    </row>
    <row r="161" customFormat="false" ht="15" hidden="false" customHeight="false" outlineLevel="0" collapsed="false">
      <c r="A161" s="42" t="s">
        <v>44</v>
      </c>
      <c r="B161" s="42" t="n">
        <v>-18</v>
      </c>
      <c r="C161" s="42" t="n">
        <v>60</v>
      </c>
      <c r="D161" s="42" t="n">
        <v>74270975</v>
      </c>
      <c r="E161" s="43" t="n">
        <v>0.356355840893946</v>
      </c>
      <c r="F161" s="43" t="n">
        <v>0.84904523465069</v>
      </c>
      <c r="G161" s="43" t="n">
        <v>0.743782041301488</v>
      </c>
      <c r="H161" s="43" t="n">
        <v>0.770330207768348</v>
      </c>
      <c r="I161" s="42" t="n">
        <v>1</v>
      </c>
      <c r="J161" s="42" t="n">
        <v>1</v>
      </c>
      <c r="K161" s="44" t="str">
        <f aca="false">IF(AND(I161=1,J161=1),"两者都跟住",IF(AND(I161=0,J161=1),"仅 PC-TBD 跟住",IF(AND(I161=1,J161=0),"仅 VIT-LPS 跟住","都没跟住")))</f>
        <v>两者都跟住</v>
      </c>
      <c r="L161" s="45" t="n">
        <f aca="false">F161-G161</f>
        <v>0.105263193349202</v>
      </c>
      <c r="M161" s="46" t="n">
        <v>0.2147059</v>
      </c>
      <c r="N161" s="46" t="n">
        <v>0.0761329</v>
      </c>
      <c r="O161" s="46" t="n">
        <v>0.2527839</v>
      </c>
      <c r="P161" s="46" t="n">
        <v>0.5561658</v>
      </c>
      <c r="Q161" s="46" t="n">
        <v>2.5530669</v>
      </c>
      <c r="R161" s="46" t="n">
        <v>1.3928189</v>
      </c>
      <c r="S161" s="47" t="n">
        <f aca="false">M161+N161+O161</f>
        <v>0.5436227</v>
      </c>
      <c r="T161" s="47" t="n">
        <f aca="false">M161+P161</f>
        <v>0.7708717</v>
      </c>
    </row>
    <row r="162" customFormat="false" ht="15" hidden="false" customHeight="false" outlineLevel="0" collapsed="false">
      <c r="A162" s="42" t="s">
        <v>44</v>
      </c>
      <c r="B162" s="42" t="n">
        <v>-18</v>
      </c>
      <c r="C162" s="42" t="n">
        <v>61</v>
      </c>
      <c r="D162" s="42" t="n">
        <v>74270976</v>
      </c>
      <c r="E162" s="43" t="n">
        <v>0.547388238542769</v>
      </c>
      <c r="F162" s="43" t="n">
        <v>0.929532991291853</v>
      </c>
      <c r="G162" s="43" t="n">
        <v>0.928256798949174</v>
      </c>
      <c r="H162" s="43" t="n">
        <v>0.920492827706604</v>
      </c>
      <c r="I162" s="42" t="n">
        <v>1</v>
      </c>
      <c r="J162" s="42" t="n">
        <v>1</v>
      </c>
      <c r="K162" s="44" t="str">
        <f aca="false">IF(AND(I162=1,J162=1),"两者都跟住",IF(AND(I162=0,J162=1),"仅 PC-TBD 跟住",IF(AND(I162=1,J162=0),"仅 VIT-LPS 跟住","都没跟住")))</f>
        <v>两者都跟住</v>
      </c>
      <c r="L162" s="45" t="n">
        <f aca="false">F162-G162</f>
        <v>0.00127619234267895</v>
      </c>
      <c r="M162" s="46" t="n">
        <v>0.3500625</v>
      </c>
      <c r="N162" s="46" t="n">
        <v>0.1577194</v>
      </c>
      <c r="O162" s="46" t="n">
        <v>0.272584</v>
      </c>
      <c r="P162" s="46" t="n">
        <v>0.6236745</v>
      </c>
      <c r="Q162" s="46" t="n">
        <v>3.1033223</v>
      </c>
      <c r="R162" s="46" t="n">
        <v>2.3805036</v>
      </c>
      <c r="S162" s="47" t="n">
        <f aca="false">M162+N162+O162</f>
        <v>0.7803659</v>
      </c>
      <c r="T162" s="47" t="n">
        <f aca="false">M162+P162</f>
        <v>0.973737</v>
      </c>
    </row>
    <row r="163" customFormat="false" ht="15" hidden="false" customHeight="false" outlineLevel="0" collapsed="false">
      <c r="A163" s="42" t="s">
        <v>44</v>
      </c>
      <c r="B163" s="42" t="n">
        <v>-18</v>
      </c>
      <c r="C163" s="42" t="n">
        <v>62</v>
      </c>
      <c r="D163" s="42" t="n">
        <v>74270977</v>
      </c>
      <c r="E163" s="43" t="n">
        <v>0.371509232579889</v>
      </c>
      <c r="F163" s="43" t="n">
        <v>0.901779506241002</v>
      </c>
      <c r="G163" s="43" t="n">
        <v>0.858225648289495</v>
      </c>
      <c r="H163" s="43" t="n">
        <v>0.873703706049412</v>
      </c>
      <c r="I163" s="42" t="n">
        <v>1</v>
      </c>
      <c r="J163" s="42" t="n">
        <v>1</v>
      </c>
      <c r="K163" s="44" t="str">
        <f aca="false">IF(AND(I163=1,J163=1),"两者都跟住",IF(AND(I163=0,J163=1),"仅 PC-TBD 跟住",IF(AND(I163=1,J163=0),"仅 VIT-LPS 跟住","都没跟住")))</f>
        <v>两者都跟住</v>
      </c>
      <c r="L163" s="45" t="n">
        <f aca="false">F163-G163</f>
        <v>0.043553857951507</v>
      </c>
      <c r="M163" s="46" t="n">
        <v>0.3145995</v>
      </c>
      <c r="N163" s="46" t="n">
        <v>0.1412013</v>
      </c>
      <c r="O163" s="46" t="n">
        <v>0.2563152</v>
      </c>
      <c r="P163" s="46" t="n">
        <v>0.7478745</v>
      </c>
      <c r="Q163" s="46" t="n">
        <v>2.9632785</v>
      </c>
      <c r="R163" s="46" t="n">
        <v>1.941701</v>
      </c>
      <c r="S163" s="47" t="n">
        <f aca="false">M163+N163+O163</f>
        <v>0.712116</v>
      </c>
      <c r="T163" s="47" t="n">
        <f aca="false">M163+P163</f>
        <v>1.062474</v>
      </c>
    </row>
    <row r="164" customFormat="false" ht="15" hidden="false" customHeight="false" outlineLevel="0" collapsed="false">
      <c r="A164" s="42" t="s">
        <v>44</v>
      </c>
      <c r="B164" s="42" t="n">
        <v>-18</v>
      </c>
      <c r="C164" s="42" t="n">
        <v>63</v>
      </c>
      <c r="D164" s="42" t="n">
        <v>74270978</v>
      </c>
      <c r="E164" s="43" t="n">
        <v>0.360903589860542</v>
      </c>
      <c r="F164" s="43" t="n">
        <v>0.684238874893606</v>
      </c>
      <c r="G164" s="43" t="n">
        <v>0.59955563461509</v>
      </c>
      <c r="H164" s="43" t="n">
        <v>0.630189178999155</v>
      </c>
      <c r="I164" s="42" t="n">
        <v>1</v>
      </c>
      <c r="J164" s="42" t="n">
        <v>1</v>
      </c>
      <c r="K164" s="44" t="str">
        <f aca="false">IF(AND(I164=1,J164=1),"两者都跟住",IF(AND(I164=0,J164=1),"仅 PC-TBD 跟住",IF(AND(I164=1,J164=0),"仅 VIT-LPS 跟住","都没跟住")))</f>
        <v>两者都跟住</v>
      </c>
      <c r="L164" s="45" t="n">
        <f aca="false">F164-G164</f>
        <v>0.084683240278516</v>
      </c>
      <c r="M164" s="46" t="n">
        <v>0.3286256</v>
      </c>
      <c r="N164" s="46" t="n">
        <v>0.1279587</v>
      </c>
      <c r="O164" s="46" t="n">
        <v>0.221014</v>
      </c>
      <c r="P164" s="46" t="n">
        <v>0.6082664</v>
      </c>
      <c r="Q164" s="46" t="n">
        <v>3.0898983</v>
      </c>
      <c r="R164" s="46" t="n">
        <v>2.5124811</v>
      </c>
      <c r="S164" s="47" t="n">
        <f aca="false">M164+N164+O164</f>
        <v>0.6775983</v>
      </c>
      <c r="T164" s="47" t="n">
        <f aca="false">M164+P164</f>
        <v>0.936892</v>
      </c>
    </row>
    <row r="165" customFormat="false" ht="15" hidden="false" customHeight="false" outlineLevel="0" collapsed="false">
      <c r="A165" s="42" t="s">
        <v>44</v>
      </c>
      <c r="B165" s="42" t="n">
        <v>-18</v>
      </c>
      <c r="C165" s="42" t="n">
        <v>64</v>
      </c>
      <c r="D165" s="42" t="n">
        <v>74270979</v>
      </c>
      <c r="E165" s="43" t="n">
        <v>0.0179971489735565</v>
      </c>
      <c r="F165" s="43" t="n">
        <v>0.0461763327578469</v>
      </c>
      <c r="G165" s="43" t="n">
        <v>0.38563772778946</v>
      </c>
      <c r="H165" s="43" t="n">
        <v>0.419323638005105</v>
      </c>
      <c r="I165" s="42" t="n">
        <v>0</v>
      </c>
      <c r="J165" s="42" t="n">
        <v>0</v>
      </c>
      <c r="K165" s="44" t="str">
        <f aca="false">IF(AND(I165=1,J165=1),"两者都跟住",IF(AND(I165=0,J165=1),"仅 PC-TBD 跟住",IF(AND(I165=1,J165=0),"仅 VIT-LPS 跟住","都没跟住")))</f>
        <v>都没跟住</v>
      </c>
      <c r="L165" s="45" t="n">
        <f aca="false">F165-G165</f>
        <v>-0.339461395031613</v>
      </c>
      <c r="M165" s="46" t="n">
        <v>0.3347719</v>
      </c>
      <c r="N165" s="46" t="n">
        <v>0.1396384</v>
      </c>
      <c r="O165" s="46" t="n">
        <v>0.4430996</v>
      </c>
      <c r="P165" s="46" t="n">
        <v>0.7940916</v>
      </c>
      <c r="Q165" s="46" t="n">
        <v>9.2253679</v>
      </c>
      <c r="R165" s="46" t="n">
        <v>1.4645232</v>
      </c>
      <c r="S165" s="47" t="n">
        <f aca="false">M165+N165+O165</f>
        <v>0.9175099</v>
      </c>
      <c r="T165" s="47" t="n">
        <f aca="false">M165+P165</f>
        <v>1.1288635</v>
      </c>
    </row>
    <row r="166" customFormat="false" ht="15" hidden="false" customHeight="false" outlineLevel="0" collapsed="false">
      <c r="A166" s="42" t="s">
        <v>44</v>
      </c>
      <c r="B166" s="42" t="n">
        <v>-18</v>
      </c>
      <c r="C166" s="42" t="n">
        <v>65</v>
      </c>
      <c r="D166" s="42" t="n">
        <v>74270980</v>
      </c>
      <c r="E166" s="43" t="n">
        <v>0.328445073433762</v>
      </c>
      <c r="F166" s="43" t="n">
        <v>0.894191747949983</v>
      </c>
      <c r="G166" s="43" t="n">
        <v>0.823064679624307</v>
      </c>
      <c r="H166" s="43" t="n">
        <v>0.828861977615755</v>
      </c>
      <c r="I166" s="42" t="n">
        <v>1</v>
      </c>
      <c r="J166" s="42" t="n">
        <v>1</v>
      </c>
      <c r="K166" s="44" t="str">
        <f aca="false">IF(AND(I166=1,J166=1),"两者都跟住",IF(AND(I166=0,J166=1),"仅 PC-TBD 跟住",IF(AND(I166=1,J166=0),"仅 VIT-LPS 跟住","都没跟住")))</f>
        <v>两者都跟住</v>
      </c>
      <c r="L166" s="45" t="n">
        <f aca="false">F166-G166</f>
        <v>0.0711270683256761</v>
      </c>
      <c r="M166" s="46" t="n">
        <v>0.328857</v>
      </c>
      <c r="N166" s="46" t="n">
        <v>0.1488497</v>
      </c>
      <c r="O166" s="46" t="n">
        <v>0.2426253</v>
      </c>
      <c r="P166" s="46" t="n">
        <v>0.7946297</v>
      </c>
      <c r="Q166" s="46" t="n">
        <v>3.2014184</v>
      </c>
      <c r="R166" s="46" t="n">
        <v>2.4727557</v>
      </c>
      <c r="S166" s="47" t="n">
        <f aca="false">M166+N166+O166</f>
        <v>0.720332</v>
      </c>
      <c r="T166" s="47" t="n">
        <f aca="false">M166+P166</f>
        <v>1.1234867</v>
      </c>
    </row>
    <row r="167" customFormat="false" ht="15" hidden="false" customHeight="false" outlineLevel="0" collapsed="false">
      <c r="A167" s="42" t="s">
        <v>44</v>
      </c>
      <c r="B167" s="42" t="n">
        <v>-18</v>
      </c>
      <c r="C167" s="42" t="n">
        <v>66</v>
      </c>
      <c r="D167" s="42" t="n">
        <v>74270981</v>
      </c>
      <c r="E167" s="43" t="n">
        <v>0.358014853170383</v>
      </c>
      <c r="F167" s="43" t="n">
        <v>0.801419944822255</v>
      </c>
      <c r="G167" s="43" t="n">
        <v>0.622116210863344</v>
      </c>
      <c r="H167" s="43" t="n">
        <v>0.63051795104409</v>
      </c>
      <c r="I167" s="42" t="n">
        <v>1</v>
      </c>
      <c r="J167" s="42" t="n">
        <v>1</v>
      </c>
      <c r="K167" s="44" t="str">
        <f aca="false">IF(AND(I167=1,J167=1),"两者都跟住",IF(AND(I167=0,J167=1),"仅 PC-TBD 跟住",IF(AND(I167=1,J167=0),"仅 VIT-LPS 跟住","都没跟住")))</f>
        <v>两者都跟住</v>
      </c>
      <c r="L167" s="45" t="n">
        <f aca="false">F167-G167</f>
        <v>0.179303733958911</v>
      </c>
      <c r="M167" s="46" t="n">
        <v>0.3306778</v>
      </c>
      <c r="N167" s="46" t="n">
        <v>0.1694322</v>
      </c>
      <c r="O167" s="46" t="n">
        <v>0.2133011</v>
      </c>
      <c r="P167" s="46" t="n">
        <v>0.7509272</v>
      </c>
      <c r="Q167" s="46" t="n">
        <v>3.4382967</v>
      </c>
      <c r="R167" s="46" t="n">
        <v>2.505013</v>
      </c>
      <c r="S167" s="47" t="n">
        <f aca="false">M167+N167+O167</f>
        <v>0.7134111</v>
      </c>
      <c r="T167" s="47" t="n">
        <f aca="false">M167+P167</f>
        <v>1.081605</v>
      </c>
    </row>
    <row r="168" customFormat="false" ht="15" hidden="false" customHeight="false" outlineLevel="0" collapsed="false">
      <c r="A168" s="42" t="s">
        <v>44</v>
      </c>
      <c r="B168" s="42" t="n">
        <v>-18</v>
      </c>
      <c r="C168" s="42" t="n">
        <v>67</v>
      </c>
      <c r="D168" s="42" t="n">
        <v>74270982</v>
      </c>
      <c r="E168" s="43" t="n">
        <v>0.0158500667231417</v>
      </c>
      <c r="F168" s="43" t="n">
        <v>0.0246203225009727</v>
      </c>
      <c r="G168" s="43" t="n">
        <v>0.855551835677434</v>
      </c>
      <c r="H168" s="43" t="n">
        <v>0.887319471211736</v>
      </c>
      <c r="I168" s="42" t="n">
        <v>0</v>
      </c>
      <c r="J168" s="42" t="n">
        <v>1</v>
      </c>
      <c r="K168" s="44" t="str">
        <f aca="false">IF(AND(I168=1,J168=1),"两者都跟住",IF(AND(I168=0,J168=1),"仅 PC-TBD 跟住",IF(AND(I168=1,J168=0),"仅 VIT-LPS 跟住","都没跟住")))</f>
        <v>仅 PC-TBD 跟住</v>
      </c>
      <c r="L168" s="45" t="n">
        <f aca="false">F168-G168</f>
        <v>-0.830931513176461</v>
      </c>
      <c r="M168" s="46" t="n">
        <v>0.1749676</v>
      </c>
      <c r="N168" s="46" t="n">
        <v>0.120186</v>
      </c>
      <c r="O168" s="46" t="n">
        <v>0.2267154</v>
      </c>
      <c r="P168" s="46" t="n">
        <v>0.3599019</v>
      </c>
      <c r="Q168" s="46" t="n">
        <v>6.6511214</v>
      </c>
      <c r="R168" s="46" t="n">
        <v>1.0258837</v>
      </c>
      <c r="S168" s="47" t="n">
        <f aca="false">M168+N168+O168</f>
        <v>0.521869</v>
      </c>
      <c r="T168" s="47" t="n">
        <f aca="false">M168+P168</f>
        <v>0.5348695</v>
      </c>
    </row>
    <row r="169" customFormat="false" ht="15" hidden="false" customHeight="false" outlineLevel="0" collapsed="false">
      <c r="A169" s="42" t="s">
        <v>44</v>
      </c>
      <c r="B169" s="42" t="n">
        <v>-18</v>
      </c>
      <c r="C169" s="42" t="n">
        <v>68</v>
      </c>
      <c r="D169" s="42" t="n">
        <v>74270983</v>
      </c>
      <c r="E169" s="43" t="n">
        <v>0.470014803478048</v>
      </c>
      <c r="F169" s="43" t="n">
        <v>0.861702784302699</v>
      </c>
      <c r="G169" s="43" t="n">
        <v>0.859476791172119</v>
      </c>
      <c r="H169" s="43" t="n">
        <v>0.832515156612398</v>
      </c>
      <c r="I169" s="42" t="n">
        <v>1</v>
      </c>
      <c r="J169" s="42" t="n">
        <v>1</v>
      </c>
      <c r="K169" s="44" t="str">
        <f aca="false">IF(AND(I169=1,J169=1),"两者都跟住",IF(AND(I169=0,J169=1),"仅 PC-TBD 跟住",IF(AND(I169=1,J169=0),"仅 VIT-LPS 跟住","都没跟住")))</f>
        <v>两者都跟住</v>
      </c>
      <c r="L169" s="45" t="n">
        <f aca="false">F169-G169</f>
        <v>0.00222599313058003</v>
      </c>
      <c r="M169" s="46" t="n">
        <v>0.1673997</v>
      </c>
      <c r="N169" s="46" t="n">
        <v>0.1029996</v>
      </c>
      <c r="O169" s="46" t="n">
        <v>0.1691533</v>
      </c>
      <c r="P169" s="46" t="n">
        <v>0.4481083</v>
      </c>
      <c r="Q169" s="46" t="n">
        <v>1.876652</v>
      </c>
      <c r="R169" s="46" t="n">
        <v>1.7895087</v>
      </c>
      <c r="S169" s="47" t="n">
        <f aca="false">M169+N169+O169</f>
        <v>0.4395526</v>
      </c>
      <c r="T169" s="47" t="n">
        <f aca="false">M169+P169</f>
        <v>0.615508</v>
      </c>
    </row>
    <row r="170" customFormat="false" ht="15" hidden="false" customHeight="false" outlineLevel="0" collapsed="false">
      <c r="A170" s="42" t="s">
        <v>44</v>
      </c>
      <c r="B170" s="42" t="n">
        <v>-18</v>
      </c>
      <c r="C170" s="42" t="n">
        <v>69</v>
      </c>
      <c r="D170" s="42" t="n">
        <v>74270984</v>
      </c>
      <c r="E170" s="43" t="n">
        <v>0.709867524422402</v>
      </c>
      <c r="F170" s="43" t="n">
        <v>0.882990893564852</v>
      </c>
      <c r="G170" s="43" t="n">
        <v>0.945544603518347</v>
      </c>
      <c r="H170" s="43" t="n">
        <v>0.929239337718443</v>
      </c>
      <c r="I170" s="42" t="n">
        <v>1</v>
      </c>
      <c r="J170" s="42" t="n">
        <v>1</v>
      </c>
      <c r="K170" s="44" t="str">
        <f aca="false">IF(AND(I170=1,J170=1),"两者都跟住",IF(AND(I170=0,J170=1),"仅 PC-TBD 跟住",IF(AND(I170=1,J170=0),"仅 VIT-LPS 跟住","都没跟住")))</f>
        <v>两者都跟住</v>
      </c>
      <c r="L170" s="45" t="n">
        <f aca="false">F170-G170</f>
        <v>-0.062553709953495</v>
      </c>
      <c r="M170" s="46" t="n">
        <v>0.1420662</v>
      </c>
      <c r="N170" s="46" t="n">
        <v>0.0821848</v>
      </c>
      <c r="O170" s="46" t="n">
        <v>0.1981376</v>
      </c>
      <c r="P170" s="46" t="n">
        <v>0.5433568</v>
      </c>
      <c r="Q170" s="46" t="n">
        <v>1.9689004</v>
      </c>
      <c r="R170" s="46" t="n">
        <v>1.1441139</v>
      </c>
      <c r="S170" s="47" t="n">
        <f aca="false">M170+N170+O170</f>
        <v>0.4223886</v>
      </c>
      <c r="T170" s="47" t="n">
        <f aca="false">M170+P170</f>
        <v>0.685423</v>
      </c>
    </row>
    <row r="171" customFormat="false" ht="15" hidden="false" customHeight="false" outlineLevel="0" collapsed="false">
      <c r="A171" s="42" t="s">
        <v>44</v>
      </c>
      <c r="B171" s="42" t="n">
        <v>-18</v>
      </c>
      <c r="C171" s="42" t="n">
        <v>70</v>
      </c>
      <c r="D171" s="42" t="n">
        <v>74270985</v>
      </c>
      <c r="E171" s="43" t="n">
        <v>0.33180343544328</v>
      </c>
      <c r="F171" s="43" t="n">
        <v>0.893190117049332</v>
      </c>
      <c r="G171" s="43" t="n">
        <v>0.657853958883245</v>
      </c>
      <c r="H171" s="43" t="n">
        <v>0.645638782811072</v>
      </c>
      <c r="I171" s="42" t="n">
        <v>1</v>
      </c>
      <c r="J171" s="42" t="n">
        <v>1</v>
      </c>
      <c r="K171" s="44" t="str">
        <f aca="false">IF(AND(I171=1,J171=1),"两者都跟住",IF(AND(I171=0,J171=1),"仅 PC-TBD 跟住",IF(AND(I171=1,J171=0),"仅 VIT-LPS 跟住","都没跟住")))</f>
        <v>两者都跟住</v>
      </c>
      <c r="L171" s="45" t="n">
        <f aca="false">F171-G171</f>
        <v>0.235336158166087</v>
      </c>
      <c r="M171" s="46" t="n">
        <v>0.1589215</v>
      </c>
      <c r="N171" s="46" t="n">
        <v>0.1006107</v>
      </c>
      <c r="O171" s="46" t="n">
        <v>0.1897392</v>
      </c>
      <c r="P171" s="46" t="n">
        <v>0.391211</v>
      </c>
      <c r="Q171" s="46" t="n">
        <v>2.3079711</v>
      </c>
      <c r="R171" s="46" t="n">
        <v>1.5259961</v>
      </c>
      <c r="S171" s="47" t="n">
        <f aca="false">M171+N171+O171</f>
        <v>0.4492714</v>
      </c>
      <c r="T171" s="47" t="n">
        <f aca="false">M171+P171</f>
        <v>0.5501325</v>
      </c>
    </row>
    <row r="172" customFormat="false" ht="15" hidden="false" customHeight="false" outlineLevel="0" collapsed="false">
      <c r="A172" s="42" t="s">
        <v>44</v>
      </c>
      <c r="B172" s="42" t="n">
        <v>-18</v>
      </c>
      <c r="C172" s="42" t="n">
        <v>71</v>
      </c>
      <c r="D172" s="42" t="n">
        <v>74270986</v>
      </c>
      <c r="E172" s="43" t="n">
        <v>0.222916940832222</v>
      </c>
      <c r="F172" s="43" t="n">
        <v>0.896422746121672</v>
      </c>
      <c r="G172" s="43" t="n">
        <v>0.760727273932559</v>
      </c>
      <c r="H172" s="43" t="n">
        <v>0.769843755468954</v>
      </c>
      <c r="I172" s="42" t="n">
        <v>1</v>
      </c>
      <c r="J172" s="42" t="n">
        <v>1</v>
      </c>
      <c r="K172" s="44" t="str">
        <f aca="false">IF(AND(I172=1,J172=1),"两者都跟住",IF(AND(I172=0,J172=1),"仅 PC-TBD 跟住",IF(AND(I172=1,J172=0),"仅 VIT-LPS 跟住","都没跟住")))</f>
        <v>两者都跟住</v>
      </c>
      <c r="L172" s="45" t="n">
        <f aca="false">F172-G172</f>
        <v>0.135695472189113</v>
      </c>
      <c r="M172" s="46" t="n">
        <v>0.2124825</v>
      </c>
      <c r="N172" s="46" t="n">
        <v>0.1110282</v>
      </c>
      <c r="O172" s="46" t="n">
        <v>0.2096256</v>
      </c>
      <c r="P172" s="46" t="n">
        <v>0.4982779</v>
      </c>
      <c r="Q172" s="46" t="n">
        <v>2.9721432</v>
      </c>
      <c r="R172" s="46" t="n">
        <v>3.1387856</v>
      </c>
      <c r="S172" s="47" t="n">
        <f aca="false">M172+N172+O172</f>
        <v>0.5331363</v>
      </c>
      <c r="T172" s="47" t="n">
        <f aca="false">M172+P172</f>
        <v>0.7107604</v>
      </c>
    </row>
    <row r="173" customFormat="false" ht="15" hidden="false" customHeight="false" outlineLevel="0" collapsed="false">
      <c r="A173" s="42" t="s">
        <v>44</v>
      </c>
      <c r="B173" s="42" t="n">
        <v>-18</v>
      </c>
      <c r="C173" s="42" t="n">
        <v>72</v>
      </c>
      <c r="D173" s="42" t="n">
        <v>74270987</v>
      </c>
      <c r="E173" s="43" t="n">
        <v>0.538265184085153</v>
      </c>
      <c r="F173" s="43" t="n">
        <v>0.913760251252116</v>
      </c>
      <c r="G173" s="43" t="n">
        <v>0.77958215482684</v>
      </c>
      <c r="H173" s="43" t="n">
        <v>0.809568067541647</v>
      </c>
      <c r="I173" s="42" t="n">
        <v>1</v>
      </c>
      <c r="J173" s="42" t="n">
        <v>1</v>
      </c>
      <c r="K173" s="44" t="str">
        <f aca="false">IF(AND(I173=1,J173=1),"两者都跟住",IF(AND(I173=0,J173=1),"仅 PC-TBD 跟住",IF(AND(I173=1,J173=0),"仅 VIT-LPS 跟住","都没跟住")))</f>
        <v>两者都跟住</v>
      </c>
      <c r="L173" s="45" t="n">
        <f aca="false">F173-G173</f>
        <v>0.134178096425276</v>
      </c>
      <c r="M173" s="46" t="n">
        <v>0.221144</v>
      </c>
      <c r="N173" s="46" t="n">
        <v>0.1299945</v>
      </c>
      <c r="O173" s="46" t="n">
        <v>0.2149174</v>
      </c>
      <c r="P173" s="46" t="n">
        <v>0.5328402</v>
      </c>
      <c r="Q173" s="46" t="n">
        <v>3.2727335</v>
      </c>
      <c r="R173" s="46" t="n">
        <v>2.6384707</v>
      </c>
      <c r="S173" s="47" t="n">
        <f aca="false">M173+N173+O173</f>
        <v>0.5660559</v>
      </c>
      <c r="T173" s="47" t="n">
        <f aca="false">M173+P173</f>
        <v>0.7539842</v>
      </c>
    </row>
    <row r="174" customFormat="false" ht="15" hidden="false" customHeight="false" outlineLevel="0" collapsed="false">
      <c r="A174" s="42" t="s">
        <v>44</v>
      </c>
      <c r="B174" s="42" t="n">
        <v>-18</v>
      </c>
      <c r="C174" s="42" t="n">
        <v>73</v>
      </c>
      <c r="D174" s="42" t="n">
        <v>74270988</v>
      </c>
      <c r="E174" s="43" t="n">
        <v>0.278802234628138</v>
      </c>
      <c r="F174" s="43" t="n">
        <v>0.738727211673364</v>
      </c>
      <c r="G174" s="43" t="n">
        <v>0.633423543386213</v>
      </c>
      <c r="H174" s="43" t="n">
        <v>0.633423543386213</v>
      </c>
      <c r="I174" s="42" t="n">
        <v>1</v>
      </c>
      <c r="J174" s="42" t="n">
        <v>1</v>
      </c>
      <c r="K174" s="44" t="str">
        <f aca="false">IF(AND(I174=1,J174=1),"两者都跟住",IF(AND(I174=0,J174=1),"仅 PC-TBD 跟住",IF(AND(I174=1,J174=0),"仅 VIT-LPS 跟住","都没跟住")))</f>
        <v>两者都跟住</v>
      </c>
      <c r="L174" s="45" t="n">
        <f aca="false">F174-G174</f>
        <v>0.105303668287151</v>
      </c>
      <c r="M174" s="46" t="n">
        <v>0.1736814</v>
      </c>
      <c r="N174" s="46" t="n">
        <v>0.1391653</v>
      </c>
      <c r="O174" s="46" t="n">
        <v>0.2133341</v>
      </c>
      <c r="P174" s="46" t="n">
        <v>0.4959163</v>
      </c>
      <c r="Q174" s="46" t="n">
        <v>3.4793712</v>
      </c>
      <c r="R174" s="46" t="n">
        <v>3.246011</v>
      </c>
      <c r="S174" s="47" t="n">
        <f aca="false">M174+N174+O174</f>
        <v>0.5261808</v>
      </c>
      <c r="T174" s="47" t="n">
        <f aca="false">M174+P174</f>
        <v>0.6695977</v>
      </c>
    </row>
    <row r="175" customFormat="false" ht="15" hidden="false" customHeight="false" outlineLevel="0" collapsed="false">
      <c r="A175" s="42" t="s">
        <v>44</v>
      </c>
      <c r="B175" s="42" t="n">
        <v>-18</v>
      </c>
      <c r="C175" s="42" t="n">
        <v>74</v>
      </c>
      <c r="D175" s="42" t="n">
        <v>74270989</v>
      </c>
      <c r="E175" s="43" t="n">
        <v>0.285510313903416</v>
      </c>
      <c r="F175" s="43" t="n">
        <v>0.83582324845831</v>
      </c>
      <c r="G175" s="43" t="n">
        <v>0.834925855515828</v>
      </c>
      <c r="H175" s="43" t="n">
        <v>0.834934385919682</v>
      </c>
      <c r="I175" s="42" t="n">
        <v>1</v>
      </c>
      <c r="J175" s="42" t="n">
        <v>1</v>
      </c>
      <c r="K175" s="44" t="str">
        <f aca="false">IF(AND(I175=1,J175=1),"两者都跟住",IF(AND(I175=0,J175=1),"仅 PC-TBD 跟住",IF(AND(I175=1,J175=0),"仅 VIT-LPS 跟住","都没跟住")))</f>
        <v>两者都跟住</v>
      </c>
      <c r="L175" s="45" t="n">
        <f aca="false">F175-G175</f>
        <v>0.000897392942482034</v>
      </c>
      <c r="M175" s="46" t="n">
        <v>0.20824</v>
      </c>
      <c r="N175" s="46" t="n">
        <v>0.1068329</v>
      </c>
      <c r="O175" s="46" t="n">
        <v>0.1472447</v>
      </c>
      <c r="P175" s="46" t="n">
        <v>0.5938711</v>
      </c>
      <c r="Q175" s="46" t="n">
        <v>2.1772466</v>
      </c>
      <c r="R175" s="46" t="n">
        <v>2.0563637</v>
      </c>
      <c r="S175" s="47" t="n">
        <f aca="false">M175+N175+O175</f>
        <v>0.4623176</v>
      </c>
      <c r="T175" s="47" t="n">
        <f aca="false">M175+P175</f>
        <v>0.8021111</v>
      </c>
    </row>
    <row r="176" customFormat="false" ht="15" hidden="false" customHeight="false" outlineLevel="0" collapsed="false">
      <c r="A176" s="42" t="s">
        <v>44</v>
      </c>
      <c r="B176" s="42" t="n">
        <v>-18</v>
      </c>
      <c r="C176" s="42" t="n">
        <v>75</v>
      </c>
      <c r="D176" s="42" t="n">
        <v>74270990</v>
      </c>
      <c r="E176" s="43" t="n">
        <v>0.599034546785921</v>
      </c>
      <c r="F176" s="43" t="n">
        <v>0.709701614189464</v>
      </c>
      <c r="G176" s="43" t="n">
        <v>0.676359208733097</v>
      </c>
      <c r="H176" s="43" t="n">
        <v>0.68980885571063</v>
      </c>
      <c r="I176" s="42" t="n">
        <v>1</v>
      </c>
      <c r="J176" s="42" t="n">
        <v>1</v>
      </c>
      <c r="K176" s="44" t="str">
        <f aca="false">IF(AND(I176=1,J176=1),"两者都跟住",IF(AND(I176=0,J176=1),"仅 PC-TBD 跟住",IF(AND(I176=1,J176=0),"仅 VIT-LPS 跟住","都没跟住")))</f>
        <v>两者都跟住</v>
      </c>
      <c r="L176" s="45" t="n">
        <f aca="false">F176-G176</f>
        <v>0.033342405456367</v>
      </c>
      <c r="M176" s="46" t="n">
        <v>0.2272841</v>
      </c>
      <c r="N176" s="46" t="n">
        <v>0.1347347</v>
      </c>
      <c r="O176" s="46" t="n">
        <v>0.2339549</v>
      </c>
      <c r="P176" s="46" t="n">
        <v>0.4972626</v>
      </c>
      <c r="Q176" s="46" t="n">
        <v>3.0194895</v>
      </c>
      <c r="R176" s="46" t="n">
        <v>2.5908358</v>
      </c>
      <c r="S176" s="47" t="n">
        <f aca="false">M176+N176+O176</f>
        <v>0.5959737</v>
      </c>
      <c r="T176" s="47" t="n">
        <f aca="false">M176+P176</f>
        <v>0.7245467</v>
      </c>
    </row>
    <row r="177" customFormat="false" ht="15" hidden="false" customHeight="false" outlineLevel="0" collapsed="false">
      <c r="A177" s="42" t="s">
        <v>44</v>
      </c>
      <c r="B177" s="42" t="n">
        <v>-18</v>
      </c>
      <c r="C177" s="42" t="n">
        <v>76</v>
      </c>
      <c r="D177" s="42" t="n">
        <v>74270991</v>
      </c>
      <c r="E177" s="43" t="n">
        <v>0.379440859935547</v>
      </c>
      <c r="F177" s="43" t="n">
        <v>0.891663330210822</v>
      </c>
      <c r="G177" s="43" t="n">
        <v>0.685946719466209</v>
      </c>
      <c r="H177" s="43" t="n">
        <v>0.708732384299025</v>
      </c>
      <c r="I177" s="42" t="n">
        <v>1</v>
      </c>
      <c r="J177" s="42" t="n">
        <v>1</v>
      </c>
      <c r="K177" s="44" t="str">
        <f aca="false">IF(AND(I177=1,J177=1),"两者都跟住",IF(AND(I177=0,J177=1),"仅 PC-TBD 跟住",IF(AND(I177=1,J177=0),"仅 VIT-LPS 跟住","都没跟住")))</f>
        <v>两者都跟住</v>
      </c>
      <c r="L177" s="45" t="n">
        <f aca="false">F177-G177</f>
        <v>0.205716610744613</v>
      </c>
      <c r="M177" s="46" t="n">
        <v>0.2074657</v>
      </c>
      <c r="N177" s="46" t="n">
        <v>0.1129538</v>
      </c>
      <c r="O177" s="46" t="n">
        <v>0.1258658</v>
      </c>
      <c r="P177" s="46" t="n">
        <v>0.5415516</v>
      </c>
      <c r="Q177" s="46" t="n">
        <v>7.0920378</v>
      </c>
      <c r="R177" s="46" t="n">
        <v>2.4744735</v>
      </c>
      <c r="S177" s="47" t="n">
        <f aca="false">M177+N177+O177</f>
        <v>0.4462853</v>
      </c>
      <c r="T177" s="47" t="n">
        <f aca="false">M177+P177</f>
        <v>0.7490173</v>
      </c>
    </row>
    <row r="178" customFormat="false" ht="15" hidden="false" customHeight="false" outlineLevel="0" collapsed="false">
      <c r="A178" s="42" t="s">
        <v>44</v>
      </c>
      <c r="B178" s="42" t="n">
        <v>-18</v>
      </c>
      <c r="C178" s="42" t="n">
        <v>77</v>
      </c>
      <c r="D178" s="42" t="n">
        <v>74270992</v>
      </c>
      <c r="E178" s="43" t="n">
        <v>0.28013882088033</v>
      </c>
      <c r="F178" s="43" t="n">
        <v>0.628325548068188</v>
      </c>
      <c r="G178" s="43" t="n">
        <v>0.627258455853774</v>
      </c>
      <c r="H178" s="43" t="n">
        <v>0.682650564968027</v>
      </c>
      <c r="I178" s="42" t="n">
        <v>1</v>
      </c>
      <c r="J178" s="42" t="n">
        <v>1</v>
      </c>
      <c r="K178" s="44" t="str">
        <f aca="false">IF(AND(I178=1,J178=1),"两者都跟住",IF(AND(I178=0,J178=1),"仅 PC-TBD 跟住",IF(AND(I178=1,J178=0),"仅 VIT-LPS 跟住","都没跟住")))</f>
        <v>两者都跟住</v>
      </c>
      <c r="L178" s="45" t="n">
        <f aca="false">F178-G178</f>
        <v>0.00106709221441392</v>
      </c>
      <c r="M178" s="46" t="n">
        <v>0.1957779</v>
      </c>
      <c r="N178" s="46" t="n">
        <v>0.1167254</v>
      </c>
      <c r="O178" s="46" t="n">
        <v>0.2244331</v>
      </c>
      <c r="P178" s="46" t="n">
        <v>0.5196127</v>
      </c>
      <c r="Q178" s="46" t="n">
        <v>4.7612941</v>
      </c>
      <c r="R178" s="46" t="n">
        <v>1.0138295</v>
      </c>
      <c r="S178" s="47" t="n">
        <f aca="false">M178+N178+O178</f>
        <v>0.5369364</v>
      </c>
      <c r="T178" s="47" t="n">
        <f aca="false">M178+P178</f>
        <v>0.7153906</v>
      </c>
    </row>
    <row r="179" customFormat="false" ht="15" hidden="false" customHeight="false" outlineLevel="0" collapsed="false">
      <c r="A179" s="42" t="s">
        <v>44</v>
      </c>
      <c r="B179" s="42" t="n">
        <v>-18</v>
      </c>
      <c r="C179" s="42" t="n">
        <v>78</v>
      </c>
      <c r="D179" s="42" t="n">
        <v>74270993</v>
      </c>
      <c r="E179" s="43" t="n">
        <v>0.731980514573842</v>
      </c>
      <c r="F179" s="43" t="n">
        <v>0.858610732818241</v>
      </c>
      <c r="G179" s="43" t="n">
        <v>0.83973617164152</v>
      </c>
      <c r="H179" s="43" t="n">
        <v>0.838863848967591</v>
      </c>
      <c r="I179" s="42" t="n">
        <v>1</v>
      </c>
      <c r="J179" s="42" t="n">
        <v>1</v>
      </c>
      <c r="K179" s="44" t="str">
        <f aca="false">IF(AND(I179=1,J179=1),"两者都跟住",IF(AND(I179=0,J179=1),"仅 PC-TBD 跟住",IF(AND(I179=1,J179=0),"仅 VIT-LPS 跟住","都没跟住")))</f>
        <v>两者都跟住</v>
      </c>
      <c r="L179" s="45" t="n">
        <f aca="false">F179-G179</f>
        <v>0.0188745611767209</v>
      </c>
      <c r="M179" s="46" t="n">
        <v>0.2026795</v>
      </c>
      <c r="N179" s="46" t="n">
        <v>0.1212759</v>
      </c>
      <c r="O179" s="46" t="n">
        <v>0.1702365</v>
      </c>
      <c r="P179" s="46" t="n">
        <v>0.5223841</v>
      </c>
      <c r="Q179" s="46" t="n">
        <v>2.4897368</v>
      </c>
      <c r="R179" s="46" t="n">
        <v>2.0518124</v>
      </c>
      <c r="S179" s="47" t="n">
        <f aca="false">M179+N179+O179</f>
        <v>0.4941919</v>
      </c>
      <c r="T179" s="47" t="n">
        <f aca="false">M179+P179</f>
        <v>0.7250636</v>
      </c>
    </row>
    <row r="180" customFormat="false" ht="15" hidden="false" customHeight="false" outlineLevel="0" collapsed="false">
      <c r="A180" s="42" t="s">
        <v>44</v>
      </c>
      <c r="B180" s="42" t="n">
        <v>-18</v>
      </c>
      <c r="C180" s="42" t="n">
        <v>79</v>
      </c>
      <c r="D180" s="42" t="n">
        <v>74270994</v>
      </c>
      <c r="E180" s="43" t="n">
        <v>0.530096238534284</v>
      </c>
      <c r="F180" s="43" t="n">
        <v>0.739636647534577</v>
      </c>
      <c r="G180" s="43" t="n">
        <v>0.669106852874854</v>
      </c>
      <c r="H180" s="43" t="n">
        <v>0.682253666776959</v>
      </c>
      <c r="I180" s="42" t="n">
        <v>1</v>
      </c>
      <c r="J180" s="42" t="n">
        <v>1</v>
      </c>
      <c r="K180" s="44" t="str">
        <f aca="false">IF(AND(I180=1,J180=1),"两者都跟住",IF(AND(I180=0,J180=1),"仅 PC-TBD 跟住",IF(AND(I180=1,J180=0),"仅 VIT-LPS 跟住","都没跟住")))</f>
        <v>两者都跟住</v>
      </c>
      <c r="L180" s="45" t="n">
        <f aca="false">F180-G180</f>
        <v>0.070529794659723</v>
      </c>
      <c r="M180" s="46" t="n">
        <v>0.175316</v>
      </c>
      <c r="N180" s="46" t="n">
        <v>0.1142057</v>
      </c>
      <c r="O180" s="46" t="n">
        <v>0.2122335</v>
      </c>
      <c r="P180" s="46" t="n">
        <v>0.6952744</v>
      </c>
      <c r="Q180" s="46" t="n">
        <v>2.1905768</v>
      </c>
      <c r="R180" s="46" t="n">
        <v>1.2468181</v>
      </c>
      <c r="S180" s="47" t="n">
        <f aca="false">M180+N180+O180</f>
        <v>0.5017552</v>
      </c>
      <c r="T180" s="47" t="n">
        <f aca="false">M180+P180</f>
        <v>0.8705904</v>
      </c>
    </row>
    <row r="181" customFormat="false" ht="15" hidden="false" customHeight="false" outlineLevel="0" collapsed="false">
      <c r="A181" s="42" t="s">
        <v>44</v>
      </c>
      <c r="B181" s="42" t="n">
        <v>-18</v>
      </c>
      <c r="C181" s="42" t="n">
        <v>80</v>
      </c>
      <c r="D181" s="42" t="n">
        <v>74270995</v>
      </c>
      <c r="E181" s="43" t="n">
        <v>0.412341696598415</v>
      </c>
      <c r="F181" s="43" t="n">
        <v>0.911445682326036</v>
      </c>
      <c r="G181" s="43" t="n">
        <v>0.872025647935657</v>
      </c>
      <c r="H181" s="43" t="n">
        <v>0.901041370556058</v>
      </c>
      <c r="I181" s="42" t="n">
        <v>1</v>
      </c>
      <c r="J181" s="42" t="n">
        <v>1</v>
      </c>
      <c r="K181" s="44" t="str">
        <f aca="false">IF(AND(I181=1,J181=1),"两者都跟住",IF(AND(I181=0,J181=1),"仅 PC-TBD 跟住",IF(AND(I181=1,J181=0),"仅 VIT-LPS 跟住","都没跟住")))</f>
        <v>两者都跟住</v>
      </c>
      <c r="L181" s="45" t="n">
        <f aca="false">F181-G181</f>
        <v>0.039420034390379</v>
      </c>
      <c r="M181" s="46" t="n">
        <v>0.1786915</v>
      </c>
      <c r="N181" s="46" t="n">
        <v>0.1353508</v>
      </c>
      <c r="O181" s="46" t="n">
        <v>0.1521899</v>
      </c>
      <c r="P181" s="46" t="n">
        <v>0.5782392</v>
      </c>
      <c r="Q181" s="46" t="n">
        <v>2.3732529</v>
      </c>
      <c r="R181" s="46" t="n">
        <v>1.8086985</v>
      </c>
      <c r="S181" s="47" t="n">
        <f aca="false">M181+N181+O181</f>
        <v>0.4662322</v>
      </c>
      <c r="T181" s="47" t="n">
        <f aca="false">M181+P181</f>
        <v>0.7569307</v>
      </c>
    </row>
    <row r="182" customFormat="false" ht="15" hidden="false" customHeight="false" outlineLevel="0" collapsed="false">
      <c r="A182" s="42" t="s">
        <v>44</v>
      </c>
      <c r="B182" s="42" t="n">
        <v>-18</v>
      </c>
      <c r="C182" s="42" t="n">
        <v>81</v>
      </c>
      <c r="D182" s="42" t="n">
        <v>74270996</v>
      </c>
      <c r="E182" s="43" t="n">
        <v>0.510672124836165</v>
      </c>
      <c r="F182" s="43" t="n">
        <v>0.922449931493155</v>
      </c>
      <c r="G182" s="43" t="n">
        <v>0.933270209090117</v>
      </c>
      <c r="H182" s="43" t="n">
        <v>0.923369947953085</v>
      </c>
      <c r="I182" s="42" t="n">
        <v>1</v>
      </c>
      <c r="J182" s="42" t="n">
        <v>1</v>
      </c>
      <c r="K182" s="44" t="str">
        <f aca="false">IF(AND(I182=1,J182=1),"两者都跟住",IF(AND(I182=0,J182=1),"仅 PC-TBD 跟住",IF(AND(I182=1,J182=0),"仅 VIT-LPS 跟住","都没跟住")))</f>
        <v>两者都跟住</v>
      </c>
      <c r="L182" s="45" t="n">
        <f aca="false">F182-G182</f>
        <v>-0.010820277596962</v>
      </c>
      <c r="M182" s="46" t="n">
        <v>0.2269518</v>
      </c>
      <c r="N182" s="46" t="n">
        <v>0.1265288</v>
      </c>
      <c r="O182" s="46" t="n">
        <v>0.2384145</v>
      </c>
      <c r="P182" s="46" t="n">
        <v>0.5959158</v>
      </c>
      <c r="Q182" s="46" t="n">
        <v>2.4434764</v>
      </c>
      <c r="R182" s="46" t="n">
        <v>2.5280492</v>
      </c>
      <c r="S182" s="47" t="n">
        <f aca="false">M182+N182+O182</f>
        <v>0.5918951</v>
      </c>
      <c r="T182" s="47" t="n">
        <f aca="false">M182+P182</f>
        <v>0.8228676</v>
      </c>
    </row>
    <row r="183" customFormat="false" ht="15" hidden="false" customHeight="false" outlineLevel="0" collapsed="false">
      <c r="A183" s="42" t="s">
        <v>44</v>
      </c>
      <c r="B183" s="42" t="n">
        <v>-18</v>
      </c>
      <c r="C183" s="42" t="n">
        <v>82</v>
      </c>
      <c r="D183" s="42" t="n">
        <v>74270997</v>
      </c>
      <c r="E183" s="43" t="n">
        <v>0.325832862027181</v>
      </c>
      <c r="F183" s="43" t="n">
        <v>0.565500304219052</v>
      </c>
      <c r="G183" s="43" t="n">
        <v>0.572885512290079</v>
      </c>
      <c r="H183" s="43" t="n">
        <v>0.578401316547188</v>
      </c>
      <c r="I183" s="42" t="n">
        <v>1</v>
      </c>
      <c r="J183" s="42" t="n">
        <v>1</v>
      </c>
      <c r="K183" s="44" t="str">
        <f aca="false">IF(AND(I183=1,J183=1),"两者都跟住",IF(AND(I183=0,J183=1),"仅 PC-TBD 跟住",IF(AND(I183=1,J183=0),"仅 VIT-LPS 跟住","都没跟住")))</f>
        <v>两者都跟住</v>
      </c>
      <c r="L183" s="45" t="n">
        <f aca="false">F183-G183</f>
        <v>-0.00738520807102705</v>
      </c>
      <c r="M183" s="46" t="n">
        <v>0.2364111</v>
      </c>
      <c r="N183" s="46" t="n">
        <v>0.1087879</v>
      </c>
      <c r="O183" s="46" t="n">
        <v>0.2209196</v>
      </c>
      <c r="P183" s="46" t="n">
        <v>0.5095262</v>
      </c>
      <c r="Q183" s="46" t="n">
        <v>3.6884537</v>
      </c>
      <c r="R183" s="46" t="n">
        <v>2.4965796</v>
      </c>
      <c r="S183" s="47" t="n">
        <f aca="false">M183+N183+O183</f>
        <v>0.5661186</v>
      </c>
      <c r="T183" s="47" t="n">
        <f aca="false">M183+P183</f>
        <v>0.7459373</v>
      </c>
    </row>
    <row r="184" customFormat="false" ht="15" hidden="false" customHeight="false" outlineLevel="0" collapsed="false">
      <c r="A184" s="42" t="s">
        <v>44</v>
      </c>
      <c r="B184" s="42" t="n">
        <v>-18</v>
      </c>
      <c r="C184" s="42" t="n">
        <v>83</v>
      </c>
      <c r="D184" s="42" t="n">
        <v>74270998</v>
      </c>
      <c r="E184" s="43" t="n">
        <v>0.562762305092398</v>
      </c>
      <c r="F184" s="43" t="n">
        <v>0.698343882749748</v>
      </c>
      <c r="G184" s="43" t="n">
        <v>0.794738935207331</v>
      </c>
      <c r="H184" s="43" t="n">
        <v>0.816319222221939</v>
      </c>
      <c r="I184" s="42" t="n">
        <v>1</v>
      </c>
      <c r="J184" s="42" t="n">
        <v>1</v>
      </c>
      <c r="K184" s="44" t="str">
        <f aca="false">IF(AND(I184=1,J184=1),"两者都跟住",IF(AND(I184=0,J184=1),"仅 PC-TBD 跟住",IF(AND(I184=1,J184=0),"仅 VIT-LPS 跟住","都没跟住")))</f>
        <v>两者都跟住</v>
      </c>
      <c r="L184" s="45" t="n">
        <f aca="false">F184-G184</f>
        <v>-0.096395052457583</v>
      </c>
      <c r="M184" s="46" t="n">
        <v>0.2171576</v>
      </c>
      <c r="N184" s="46" t="n">
        <v>0.0841231</v>
      </c>
      <c r="O184" s="46" t="n">
        <v>0.1916306</v>
      </c>
      <c r="P184" s="46" t="n">
        <v>0.5816907</v>
      </c>
      <c r="Q184" s="46" t="n">
        <v>2.7754142</v>
      </c>
      <c r="R184" s="46" t="n">
        <v>2.3554287</v>
      </c>
      <c r="S184" s="47" t="n">
        <f aca="false">M184+N184+O184</f>
        <v>0.4929113</v>
      </c>
      <c r="T184" s="47" t="n">
        <f aca="false">M184+P184</f>
        <v>0.7988483</v>
      </c>
    </row>
    <row r="185" customFormat="false" ht="15" hidden="false" customHeight="false" outlineLevel="0" collapsed="false">
      <c r="A185" s="42" t="s">
        <v>44</v>
      </c>
      <c r="B185" s="42" t="n">
        <v>-18</v>
      </c>
      <c r="C185" s="42" t="n">
        <v>84</v>
      </c>
      <c r="D185" s="42" t="n">
        <v>74270999</v>
      </c>
      <c r="E185" s="43" t="n">
        <v>0.810092093493864</v>
      </c>
      <c r="F185" s="43" t="n">
        <v>0.953625817116018</v>
      </c>
      <c r="G185" s="43" t="n">
        <v>0.807850423821157</v>
      </c>
      <c r="H185" s="43" t="n">
        <v>0.808666647346517</v>
      </c>
      <c r="I185" s="42" t="n">
        <v>1</v>
      </c>
      <c r="J185" s="42" t="n">
        <v>1</v>
      </c>
      <c r="K185" s="44" t="str">
        <f aca="false">IF(AND(I185=1,J185=1),"两者都跟住",IF(AND(I185=0,J185=1),"仅 PC-TBD 跟住",IF(AND(I185=1,J185=0),"仅 VIT-LPS 跟住","都没跟住")))</f>
        <v>两者都跟住</v>
      </c>
      <c r="L185" s="45" t="n">
        <f aca="false">F185-G185</f>
        <v>0.145775393294861</v>
      </c>
      <c r="M185" s="46" t="n">
        <v>0.218978</v>
      </c>
      <c r="N185" s="46" t="n">
        <v>0.1181845</v>
      </c>
      <c r="O185" s="46" t="n">
        <v>0.2269183</v>
      </c>
      <c r="P185" s="46" t="n">
        <v>0.4584443</v>
      </c>
      <c r="Q185" s="46" t="n">
        <v>3.412396</v>
      </c>
      <c r="R185" s="46" t="n">
        <v>2.334178</v>
      </c>
      <c r="S185" s="47" t="n">
        <f aca="false">M185+N185+O185</f>
        <v>0.5640808</v>
      </c>
      <c r="T185" s="47" t="n">
        <f aca="false">M185+P185</f>
        <v>0.6774223</v>
      </c>
    </row>
    <row r="186" customFormat="false" ht="15" hidden="false" customHeight="false" outlineLevel="0" collapsed="false">
      <c r="A186" s="42" t="s">
        <v>44</v>
      </c>
      <c r="B186" s="42" t="n">
        <v>-18</v>
      </c>
      <c r="C186" s="42" t="n">
        <v>85</v>
      </c>
      <c r="D186" s="42" t="n">
        <v>74271000</v>
      </c>
      <c r="E186" s="43" t="n">
        <v>0.36151918719247</v>
      </c>
      <c r="F186" s="43" t="n">
        <v>0.697156469017224</v>
      </c>
      <c r="G186" s="43" t="n">
        <v>0.702575536422052</v>
      </c>
      <c r="H186" s="43" t="n">
        <v>0.704128994001651</v>
      </c>
      <c r="I186" s="42" t="n">
        <v>1</v>
      </c>
      <c r="J186" s="42" t="n">
        <v>1</v>
      </c>
      <c r="K186" s="44" t="str">
        <f aca="false">IF(AND(I186=1,J186=1),"两者都跟住",IF(AND(I186=0,J186=1),"仅 PC-TBD 跟住",IF(AND(I186=1,J186=0),"仅 VIT-LPS 跟住","都没跟住")))</f>
        <v>两者都跟住</v>
      </c>
      <c r="L186" s="45" t="n">
        <f aca="false">F186-G186</f>
        <v>-0.005419067404828</v>
      </c>
      <c r="M186" s="46" t="n">
        <v>0.2043114</v>
      </c>
      <c r="N186" s="46" t="n">
        <v>0.1129228</v>
      </c>
      <c r="O186" s="46" t="n">
        <v>0.2054453</v>
      </c>
      <c r="P186" s="46" t="n">
        <v>0.5720276</v>
      </c>
      <c r="Q186" s="46" t="n">
        <v>3.0744531</v>
      </c>
      <c r="R186" s="46" t="n">
        <v>2.4528772</v>
      </c>
      <c r="S186" s="47" t="n">
        <f aca="false">M186+N186+O186</f>
        <v>0.5226795</v>
      </c>
      <c r="T186" s="47" t="n">
        <f aca="false">M186+P186</f>
        <v>0.776339</v>
      </c>
    </row>
    <row r="187" customFormat="false" ht="15" hidden="false" customHeight="false" outlineLevel="0" collapsed="false">
      <c r="A187" s="42" t="s">
        <v>44</v>
      </c>
      <c r="B187" s="42" t="n">
        <v>-18</v>
      </c>
      <c r="C187" s="42" t="n">
        <v>86</v>
      </c>
      <c r="D187" s="42" t="n">
        <v>74271001</v>
      </c>
      <c r="E187" s="43" t="n">
        <v>0.406653785011858</v>
      </c>
      <c r="F187" s="43" t="n">
        <v>0.625917187053949</v>
      </c>
      <c r="G187" s="43" t="n">
        <v>0.832246536921564</v>
      </c>
      <c r="H187" s="43" t="n">
        <v>0.810873240667343</v>
      </c>
      <c r="I187" s="42" t="n">
        <v>1</v>
      </c>
      <c r="J187" s="42" t="n">
        <v>1</v>
      </c>
      <c r="K187" s="44" t="str">
        <f aca="false">IF(AND(I187=1,J187=1),"两者都跟住",IF(AND(I187=0,J187=1),"仅 PC-TBD 跟住",IF(AND(I187=1,J187=0),"仅 VIT-LPS 跟住","都没跟住")))</f>
        <v>两者都跟住</v>
      </c>
      <c r="L187" s="45" t="n">
        <f aca="false">F187-G187</f>
        <v>-0.206329349867615</v>
      </c>
      <c r="M187" s="46" t="n">
        <v>0.1542028</v>
      </c>
      <c r="N187" s="46" t="n">
        <v>0.1489492</v>
      </c>
      <c r="O187" s="46" t="n">
        <v>0.206706</v>
      </c>
      <c r="P187" s="46" t="n">
        <v>0.5180629</v>
      </c>
      <c r="Q187" s="46" t="n">
        <v>2.2983447</v>
      </c>
      <c r="R187" s="46" t="n">
        <v>2.5532046</v>
      </c>
      <c r="S187" s="47" t="n">
        <f aca="false">M187+N187+O187</f>
        <v>0.509858</v>
      </c>
      <c r="T187" s="47" t="n">
        <f aca="false">M187+P187</f>
        <v>0.6722657</v>
      </c>
    </row>
    <row r="188" customFormat="false" ht="15" hidden="false" customHeight="false" outlineLevel="0" collapsed="false">
      <c r="A188" s="42" t="s">
        <v>44</v>
      </c>
      <c r="B188" s="42" t="n">
        <v>-18</v>
      </c>
      <c r="C188" s="42" t="n">
        <v>87</v>
      </c>
      <c r="D188" s="42" t="n">
        <v>74271002</v>
      </c>
      <c r="E188" s="43" t="n">
        <v>0.782530897689379</v>
      </c>
      <c r="F188" s="43" t="n">
        <v>0.935836134443432</v>
      </c>
      <c r="G188" s="43" t="n">
        <v>0.7704641994951</v>
      </c>
      <c r="H188" s="43" t="n">
        <v>0.774137870580729</v>
      </c>
      <c r="I188" s="42" t="n">
        <v>1</v>
      </c>
      <c r="J188" s="42" t="n">
        <v>1</v>
      </c>
      <c r="K188" s="44" t="str">
        <f aca="false">IF(AND(I188=1,J188=1),"两者都跟住",IF(AND(I188=0,J188=1),"仅 PC-TBD 跟住",IF(AND(I188=1,J188=0),"仅 VIT-LPS 跟住","都没跟住")))</f>
        <v>两者都跟住</v>
      </c>
      <c r="L188" s="45" t="n">
        <f aca="false">F188-G188</f>
        <v>0.165371934948332</v>
      </c>
      <c r="M188" s="46" t="n">
        <v>0.135646</v>
      </c>
      <c r="N188" s="46" t="n">
        <v>0.0978484</v>
      </c>
      <c r="O188" s="46" t="n">
        <v>0.1505384</v>
      </c>
      <c r="P188" s="46" t="n">
        <v>0.3833897</v>
      </c>
      <c r="Q188" s="46" t="n">
        <v>2.1173725</v>
      </c>
      <c r="R188" s="46" t="n">
        <v>1.3276106</v>
      </c>
      <c r="S188" s="47" t="n">
        <f aca="false">M188+N188+O188</f>
        <v>0.3840328</v>
      </c>
      <c r="T188" s="47" t="n">
        <f aca="false">M188+P188</f>
        <v>0.5190357</v>
      </c>
    </row>
    <row r="189" customFormat="false" ht="15" hidden="false" customHeight="false" outlineLevel="0" collapsed="false">
      <c r="A189" s="42" t="s">
        <v>44</v>
      </c>
      <c r="B189" s="42" t="n">
        <v>-18</v>
      </c>
      <c r="C189" s="42" t="n">
        <v>88</v>
      </c>
      <c r="D189" s="42" t="n">
        <v>74271003</v>
      </c>
      <c r="E189" s="43" t="n">
        <v>0.241958761982954</v>
      </c>
      <c r="F189" s="43" t="n">
        <v>0.544793447024661</v>
      </c>
      <c r="G189" s="43" t="n">
        <v>0.333313086501959</v>
      </c>
      <c r="H189" s="43" t="n">
        <v>0.334803561537763</v>
      </c>
      <c r="I189" s="42" t="n">
        <v>1</v>
      </c>
      <c r="J189" s="42" t="n">
        <v>0</v>
      </c>
      <c r="K189" s="44" t="str">
        <f aca="false">IF(AND(I189=1,J189=1),"两者都跟住",IF(AND(I189=0,J189=1),"仅 PC-TBD 跟住",IF(AND(I189=1,J189=0),"仅 VIT-LPS 跟住","都没跟住")))</f>
        <v>仅 VIT-LPS 跟住</v>
      </c>
      <c r="L189" s="45" t="n">
        <f aca="false">F189-G189</f>
        <v>0.211480360522702</v>
      </c>
      <c r="M189" s="46" t="n">
        <v>0.1255522</v>
      </c>
      <c r="N189" s="46" t="n">
        <v>0.0772279</v>
      </c>
      <c r="O189" s="46" t="n">
        <v>0.1258255</v>
      </c>
      <c r="P189" s="46" t="n">
        <v>0.401141</v>
      </c>
      <c r="Q189" s="46" t="n">
        <v>4.888933</v>
      </c>
      <c r="R189" s="46" t="n">
        <v>2.0104333</v>
      </c>
      <c r="S189" s="47" t="n">
        <f aca="false">M189+N189+O189</f>
        <v>0.3286056</v>
      </c>
      <c r="T189" s="47" t="n">
        <f aca="false">M189+P189</f>
        <v>0.5266932</v>
      </c>
    </row>
    <row r="190" customFormat="false" ht="15" hidden="false" customHeight="false" outlineLevel="0" collapsed="false">
      <c r="A190" s="42" t="s">
        <v>44</v>
      </c>
      <c r="B190" s="42" t="n">
        <v>-18</v>
      </c>
      <c r="C190" s="42" t="n">
        <v>89</v>
      </c>
      <c r="D190" s="42" t="n">
        <v>74271004</v>
      </c>
      <c r="E190" s="43" t="n">
        <v>0.0164433719663427</v>
      </c>
      <c r="F190" s="43" t="n">
        <v>0.0104925243982793</v>
      </c>
      <c r="G190" s="43" t="n">
        <v>0.588150197417966</v>
      </c>
      <c r="H190" s="43" t="n">
        <v>0.620635425724722</v>
      </c>
      <c r="I190" s="42" t="n">
        <v>0</v>
      </c>
      <c r="J190" s="42" t="n">
        <v>1</v>
      </c>
      <c r="K190" s="44" t="str">
        <f aca="false">IF(AND(I190=1,J190=1),"两者都跟住",IF(AND(I190=0,J190=1),"仅 PC-TBD 跟住",IF(AND(I190=1,J190=0),"仅 VIT-LPS 跟住","都没跟住")))</f>
        <v>仅 PC-TBD 跟住</v>
      </c>
      <c r="L190" s="45" t="n">
        <f aca="false">F190-G190</f>
        <v>-0.577657673019687</v>
      </c>
      <c r="M190" s="46" t="n">
        <v>0.1376032</v>
      </c>
      <c r="N190" s="46" t="n">
        <v>0.1123103</v>
      </c>
      <c r="O190" s="46" t="n">
        <v>0.2769443</v>
      </c>
      <c r="P190" s="46" t="n">
        <v>0.4562019</v>
      </c>
      <c r="Q190" s="46" t="n">
        <v>3.2116754</v>
      </c>
      <c r="R190" s="46" t="n">
        <v>2.1754709</v>
      </c>
      <c r="S190" s="47" t="n">
        <f aca="false">M190+N190+O190</f>
        <v>0.5268578</v>
      </c>
      <c r="T190" s="47" t="n">
        <f aca="false">M190+P190</f>
        <v>0.5938051</v>
      </c>
    </row>
    <row r="191" customFormat="false" ht="15" hidden="false" customHeight="false" outlineLevel="0" collapsed="false">
      <c r="A191" s="42" t="s">
        <v>44</v>
      </c>
      <c r="B191" s="42" t="n">
        <v>-18</v>
      </c>
      <c r="C191" s="42" t="n">
        <v>90</v>
      </c>
      <c r="D191" s="42" t="n">
        <v>74271005</v>
      </c>
      <c r="E191" s="43" t="n">
        <v>0.681683140091701</v>
      </c>
      <c r="F191" s="43" t="n">
        <v>0.941173693934095</v>
      </c>
      <c r="G191" s="43" t="n">
        <v>0.927812656864914</v>
      </c>
      <c r="H191" s="43" t="n">
        <v>0.927294094680673</v>
      </c>
      <c r="I191" s="42" t="n">
        <v>1</v>
      </c>
      <c r="J191" s="42" t="n">
        <v>1</v>
      </c>
      <c r="K191" s="44" t="str">
        <f aca="false">IF(AND(I191=1,J191=1),"两者都跟住",IF(AND(I191=0,J191=1),"仅 PC-TBD 跟住",IF(AND(I191=1,J191=0),"仅 VIT-LPS 跟住","都没跟住")))</f>
        <v>两者都跟住</v>
      </c>
      <c r="L191" s="45" t="n">
        <f aca="false">F191-G191</f>
        <v>0.013361037069181</v>
      </c>
      <c r="M191" s="46" t="n">
        <v>0.1411709</v>
      </c>
      <c r="N191" s="46" t="n">
        <v>0.0895826</v>
      </c>
      <c r="O191" s="46" t="n">
        <v>0.1423594</v>
      </c>
      <c r="P191" s="46" t="n">
        <v>0.4966434</v>
      </c>
      <c r="Q191" s="46" t="n">
        <v>1.9983817</v>
      </c>
      <c r="R191" s="46" t="n">
        <v>1.3652316</v>
      </c>
      <c r="S191" s="47" t="n">
        <f aca="false">M191+N191+O191</f>
        <v>0.3731129</v>
      </c>
      <c r="T191" s="47" t="n">
        <f aca="false">M191+P191</f>
        <v>0.6378143</v>
      </c>
    </row>
    <row r="192" customFormat="false" ht="15" hidden="false" customHeight="false" outlineLevel="0" collapsed="false">
      <c r="A192" s="42" t="s">
        <v>44</v>
      </c>
      <c r="B192" s="42" t="n">
        <v>-18</v>
      </c>
      <c r="C192" s="42" t="n">
        <v>91</v>
      </c>
      <c r="D192" s="42" t="n">
        <v>74271006</v>
      </c>
      <c r="E192" s="43" t="n">
        <v>0.239967102715753</v>
      </c>
      <c r="F192" s="43" t="n">
        <v>0.816211252218556</v>
      </c>
      <c r="G192" s="43" t="n">
        <v>0.592554150720106</v>
      </c>
      <c r="H192" s="43" t="n">
        <v>0.596110813591972</v>
      </c>
      <c r="I192" s="42" t="n">
        <v>1</v>
      </c>
      <c r="J192" s="42" t="n">
        <v>1</v>
      </c>
      <c r="K192" s="44" t="str">
        <f aca="false">IF(AND(I192=1,J192=1),"两者都跟住",IF(AND(I192=0,J192=1),"仅 PC-TBD 跟住",IF(AND(I192=1,J192=0),"仅 VIT-LPS 跟住","都没跟住")))</f>
        <v>两者都跟住</v>
      </c>
      <c r="L192" s="45" t="n">
        <f aca="false">F192-G192</f>
        <v>0.22365710149845</v>
      </c>
      <c r="M192" s="46" t="n">
        <v>0.2342031</v>
      </c>
      <c r="N192" s="46" t="n">
        <v>0.1178307</v>
      </c>
      <c r="O192" s="46" t="n">
        <v>0.2122716</v>
      </c>
      <c r="P192" s="46" t="n">
        <v>0.5054002</v>
      </c>
      <c r="Q192" s="46" t="n">
        <v>3.1983416</v>
      </c>
      <c r="R192" s="46" t="n">
        <v>3.5955517</v>
      </c>
      <c r="S192" s="47" t="n">
        <f aca="false">M192+N192+O192</f>
        <v>0.5643054</v>
      </c>
      <c r="T192" s="47" t="n">
        <f aca="false">M192+P192</f>
        <v>0.7396033</v>
      </c>
    </row>
    <row r="193" customFormat="false" ht="15" hidden="false" customHeight="false" outlineLevel="0" collapsed="false">
      <c r="A193" s="42" t="s">
        <v>44</v>
      </c>
      <c r="B193" s="42" t="n">
        <v>-18</v>
      </c>
      <c r="C193" s="42" t="n">
        <v>92</v>
      </c>
      <c r="D193" s="42" t="n">
        <v>74271007</v>
      </c>
      <c r="E193" s="43" t="n">
        <v>0.287973881094304</v>
      </c>
      <c r="F193" s="43" t="n">
        <v>0.770492544947858</v>
      </c>
      <c r="G193" s="43" t="n">
        <v>0.831304573457452</v>
      </c>
      <c r="H193" s="43" t="n">
        <v>0.827183755350152</v>
      </c>
      <c r="I193" s="42" t="n">
        <v>1</v>
      </c>
      <c r="J193" s="42" t="n">
        <v>1</v>
      </c>
      <c r="K193" s="44" t="str">
        <f aca="false">IF(AND(I193=1,J193=1),"两者都跟住",IF(AND(I193=0,J193=1),"仅 PC-TBD 跟住",IF(AND(I193=1,J193=0),"仅 VIT-LPS 跟住","都没跟住")))</f>
        <v>两者都跟住</v>
      </c>
      <c r="L193" s="45" t="n">
        <f aca="false">F193-G193</f>
        <v>-0.060812028509594</v>
      </c>
      <c r="M193" s="46" t="n">
        <v>0.2251883</v>
      </c>
      <c r="N193" s="46" t="n">
        <v>0.1068677</v>
      </c>
      <c r="O193" s="46" t="n">
        <v>0.2019078</v>
      </c>
      <c r="P193" s="46" t="n">
        <v>0.5140691</v>
      </c>
      <c r="Q193" s="46" t="n">
        <v>3.615632</v>
      </c>
      <c r="R193" s="46" t="n">
        <v>3.1284562</v>
      </c>
      <c r="S193" s="47" t="n">
        <f aca="false">M193+N193+O193</f>
        <v>0.5339638</v>
      </c>
      <c r="T193" s="47" t="n">
        <f aca="false">M193+P193</f>
        <v>0.7392574</v>
      </c>
    </row>
    <row r="194" customFormat="false" ht="15" hidden="false" customHeight="false" outlineLevel="0" collapsed="false">
      <c r="A194" s="42" t="s">
        <v>44</v>
      </c>
      <c r="B194" s="42" t="n">
        <v>-18</v>
      </c>
      <c r="C194" s="42" t="n">
        <v>93</v>
      </c>
      <c r="D194" s="42" t="n">
        <v>74271008</v>
      </c>
      <c r="E194" s="43" t="n">
        <v>0.469513584110407</v>
      </c>
      <c r="F194" s="43" t="n">
        <v>0.911446008956557</v>
      </c>
      <c r="G194" s="43" t="n">
        <v>0.920082183231025</v>
      </c>
      <c r="H194" s="43" t="n">
        <v>0.900091022127181</v>
      </c>
      <c r="I194" s="42" t="n">
        <v>1</v>
      </c>
      <c r="J194" s="42" t="n">
        <v>1</v>
      </c>
      <c r="K194" s="44" t="str">
        <f aca="false">IF(AND(I194=1,J194=1),"两者都跟住",IF(AND(I194=0,J194=1),"仅 PC-TBD 跟住",IF(AND(I194=1,J194=0),"仅 VIT-LPS 跟住","都没跟住")))</f>
        <v>两者都跟住</v>
      </c>
      <c r="L194" s="45" t="n">
        <f aca="false">F194-G194</f>
        <v>-0.00863617427446795</v>
      </c>
      <c r="M194" s="46" t="n">
        <v>0.2200523</v>
      </c>
      <c r="N194" s="46" t="n">
        <v>0.1394681</v>
      </c>
      <c r="O194" s="46" t="n">
        <v>0.2250608</v>
      </c>
      <c r="P194" s="46" t="n">
        <v>0.6464893</v>
      </c>
      <c r="Q194" s="46" t="n">
        <v>2.8354019</v>
      </c>
      <c r="R194" s="46" t="n">
        <v>2.5271452</v>
      </c>
      <c r="S194" s="47" t="n">
        <f aca="false">M194+N194+O194</f>
        <v>0.5845812</v>
      </c>
      <c r="T194" s="47" t="n">
        <f aca="false">M194+P194</f>
        <v>0.8665416</v>
      </c>
    </row>
    <row r="195" customFormat="false" ht="15" hidden="false" customHeight="false" outlineLevel="0" collapsed="false">
      <c r="A195" s="42" t="s">
        <v>44</v>
      </c>
      <c r="B195" s="42" t="n">
        <v>-18</v>
      </c>
      <c r="C195" s="42" t="n">
        <v>94</v>
      </c>
      <c r="D195" s="42" t="n">
        <v>74271009</v>
      </c>
      <c r="E195" s="43" t="n">
        <v>0.575385053303008</v>
      </c>
      <c r="F195" s="43" t="n">
        <v>0.756000927732148</v>
      </c>
      <c r="G195" s="43" t="n">
        <v>0.563932087129481</v>
      </c>
      <c r="H195" s="43" t="n">
        <v>0.582806177146134</v>
      </c>
      <c r="I195" s="42" t="n">
        <v>1</v>
      </c>
      <c r="J195" s="42" t="n">
        <v>0</v>
      </c>
      <c r="K195" s="44" t="str">
        <f aca="false">IF(AND(I195=1,J195=1),"两者都跟住",IF(AND(I195=0,J195=1),"仅 PC-TBD 跟住",IF(AND(I195=1,J195=0),"仅 VIT-LPS 跟住","都没跟住")))</f>
        <v>仅 VIT-LPS 跟住</v>
      </c>
      <c r="L195" s="45" t="n">
        <f aca="false">F195-G195</f>
        <v>0.192068840602667</v>
      </c>
      <c r="M195" s="46" t="n">
        <v>0.24654</v>
      </c>
      <c r="N195" s="46" t="n">
        <v>0.1207333</v>
      </c>
      <c r="O195" s="46" t="n">
        <v>0.2682711</v>
      </c>
      <c r="P195" s="46" t="n">
        <v>0.5636135</v>
      </c>
      <c r="Q195" s="46" t="n">
        <v>1.8321186</v>
      </c>
      <c r="R195" s="46" t="n">
        <v>2.434881</v>
      </c>
      <c r="S195" s="47" t="n">
        <f aca="false">M195+N195+O195</f>
        <v>0.6355444</v>
      </c>
      <c r="T195" s="47" t="n">
        <f aca="false">M195+P195</f>
        <v>0.8101535</v>
      </c>
    </row>
    <row r="196" customFormat="false" ht="15" hidden="false" customHeight="false" outlineLevel="0" collapsed="false">
      <c r="A196" s="42" t="s">
        <v>44</v>
      </c>
      <c r="B196" s="42" t="n">
        <v>-18</v>
      </c>
      <c r="C196" s="42" t="n">
        <v>95</v>
      </c>
      <c r="D196" s="42" t="n">
        <v>74271010</v>
      </c>
      <c r="E196" s="43" t="n">
        <v>0.263769508208226</v>
      </c>
      <c r="F196" s="43" t="n">
        <v>0.508826256585968</v>
      </c>
      <c r="G196" s="43" t="n">
        <v>0.438484858753171</v>
      </c>
      <c r="H196" s="43" t="n">
        <v>0.449128243397659</v>
      </c>
      <c r="I196" s="42" t="n">
        <v>1</v>
      </c>
      <c r="J196" s="42" t="n">
        <v>1</v>
      </c>
      <c r="K196" s="44" t="str">
        <f aca="false">IF(AND(I196=1,J196=1),"两者都跟住",IF(AND(I196=0,J196=1),"仅 PC-TBD 跟住",IF(AND(I196=1,J196=0),"仅 VIT-LPS 跟住","都没跟住")))</f>
        <v>两者都跟住</v>
      </c>
      <c r="L196" s="45" t="n">
        <f aca="false">F196-G196</f>
        <v>0.070341397832797</v>
      </c>
      <c r="M196" s="46" t="n">
        <v>0.2330654</v>
      </c>
      <c r="N196" s="46" t="n">
        <v>0.1351148</v>
      </c>
      <c r="O196" s="46" t="n">
        <v>0.2274957</v>
      </c>
      <c r="P196" s="46" t="n">
        <v>0.511789</v>
      </c>
      <c r="Q196" s="46" t="n">
        <v>2.4654512</v>
      </c>
      <c r="R196" s="46" t="n">
        <v>2.6299339</v>
      </c>
      <c r="S196" s="47" t="n">
        <f aca="false">M196+N196+O196</f>
        <v>0.5956759</v>
      </c>
      <c r="T196" s="47" t="n">
        <f aca="false">M196+P196</f>
        <v>0.7448544</v>
      </c>
    </row>
    <row r="197" customFormat="false" ht="15" hidden="false" customHeight="false" outlineLevel="0" collapsed="false">
      <c r="A197" s="42" t="s">
        <v>44</v>
      </c>
      <c r="B197" s="42" t="n">
        <v>-18</v>
      </c>
      <c r="C197" s="42" t="n">
        <v>96</v>
      </c>
      <c r="D197" s="42" t="n">
        <v>74271011</v>
      </c>
      <c r="E197" s="43" t="n">
        <v>0.410314341895756</v>
      </c>
      <c r="F197" s="43" t="n">
        <v>0.744098930393926</v>
      </c>
      <c r="G197" s="43" t="n">
        <v>0.839038948117339</v>
      </c>
      <c r="H197" s="43" t="n">
        <v>0.871436539298747</v>
      </c>
      <c r="I197" s="42" t="n">
        <v>1</v>
      </c>
      <c r="J197" s="42" t="n">
        <v>1</v>
      </c>
      <c r="K197" s="44" t="str">
        <f aca="false">IF(AND(I197=1,J197=1),"两者都跟住",IF(AND(I197=0,J197=1),"仅 PC-TBD 跟住",IF(AND(I197=1,J197=0),"仅 VIT-LPS 跟住","都没跟住")))</f>
        <v>两者都跟住</v>
      </c>
      <c r="L197" s="45" t="n">
        <f aca="false">F197-G197</f>
        <v>-0.094940017723413</v>
      </c>
      <c r="M197" s="46" t="n">
        <v>0.2079495</v>
      </c>
      <c r="N197" s="46" t="n">
        <v>0.1355398</v>
      </c>
      <c r="O197" s="46" t="n">
        <v>0.2104214</v>
      </c>
      <c r="P197" s="46" t="n">
        <v>0.4894122</v>
      </c>
      <c r="Q197" s="46" t="n">
        <v>2.5897176</v>
      </c>
      <c r="R197" s="46" t="n">
        <v>3.4183327</v>
      </c>
      <c r="S197" s="47" t="n">
        <f aca="false">M197+N197+O197</f>
        <v>0.5539107</v>
      </c>
      <c r="T197" s="47" t="n">
        <f aca="false">M197+P197</f>
        <v>0.6973617</v>
      </c>
    </row>
    <row r="198" customFormat="false" ht="15" hidden="false" customHeight="false" outlineLevel="0" collapsed="false">
      <c r="A198" s="42" t="s">
        <v>44</v>
      </c>
      <c r="B198" s="42" t="n">
        <v>-18</v>
      </c>
      <c r="C198" s="42" t="n">
        <v>97</v>
      </c>
      <c r="D198" s="42" t="n">
        <v>74271012</v>
      </c>
      <c r="E198" s="43" t="n">
        <v>0.382886076884499</v>
      </c>
      <c r="F198" s="43" t="n">
        <v>0.713208694623659</v>
      </c>
      <c r="G198" s="43" t="n">
        <v>0.791711240837381</v>
      </c>
      <c r="H198" s="43" t="n">
        <v>0.778501430305614</v>
      </c>
      <c r="I198" s="42" t="n">
        <v>1</v>
      </c>
      <c r="J198" s="42" t="n">
        <v>1</v>
      </c>
      <c r="K198" s="44" t="str">
        <f aca="false">IF(AND(I198=1,J198=1),"两者都跟住",IF(AND(I198=0,J198=1),"仅 PC-TBD 跟住",IF(AND(I198=1,J198=0),"仅 VIT-LPS 跟住","都没跟住")))</f>
        <v>两者都跟住</v>
      </c>
      <c r="L198" s="45" t="n">
        <f aca="false">F198-G198</f>
        <v>-0.078502546213722</v>
      </c>
      <c r="M198" s="46" t="n">
        <v>0.139032</v>
      </c>
      <c r="N198" s="46" t="n">
        <v>0.1023911</v>
      </c>
      <c r="O198" s="46" t="n">
        <v>0.1611742</v>
      </c>
      <c r="P198" s="46" t="n">
        <v>0.5052441</v>
      </c>
      <c r="Q198" s="46" t="n">
        <v>3.6546361</v>
      </c>
      <c r="R198" s="46" t="n">
        <v>1.1248224</v>
      </c>
      <c r="S198" s="47" t="n">
        <f aca="false">M198+N198+O198</f>
        <v>0.4025973</v>
      </c>
      <c r="T198" s="47" t="n">
        <f aca="false">M198+P198</f>
        <v>0.6442761</v>
      </c>
    </row>
    <row r="199" customFormat="false" ht="15" hidden="false" customHeight="false" outlineLevel="0" collapsed="false">
      <c r="A199" s="42" t="s">
        <v>44</v>
      </c>
      <c r="B199" s="42" t="n">
        <v>-18</v>
      </c>
      <c r="C199" s="42" t="n">
        <v>98</v>
      </c>
      <c r="D199" s="42" t="n">
        <v>74271013</v>
      </c>
      <c r="E199" s="43" t="n">
        <v>0.670945794132682</v>
      </c>
      <c r="F199" s="43" t="n">
        <v>0.880504999559201</v>
      </c>
      <c r="G199" s="43" t="n">
        <v>0.82699941933982</v>
      </c>
      <c r="H199" s="43" t="n">
        <v>0.820027584533446</v>
      </c>
      <c r="I199" s="42" t="n">
        <v>1</v>
      </c>
      <c r="J199" s="42" t="n">
        <v>1</v>
      </c>
      <c r="K199" s="44" t="str">
        <f aca="false">IF(AND(I199=1,J199=1),"两者都跟住",IF(AND(I199=0,J199=1),"仅 PC-TBD 跟住",IF(AND(I199=1,J199=0),"仅 VIT-LPS 跟住","都没跟住")))</f>
        <v>两者都跟住</v>
      </c>
      <c r="L199" s="45" t="n">
        <f aca="false">F199-G199</f>
        <v>0.053505580219381</v>
      </c>
      <c r="M199" s="46" t="n">
        <v>0.1563472</v>
      </c>
      <c r="N199" s="46" t="n">
        <v>0.1303093</v>
      </c>
      <c r="O199" s="46" t="n">
        <v>0.2178379</v>
      </c>
      <c r="P199" s="46" t="n">
        <v>0.5083422</v>
      </c>
      <c r="Q199" s="46" t="n">
        <v>1.5730078</v>
      </c>
      <c r="R199" s="46" t="n">
        <v>1.4028572</v>
      </c>
      <c r="S199" s="47" t="n">
        <f aca="false">M199+N199+O199</f>
        <v>0.5044944</v>
      </c>
      <c r="T199" s="47" t="n">
        <f aca="false">M199+P199</f>
        <v>0.6646894</v>
      </c>
    </row>
    <row r="200" customFormat="false" ht="15" hidden="false" customHeight="false" outlineLevel="0" collapsed="false">
      <c r="A200" s="42" t="s">
        <v>44</v>
      </c>
      <c r="B200" s="42" t="n">
        <v>-18</v>
      </c>
      <c r="C200" s="42" t="n">
        <v>99</v>
      </c>
      <c r="D200" s="42" t="n">
        <v>74271014</v>
      </c>
      <c r="E200" s="43" t="n">
        <v>0.522842827135932</v>
      </c>
      <c r="F200" s="43" t="n">
        <v>0.866784441579498</v>
      </c>
      <c r="G200" s="43" t="n">
        <v>0.8106778460083</v>
      </c>
      <c r="H200" s="43" t="n">
        <v>0.863774218608343</v>
      </c>
      <c r="I200" s="42" t="n">
        <v>1</v>
      </c>
      <c r="J200" s="42" t="n">
        <v>1</v>
      </c>
      <c r="K200" s="44" t="str">
        <f aca="false">IF(AND(I200=1,J200=1),"两者都跟住",IF(AND(I200=0,J200=1),"仅 PC-TBD 跟住",IF(AND(I200=1,J200=0),"仅 VIT-LPS 跟住","都没跟住")))</f>
        <v>两者都跟住</v>
      </c>
      <c r="L200" s="45" t="n">
        <f aca="false">F200-G200</f>
        <v>0.056106595571198</v>
      </c>
      <c r="M200" s="46" t="n">
        <v>0.1651596</v>
      </c>
      <c r="N200" s="46" t="n">
        <v>0.1066961</v>
      </c>
      <c r="O200" s="46" t="n">
        <v>0.1114723</v>
      </c>
      <c r="P200" s="46" t="n">
        <v>0.4547026</v>
      </c>
      <c r="Q200" s="46" t="n">
        <v>2.2324828</v>
      </c>
      <c r="R200" s="46" t="n">
        <v>1.2983113</v>
      </c>
      <c r="S200" s="47" t="n">
        <f aca="false">M200+N200+O200</f>
        <v>0.383328</v>
      </c>
      <c r="T200" s="47" t="n">
        <f aca="false">M200+P200</f>
        <v>0.6198622</v>
      </c>
    </row>
    <row r="201" customFormat="false" ht="15" hidden="false" customHeight="false" outlineLevel="0" collapsed="false">
      <c r="A201" s="42" t="s">
        <v>44</v>
      </c>
      <c r="B201" s="42" t="n">
        <v>-18</v>
      </c>
      <c r="C201" s="42" t="n">
        <v>100</v>
      </c>
      <c r="D201" s="42" t="n">
        <v>74271015</v>
      </c>
      <c r="E201" s="43" t="n">
        <v>0.405709327677473</v>
      </c>
      <c r="F201" s="43" t="n">
        <v>0.617556146284226</v>
      </c>
      <c r="G201" s="43" t="n">
        <v>0.651223997365557</v>
      </c>
      <c r="H201" s="43" t="n">
        <v>0.681897629872105</v>
      </c>
      <c r="I201" s="42" t="n">
        <v>1</v>
      </c>
      <c r="J201" s="42" t="n">
        <v>1</v>
      </c>
      <c r="K201" s="44" t="str">
        <f aca="false">IF(AND(I201=1,J201=1),"两者都跟住",IF(AND(I201=0,J201=1),"仅 PC-TBD 跟住",IF(AND(I201=1,J201=0),"仅 VIT-LPS 跟住","都没跟住")))</f>
        <v>两者都跟住</v>
      </c>
      <c r="L201" s="45" t="n">
        <f aca="false">F201-G201</f>
        <v>-0.0336678510813311</v>
      </c>
      <c r="M201" s="46" t="n">
        <v>0.206793</v>
      </c>
      <c r="N201" s="46" t="n">
        <v>0.1335153</v>
      </c>
      <c r="O201" s="46" t="n">
        <v>0.3175542</v>
      </c>
      <c r="P201" s="46" t="n">
        <v>0.650431</v>
      </c>
      <c r="Q201" s="46" t="n">
        <v>2.5887342</v>
      </c>
      <c r="R201" s="46" t="n">
        <v>1.7546404</v>
      </c>
      <c r="S201" s="47" t="n">
        <f aca="false">M201+N201+O201</f>
        <v>0.6578625</v>
      </c>
      <c r="T201" s="47" t="n">
        <f aca="false">M201+P201</f>
        <v>0.857224</v>
      </c>
    </row>
    <row r="202" customFormat="false" ht="15" hidden="false" customHeight="false" outlineLevel="0" collapsed="false">
      <c r="A202" s="42" t="s">
        <v>44</v>
      </c>
      <c r="B202" s="42" t="n">
        <v>-16</v>
      </c>
      <c r="C202" s="42" t="n">
        <v>1</v>
      </c>
      <c r="D202" s="42" t="n">
        <v>74270916</v>
      </c>
      <c r="E202" s="43" t="n">
        <v>0.711030657664847</v>
      </c>
      <c r="F202" s="43" t="n">
        <v>0.962730097889999</v>
      </c>
      <c r="G202" s="43" t="n">
        <v>0.964111598490697</v>
      </c>
      <c r="H202" s="43" t="n">
        <v>0.963355957800038</v>
      </c>
      <c r="I202" s="42" t="n">
        <v>1</v>
      </c>
      <c r="J202" s="42" t="n">
        <v>1</v>
      </c>
      <c r="K202" s="44" t="str">
        <f aca="false">IF(AND(I202=1,J202=1),"两者都跟住",IF(AND(I202=0,J202=1),"仅 PC-TBD 跟住",IF(AND(I202=1,J202=0),"仅 VIT-LPS 跟住","都没跟住")))</f>
        <v>两者都跟住</v>
      </c>
      <c r="L202" s="45" t="n">
        <f aca="false">F202-G202</f>
        <v>-0.00138150060069808</v>
      </c>
      <c r="M202" s="46" t="n">
        <v>0.7057952</v>
      </c>
      <c r="N202" s="46" t="n">
        <v>0.614701</v>
      </c>
      <c r="O202" s="46" t="n">
        <v>4.4180166</v>
      </c>
      <c r="P202" s="46" t="n">
        <v>1.1467285</v>
      </c>
      <c r="Q202" s="46" t="n">
        <v>4.9360991</v>
      </c>
      <c r="R202" s="46" t="n">
        <v>2.5840575</v>
      </c>
      <c r="S202" s="47" t="n">
        <f aca="false">M202+N202+O202</f>
        <v>5.7385128</v>
      </c>
      <c r="T202" s="47" t="n">
        <f aca="false">M202+P202</f>
        <v>1.8525237</v>
      </c>
    </row>
    <row r="203" customFormat="false" ht="15" hidden="false" customHeight="false" outlineLevel="0" collapsed="false">
      <c r="A203" s="42" t="s">
        <v>44</v>
      </c>
      <c r="B203" s="42" t="n">
        <v>-16</v>
      </c>
      <c r="C203" s="42" t="n">
        <v>2</v>
      </c>
      <c r="D203" s="42" t="n">
        <v>74270917</v>
      </c>
      <c r="E203" s="43" t="n">
        <v>0.800124263674869</v>
      </c>
      <c r="F203" s="43" t="n">
        <v>0.914801092390575</v>
      </c>
      <c r="G203" s="43" t="n">
        <v>0.918891379468595</v>
      </c>
      <c r="H203" s="43" t="n">
        <v>0.906972572600803</v>
      </c>
      <c r="I203" s="42" t="n">
        <v>1</v>
      </c>
      <c r="J203" s="42" t="n">
        <v>1</v>
      </c>
      <c r="K203" s="44" t="str">
        <f aca="false">IF(AND(I203=1,J203=1),"两者都跟住",IF(AND(I203=0,J203=1),"仅 PC-TBD 跟住",IF(AND(I203=1,J203=0),"仅 VIT-LPS 跟住","都没跟住")))</f>
        <v>两者都跟住</v>
      </c>
      <c r="L203" s="45" t="n">
        <f aca="false">F203-G203</f>
        <v>-0.00409028707801995</v>
      </c>
      <c r="M203" s="46" t="n">
        <v>0.6998987</v>
      </c>
      <c r="N203" s="46" t="n">
        <v>0.6624072</v>
      </c>
      <c r="O203" s="46" t="n">
        <v>4.06283</v>
      </c>
      <c r="P203" s="46" t="n">
        <v>1.1825352</v>
      </c>
      <c r="Q203" s="46" t="n">
        <v>5.0364851</v>
      </c>
      <c r="R203" s="46" t="n">
        <v>2.4222079</v>
      </c>
      <c r="S203" s="47" t="n">
        <f aca="false">M203+N203+O203</f>
        <v>5.4251359</v>
      </c>
      <c r="T203" s="47" t="n">
        <f aca="false">M203+P203</f>
        <v>1.8824339</v>
      </c>
    </row>
    <row r="204" customFormat="false" ht="15" hidden="false" customHeight="false" outlineLevel="0" collapsed="false">
      <c r="A204" s="42" t="s">
        <v>44</v>
      </c>
      <c r="B204" s="42" t="n">
        <v>-16</v>
      </c>
      <c r="C204" s="42" t="n">
        <v>3</v>
      </c>
      <c r="D204" s="42" t="n">
        <v>74270918</v>
      </c>
      <c r="E204" s="43" t="n">
        <v>0.390522691626984</v>
      </c>
      <c r="F204" s="43" t="n">
        <v>0.911534042408623</v>
      </c>
      <c r="G204" s="43" t="n">
        <v>0.91453060338213</v>
      </c>
      <c r="H204" s="43" t="n">
        <v>0.90591969652017</v>
      </c>
      <c r="I204" s="42" t="n">
        <v>1</v>
      </c>
      <c r="J204" s="42" t="n">
        <v>1</v>
      </c>
      <c r="K204" s="44" t="str">
        <f aca="false">IF(AND(I204=1,J204=1),"两者都跟住",IF(AND(I204=0,J204=1),"仅 PC-TBD 跟住",IF(AND(I204=1,J204=0),"仅 VIT-LPS 跟住","都没跟住")))</f>
        <v>两者都跟住</v>
      </c>
      <c r="L204" s="45" t="n">
        <f aca="false">F204-G204</f>
        <v>-0.00299656097350698</v>
      </c>
      <c r="M204" s="46" t="n">
        <v>0.738732</v>
      </c>
      <c r="N204" s="46" t="n">
        <v>0.6129058</v>
      </c>
      <c r="O204" s="46" t="n">
        <v>4.0839784</v>
      </c>
      <c r="P204" s="46" t="n">
        <v>1.1744168</v>
      </c>
      <c r="Q204" s="46" t="n">
        <v>5.0500131</v>
      </c>
      <c r="R204" s="46" t="n">
        <v>2.7853174</v>
      </c>
      <c r="S204" s="47" t="n">
        <f aca="false">M204+N204+O204</f>
        <v>5.4356162</v>
      </c>
      <c r="T204" s="47" t="n">
        <f aca="false">M204+P204</f>
        <v>1.9131488</v>
      </c>
    </row>
    <row r="205" customFormat="false" ht="15" hidden="false" customHeight="false" outlineLevel="0" collapsed="false">
      <c r="A205" s="42" t="s">
        <v>44</v>
      </c>
      <c r="B205" s="42" t="n">
        <v>-16</v>
      </c>
      <c r="C205" s="42" t="n">
        <v>4</v>
      </c>
      <c r="D205" s="42" t="n">
        <v>74270919</v>
      </c>
      <c r="E205" s="43" t="n">
        <v>0.909522615148691</v>
      </c>
      <c r="F205" s="43" t="n">
        <v>0.951526911720287</v>
      </c>
      <c r="G205" s="43" t="n">
        <v>0.907402948163379</v>
      </c>
      <c r="H205" s="43" t="n">
        <v>0.924308401055781</v>
      </c>
      <c r="I205" s="42" t="n">
        <v>1</v>
      </c>
      <c r="J205" s="42" t="n">
        <v>1</v>
      </c>
      <c r="K205" s="44" t="str">
        <f aca="false">IF(AND(I205=1,J205=1),"两者都跟住",IF(AND(I205=0,J205=1),"仅 PC-TBD 跟住",IF(AND(I205=1,J205=0),"仅 VIT-LPS 跟住","都没跟住")))</f>
        <v>两者都跟住</v>
      </c>
      <c r="L205" s="45" t="n">
        <f aca="false">F205-G205</f>
        <v>0.0441239635569081</v>
      </c>
      <c r="M205" s="46" t="n">
        <v>0.6854592</v>
      </c>
      <c r="N205" s="46" t="n">
        <v>0.6310352</v>
      </c>
      <c r="O205" s="46" t="n">
        <v>4.1527038</v>
      </c>
      <c r="P205" s="46" t="n">
        <v>1.1939593</v>
      </c>
      <c r="Q205" s="46" t="n">
        <v>4.5309562</v>
      </c>
      <c r="R205" s="46" t="n">
        <v>2.5291568</v>
      </c>
      <c r="S205" s="47" t="n">
        <f aca="false">M205+N205+O205</f>
        <v>5.4691982</v>
      </c>
      <c r="T205" s="47" t="n">
        <f aca="false">M205+P205</f>
        <v>1.8794185</v>
      </c>
    </row>
    <row r="206" customFormat="false" ht="15" hidden="false" customHeight="false" outlineLevel="0" collapsed="false">
      <c r="A206" s="42" t="s">
        <v>44</v>
      </c>
      <c r="B206" s="42" t="n">
        <v>-16</v>
      </c>
      <c r="C206" s="42" t="n">
        <v>5</v>
      </c>
      <c r="D206" s="42" t="n">
        <v>74270920</v>
      </c>
      <c r="E206" s="43" t="n">
        <v>0.655957365930402</v>
      </c>
      <c r="F206" s="43" t="n">
        <v>0.932607115726103</v>
      </c>
      <c r="G206" s="43" t="n">
        <v>0.934798178813648</v>
      </c>
      <c r="H206" s="43" t="n">
        <v>0.94784658783578</v>
      </c>
      <c r="I206" s="42" t="n">
        <v>1</v>
      </c>
      <c r="J206" s="42" t="n">
        <v>1</v>
      </c>
      <c r="K206" s="44" t="str">
        <f aca="false">IF(AND(I206=1,J206=1),"两者都跟住",IF(AND(I206=0,J206=1),"仅 PC-TBD 跟住",IF(AND(I206=1,J206=0),"仅 VIT-LPS 跟住","都没跟住")))</f>
        <v>两者都跟住</v>
      </c>
      <c r="L206" s="45" t="n">
        <f aca="false">F206-G206</f>
        <v>-0.00219106308754502</v>
      </c>
      <c r="M206" s="46" t="n">
        <v>0.7478549</v>
      </c>
      <c r="N206" s="46" t="n">
        <v>0.5737659</v>
      </c>
      <c r="O206" s="46" t="n">
        <v>4.1561823</v>
      </c>
      <c r="P206" s="46" t="n">
        <v>1.1606239</v>
      </c>
      <c r="Q206" s="46" t="n">
        <v>4.4549013</v>
      </c>
      <c r="R206" s="46" t="n">
        <v>2.3979341</v>
      </c>
      <c r="S206" s="47" t="n">
        <f aca="false">M206+N206+O206</f>
        <v>5.4778031</v>
      </c>
      <c r="T206" s="47" t="n">
        <f aca="false">M206+P206</f>
        <v>1.9084788</v>
      </c>
    </row>
    <row r="207" customFormat="false" ht="15" hidden="false" customHeight="false" outlineLevel="0" collapsed="false">
      <c r="A207" s="42" t="s">
        <v>44</v>
      </c>
      <c r="B207" s="42" t="n">
        <v>-16</v>
      </c>
      <c r="C207" s="42" t="n">
        <v>6</v>
      </c>
      <c r="D207" s="42" t="n">
        <v>74270921</v>
      </c>
      <c r="E207" s="43" t="n">
        <v>0.47518740710942</v>
      </c>
      <c r="F207" s="43" t="n">
        <v>0.951055709482165</v>
      </c>
      <c r="G207" s="43" t="n">
        <v>0.836321678018497</v>
      </c>
      <c r="H207" s="43" t="n">
        <v>0.844327376433655</v>
      </c>
      <c r="I207" s="42" t="n">
        <v>1</v>
      </c>
      <c r="J207" s="42" t="n">
        <v>1</v>
      </c>
      <c r="K207" s="44" t="str">
        <f aca="false">IF(AND(I207=1,J207=1),"两者都跟住",IF(AND(I207=0,J207=1),"仅 PC-TBD 跟住",IF(AND(I207=1,J207=0),"仅 VIT-LPS 跟住","都没跟住")))</f>
        <v>两者都跟住</v>
      </c>
      <c r="L207" s="45" t="n">
        <f aca="false">F207-G207</f>
        <v>0.114734031463668</v>
      </c>
      <c r="M207" s="46" t="n">
        <v>0.6937299</v>
      </c>
      <c r="N207" s="46" t="n">
        <v>0.6441095</v>
      </c>
      <c r="O207" s="46" t="n">
        <v>4.0835315</v>
      </c>
      <c r="P207" s="46" t="n">
        <v>1.1916793</v>
      </c>
      <c r="Q207" s="46" t="n">
        <v>5.0363711</v>
      </c>
      <c r="R207" s="46" t="n">
        <v>3.2923241</v>
      </c>
      <c r="S207" s="47" t="n">
        <f aca="false">M207+N207+O207</f>
        <v>5.4213709</v>
      </c>
      <c r="T207" s="47" t="n">
        <f aca="false">M207+P207</f>
        <v>1.8854092</v>
      </c>
    </row>
    <row r="208" customFormat="false" ht="15" hidden="false" customHeight="false" outlineLevel="0" collapsed="false">
      <c r="A208" s="42" t="s">
        <v>44</v>
      </c>
      <c r="B208" s="42" t="n">
        <v>-16</v>
      </c>
      <c r="C208" s="42" t="n">
        <v>7</v>
      </c>
      <c r="D208" s="42" t="n">
        <v>74270922</v>
      </c>
      <c r="E208" s="43" t="n">
        <v>0.776263786661963</v>
      </c>
      <c r="F208" s="43" t="n">
        <v>0.962965721535594</v>
      </c>
      <c r="G208" s="43" t="n">
        <v>0.960542545223083</v>
      </c>
      <c r="H208" s="43" t="n">
        <v>0.95397396765169</v>
      </c>
      <c r="I208" s="42" t="n">
        <v>1</v>
      </c>
      <c r="J208" s="42" t="n">
        <v>1</v>
      </c>
      <c r="K208" s="44" t="str">
        <f aca="false">IF(AND(I208=1,J208=1),"两者都跟住",IF(AND(I208=0,J208=1),"仅 PC-TBD 跟住",IF(AND(I208=1,J208=0),"仅 VIT-LPS 跟住","都没跟住")))</f>
        <v>两者都跟住</v>
      </c>
      <c r="L208" s="45" t="n">
        <f aca="false">F208-G208</f>
        <v>0.00242317631251099</v>
      </c>
      <c r="M208" s="46" t="n">
        <v>0.2716686</v>
      </c>
      <c r="N208" s="46" t="n">
        <v>0.1336143</v>
      </c>
      <c r="O208" s="46" t="n">
        <v>0.3291493</v>
      </c>
      <c r="P208" s="46" t="n">
        <v>0.5526296</v>
      </c>
      <c r="Q208" s="46" t="n">
        <v>2.3595371</v>
      </c>
      <c r="R208" s="46" t="n">
        <v>2.0021547</v>
      </c>
      <c r="S208" s="47" t="n">
        <f aca="false">M208+N208+O208</f>
        <v>0.7344322</v>
      </c>
      <c r="T208" s="47" t="n">
        <f aca="false">M208+P208</f>
        <v>0.8242982</v>
      </c>
    </row>
    <row r="209" customFormat="false" ht="15" hidden="false" customHeight="false" outlineLevel="0" collapsed="false">
      <c r="A209" s="42" t="s">
        <v>44</v>
      </c>
      <c r="B209" s="42" t="n">
        <v>-16</v>
      </c>
      <c r="C209" s="42" t="n">
        <v>8</v>
      </c>
      <c r="D209" s="42" t="n">
        <v>74270923</v>
      </c>
      <c r="E209" s="43" t="n">
        <v>0.835399185862529</v>
      </c>
      <c r="F209" s="43" t="n">
        <v>0.937191198224817</v>
      </c>
      <c r="G209" s="43" t="n">
        <v>0.907249794701833</v>
      </c>
      <c r="H209" s="43" t="n">
        <v>0.922870962163694</v>
      </c>
      <c r="I209" s="42" t="n">
        <v>1</v>
      </c>
      <c r="J209" s="42" t="n">
        <v>1</v>
      </c>
      <c r="K209" s="44" t="str">
        <f aca="false">IF(AND(I209=1,J209=1),"两者都跟住",IF(AND(I209=0,J209=1),"仅 PC-TBD 跟住",IF(AND(I209=1,J209=0),"仅 VIT-LPS 跟住","都没跟住")))</f>
        <v>两者都跟住</v>
      </c>
      <c r="L209" s="45" t="n">
        <f aca="false">F209-G209</f>
        <v>0.029941403522984</v>
      </c>
      <c r="M209" s="46" t="n">
        <v>0.2159287</v>
      </c>
      <c r="N209" s="46" t="n">
        <v>0.1259863</v>
      </c>
      <c r="O209" s="46" t="n">
        <v>0.3166396</v>
      </c>
      <c r="P209" s="46" t="n">
        <v>0.6313854</v>
      </c>
      <c r="Q209" s="46" t="n">
        <v>1.890767</v>
      </c>
      <c r="R209" s="46" t="n">
        <v>1.3748636</v>
      </c>
      <c r="S209" s="47" t="n">
        <f aca="false">M209+N209+O209</f>
        <v>0.6585546</v>
      </c>
      <c r="T209" s="47" t="n">
        <f aca="false">M209+P209</f>
        <v>0.8473141</v>
      </c>
    </row>
    <row r="210" customFormat="false" ht="15" hidden="false" customHeight="false" outlineLevel="0" collapsed="false">
      <c r="A210" s="42" t="s">
        <v>44</v>
      </c>
      <c r="B210" s="42" t="n">
        <v>-16</v>
      </c>
      <c r="C210" s="42" t="n">
        <v>9</v>
      </c>
      <c r="D210" s="42" t="n">
        <v>74270924</v>
      </c>
      <c r="E210" s="43" t="n">
        <v>0.885558660550693</v>
      </c>
      <c r="F210" s="43" t="n">
        <v>0.942082828735741</v>
      </c>
      <c r="G210" s="43" t="n">
        <v>0.941565126922745</v>
      </c>
      <c r="H210" s="43" t="n">
        <v>0.943546762155738</v>
      </c>
      <c r="I210" s="42" t="n">
        <v>1</v>
      </c>
      <c r="J210" s="42" t="n">
        <v>1</v>
      </c>
      <c r="K210" s="44" t="str">
        <f aca="false">IF(AND(I210=1,J210=1),"两者都跟住",IF(AND(I210=0,J210=1),"仅 PC-TBD 跟住",IF(AND(I210=1,J210=0),"仅 VIT-LPS 跟住","都没跟住")))</f>
        <v>两者都跟住</v>
      </c>
      <c r="L210" s="45" t="n">
        <f aca="false">F210-G210</f>
        <v>0.000517701812996041</v>
      </c>
      <c r="M210" s="46" t="n">
        <v>0.2152982</v>
      </c>
      <c r="N210" s="46" t="n">
        <v>0.0935634</v>
      </c>
      <c r="O210" s="46" t="n">
        <v>0.3406849</v>
      </c>
      <c r="P210" s="46" t="n">
        <v>0.5299222</v>
      </c>
      <c r="Q210" s="46" t="n">
        <v>2.4038987</v>
      </c>
      <c r="R210" s="46" t="n">
        <v>1.7426959</v>
      </c>
      <c r="S210" s="47" t="n">
        <f aca="false">M210+N210+O210</f>
        <v>0.6495465</v>
      </c>
      <c r="T210" s="47" t="n">
        <f aca="false">M210+P210</f>
        <v>0.7452204</v>
      </c>
    </row>
    <row r="211" customFormat="false" ht="15" hidden="false" customHeight="false" outlineLevel="0" collapsed="false">
      <c r="A211" s="42" t="s">
        <v>44</v>
      </c>
      <c r="B211" s="42" t="n">
        <v>-16</v>
      </c>
      <c r="C211" s="42" t="n">
        <v>10</v>
      </c>
      <c r="D211" s="42" t="n">
        <v>74270925</v>
      </c>
      <c r="E211" s="43" t="n">
        <v>0.681579956764966</v>
      </c>
      <c r="F211" s="43" t="n">
        <v>0.793059222434023</v>
      </c>
      <c r="G211" s="43" t="n">
        <v>0.837025777069324</v>
      </c>
      <c r="H211" s="43" t="n">
        <v>0.837025777069324</v>
      </c>
      <c r="I211" s="42" t="n">
        <v>1</v>
      </c>
      <c r="J211" s="42" t="n">
        <v>1</v>
      </c>
      <c r="K211" s="44" t="str">
        <f aca="false">IF(AND(I211=1,J211=1),"两者都跟住",IF(AND(I211=0,J211=1),"仅 PC-TBD 跟住",IF(AND(I211=1,J211=0),"仅 VIT-LPS 跟住","都没跟住")))</f>
        <v>两者都跟住</v>
      </c>
      <c r="L211" s="45" t="n">
        <f aca="false">F211-G211</f>
        <v>-0.043966554635301</v>
      </c>
      <c r="M211" s="46" t="n">
        <v>0.2125763</v>
      </c>
      <c r="N211" s="46" t="n">
        <v>0.1299826</v>
      </c>
      <c r="O211" s="46" t="n">
        <v>0.3595405</v>
      </c>
      <c r="P211" s="46" t="n">
        <v>0.5245658</v>
      </c>
      <c r="Q211" s="46" t="n">
        <v>2.092349</v>
      </c>
      <c r="R211" s="46" t="n">
        <v>2.2998192</v>
      </c>
      <c r="S211" s="47" t="n">
        <f aca="false">M211+N211+O211</f>
        <v>0.7020994</v>
      </c>
      <c r="T211" s="47" t="n">
        <f aca="false">M211+P211</f>
        <v>0.7371421</v>
      </c>
    </row>
    <row r="212" customFormat="false" ht="15" hidden="false" customHeight="false" outlineLevel="0" collapsed="false">
      <c r="A212" s="42" t="s">
        <v>44</v>
      </c>
      <c r="B212" s="42" t="n">
        <v>-16</v>
      </c>
      <c r="C212" s="42" t="n">
        <v>11</v>
      </c>
      <c r="D212" s="42" t="n">
        <v>74270926</v>
      </c>
      <c r="E212" s="43" t="n">
        <v>0.276204702987566</v>
      </c>
      <c r="F212" s="43" t="n">
        <v>0.807501103976835</v>
      </c>
      <c r="G212" s="43" t="n">
        <v>0.851490828700976</v>
      </c>
      <c r="H212" s="43" t="n">
        <v>0.842653352951459</v>
      </c>
      <c r="I212" s="42" t="n">
        <v>1</v>
      </c>
      <c r="J212" s="42" t="n">
        <v>1</v>
      </c>
      <c r="K212" s="44" t="str">
        <f aca="false">IF(AND(I212=1,J212=1),"两者都跟住",IF(AND(I212=0,J212=1),"仅 PC-TBD 跟住",IF(AND(I212=1,J212=0),"仅 VIT-LPS 跟住","都没跟住")))</f>
        <v>两者都跟住</v>
      </c>
      <c r="L212" s="45" t="n">
        <f aca="false">F212-G212</f>
        <v>-0.043989724724141</v>
      </c>
      <c r="M212" s="46" t="n">
        <v>0.3261262</v>
      </c>
      <c r="N212" s="46" t="n">
        <v>0.1641813</v>
      </c>
      <c r="O212" s="46" t="n">
        <v>0.3412909</v>
      </c>
      <c r="P212" s="46" t="n">
        <v>1.0865323</v>
      </c>
      <c r="Q212" s="46" t="n">
        <v>2.5645654</v>
      </c>
      <c r="R212" s="46" t="n">
        <v>2.4103555</v>
      </c>
      <c r="S212" s="47" t="n">
        <f aca="false">M212+N212+O212</f>
        <v>0.8315984</v>
      </c>
      <c r="T212" s="47" t="n">
        <f aca="false">M212+P212</f>
        <v>1.4126585</v>
      </c>
    </row>
    <row r="213" customFormat="false" ht="15" hidden="false" customHeight="false" outlineLevel="0" collapsed="false">
      <c r="A213" s="42" t="s">
        <v>44</v>
      </c>
      <c r="B213" s="42" t="n">
        <v>-16</v>
      </c>
      <c r="C213" s="42" t="n">
        <v>12</v>
      </c>
      <c r="D213" s="42" t="n">
        <v>74270927</v>
      </c>
      <c r="E213" s="43" t="n">
        <v>0.590857217760087</v>
      </c>
      <c r="F213" s="43" t="n">
        <v>0.94108398585113</v>
      </c>
      <c r="G213" s="43" t="n">
        <v>0.944946672919416</v>
      </c>
      <c r="H213" s="43" t="n">
        <v>0.95584924564342</v>
      </c>
      <c r="I213" s="42" t="n">
        <v>1</v>
      </c>
      <c r="J213" s="42" t="n">
        <v>1</v>
      </c>
      <c r="K213" s="44" t="str">
        <f aca="false">IF(AND(I213=1,J213=1),"两者都跟住",IF(AND(I213=0,J213=1),"仅 PC-TBD 跟住",IF(AND(I213=1,J213=0),"仅 VIT-LPS 跟住","都没跟住")))</f>
        <v>两者都跟住</v>
      </c>
      <c r="L213" s="45" t="n">
        <f aca="false">F213-G213</f>
        <v>-0.00386268706828607</v>
      </c>
      <c r="M213" s="46" t="n">
        <v>0.3055782</v>
      </c>
      <c r="N213" s="46" t="n">
        <v>0.1460845</v>
      </c>
      <c r="O213" s="46" t="n">
        <v>0.3878948</v>
      </c>
      <c r="P213" s="46" t="n">
        <v>1.0721304</v>
      </c>
      <c r="Q213" s="46" t="n">
        <v>2.6711674</v>
      </c>
      <c r="R213" s="46" t="n">
        <v>2.2492474</v>
      </c>
      <c r="S213" s="47" t="n">
        <f aca="false">M213+N213+O213</f>
        <v>0.8395575</v>
      </c>
      <c r="T213" s="47" t="n">
        <f aca="false">M213+P213</f>
        <v>1.3777086</v>
      </c>
    </row>
    <row r="214" customFormat="false" ht="15" hidden="false" customHeight="false" outlineLevel="0" collapsed="false">
      <c r="A214" s="42" t="s">
        <v>44</v>
      </c>
      <c r="B214" s="42" t="n">
        <v>-16</v>
      </c>
      <c r="C214" s="42" t="n">
        <v>13</v>
      </c>
      <c r="D214" s="42" t="n">
        <v>74270928</v>
      </c>
      <c r="E214" s="43" t="n">
        <v>0.440995365227462</v>
      </c>
      <c r="F214" s="43" t="n">
        <v>0.838708620777732</v>
      </c>
      <c r="G214" s="43" t="n">
        <v>0.823300125931423</v>
      </c>
      <c r="H214" s="43" t="n">
        <v>0.827278174174509</v>
      </c>
      <c r="I214" s="42" t="n">
        <v>1</v>
      </c>
      <c r="J214" s="42" t="n">
        <v>1</v>
      </c>
      <c r="K214" s="44" t="str">
        <f aca="false">IF(AND(I214=1,J214=1),"两者都跟住",IF(AND(I214=0,J214=1),"仅 PC-TBD 跟住",IF(AND(I214=1,J214=0),"仅 VIT-LPS 跟住","都没跟住")))</f>
        <v>两者都跟住</v>
      </c>
      <c r="L214" s="45" t="n">
        <f aca="false">F214-G214</f>
        <v>0.015408494846309</v>
      </c>
      <c r="M214" s="46" t="n">
        <v>0.3184172</v>
      </c>
      <c r="N214" s="46" t="n">
        <v>0.1194169</v>
      </c>
      <c r="O214" s="46" t="n">
        <v>0.3753193</v>
      </c>
      <c r="P214" s="46" t="n">
        <v>1.0459874</v>
      </c>
      <c r="Q214" s="46" t="n">
        <v>2.6889865</v>
      </c>
      <c r="R214" s="46" t="n">
        <v>2.4525739</v>
      </c>
      <c r="S214" s="47" t="n">
        <f aca="false">M214+N214+O214</f>
        <v>0.8131534</v>
      </c>
      <c r="T214" s="47" t="n">
        <f aca="false">M214+P214</f>
        <v>1.3644046</v>
      </c>
    </row>
    <row r="215" customFormat="false" ht="15" hidden="false" customHeight="false" outlineLevel="0" collapsed="false">
      <c r="A215" s="42" t="s">
        <v>44</v>
      </c>
      <c r="B215" s="42" t="n">
        <v>-16</v>
      </c>
      <c r="C215" s="42" t="n">
        <v>14</v>
      </c>
      <c r="D215" s="42" t="n">
        <v>74270929</v>
      </c>
      <c r="E215" s="43" t="n">
        <v>0.682736135036751</v>
      </c>
      <c r="F215" s="43" t="n">
        <v>0.960597152318934</v>
      </c>
      <c r="G215" s="43" t="n">
        <v>0.945949855416453</v>
      </c>
      <c r="H215" s="43" t="n">
        <v>0.949624037447439</v>
      </c>
      <c r="I215" s="42" t="n">
        <v>1</v>
      </c>
      <c r="J215" s="42" t="n">
        <v>1</v>
      </c>
      <c r="K215" s="44" t="str">
        <f aca="false">IF(AND(I215=1,J215=1),"两者都跟住",IF(AND(I215=0,J215=1),"仅 PC-TBD 跟住",IF(AND(I215=1,J215=0),"仅 VIT-LPS 跟住","都没跟住")))</f>
        <v>两者都跟住</v>
      </c>
      <c r="L215" s="45" t="n">
        <f aca="false">F215-G215</f>
        <v>0.0146472969024809</v>
      </c>
      <c r="M215" s="46" t="n">
        <v>0.3304396</v>
      </c>
      <c r="N215" s="46" t="n">
        <v>0.1586668</v>
      </c>
      <c r="O215" s="46" t="n">
        <v>0.3427082</v>
      </c>
      <c r="P215" s="46" t="n">
        <v>0.8633429</v>
      </c>
      <c r="Q215" s="46" t="n">
        <v>3.0214136</v>
      </c>
      <c r="R215" s="46" t="n">
        <v>2.6862027</v>
      </c>
      <c r="S215" s="47" t="n">
        <f aca="false">M215+N215+O215</f>
        <v>0.8318146</v>
      </c>
      <c r="T215" s="47" t="n">
        <f aca="false">M215+P215</f>
        <v>1.1937825</v>
      </c>
    </row>
    <row r="216" customFormat="false" ht="15" hidden="false" customHeight="false" outlineLevel="0" collapsed="false">
      <c r="A216" s="42" t="s">
        <v>44</v>
      </c>
      <c r="B216" s="42" t="n">
        <v>-16</v>
      </c>
      <c r="C216" s="42" t="n">
        <v>15</v>
      </c>
      <c r="D216" s="42" t="n">
        <v>74270930</v>
      </c>
      <c r="E216" s="43" t="n">
        <v>0.648711590489834</v>
      </c>
      <c r="F216" s="43" t="n">
        <v>0.960743880044232</v>
      </c>
      <c r="G216" s="43" t="n">
        <v>0.83215728298216</v>
      </c>
      <c r="H216" s="43" t="n">
        <v>0.843911310516793</v>
      </c>
      <c r="I216" s="42" t="n">
        <v>1</v>
      </c>
      <c r="J216" s="42" t="n">
        <v>1</v>
      </c>
      <c r="K216" s="44" t="str">
        <f aca="false">IF(AND(I216=1,J216=1),"两者都跟住",IF(AND(I216=0,J216=1),"仅 PC-TBD 跟住",IF(AND(I216=1,J216=0),"仅 VIT-LPS 跟住","都没跟住")))</f>
        <v>两者都跟住</v>
      </c>
      <c r="L216" s="45" t="n">
        <f aca="false">F216-G216</f>
        <v>0.128586597062072</v>
      </c>
      <c r="M216" s="46" t="n">
        <v>0.3076302</v>
      </c>
      <c r="N216" s="46" t="n">
        <v>0.1658637</v>
      </c>
      <c r="O216" s="46" t="n">
        <v>0.4193814</v>
      </c>
      <c r="P216" s="46" t="n">
        <v>0.8397405</v>
      </c>
      <c r="Q216" s="46" t="n">
        <v>3.0161042</v>
      </c>
      <c r="R216" s="46" t="n">
        <v>2.6511853</v>
      </c>
      <c r="S216" s="47" t="n">
        <f aca="false">M216+N216+O216</f>
        <v>0.8928753</v>
      </c>
      <c r="T216" s="47" t="n">
        <f aca="false">M216+P216</f>
        <v>1.1473707</v>
      </c>
    </row>
    <row r="217" customFormat="false" ht="15" hidden="false" customHeight="false" outlineLevel="0" collapsed="false">
      <c r="A217" s="42" t="s">
        <v>44</v>
      </c>
      <c r="B217" s="42" t="n">
        <v>-16</v>
      </c>
      <c r="C217" s="42" t="n">
        <v>16</v>
      </c>
      <c r="D217" s="42" t="n">
        <v>74270931</v>
      </c>
      <c r="E217" s="43" t="n">
        <v>0.894995673447593</v>
      </c>
      <c r="F217" s="43" t="n">
        <v>0.935457829575688</v>
      </c>
      <c r="G217" s="43" t="n">
        <v>0.921623880826113</v>
      </c>
      <c r="H217" s="43" t="n">
        <v>0.930927701255792</v>
      </c>
      <c r="I217" s="42" t="n">
        <v>1</v>
      </c>
      <c r="J217" s="42" t="n">
        <v>1</v>
      </c>
      <c r="K217" s="44" t="str">
        <f aca="false">IF(AND(I217=1,J217=1),"两者都跟住",IF(AND(I217=0,J217=1),"仅 PC-TBD 跟住",IF(AND(I217=1,J217=0),"仅 VIT-LPS 跟住","都没跟住")))</f>
        <v>两者都跟住</v>
      </c>
      <c r="L217" s="45" t="n">
        <f aca="false">F217-G217</f>
        <v>0.013833948749575</v>
      </c>
      <c r="M217" s="46" t="n">
        <v>0.3231477</v>
      </c>
      <c r="N217" s="46" t="n">
        <v>0.1740384</v>
      </c>
      <c r="O217" s="46" t="n">
        <v>0.3787593</v>
      </c>
      <c r="P217" s="46" t="n">
        <v>1.0549566</v>
      </c>
      <c r="Q217" s="46" t="n">
        <v>3.2268928</v>
      </c>
      <c r="R217" s="46" t="n">
        <v>2.3352572</v>
      </c>
      <c r="S217" s="47" t="n">
        <f aca="false">M217+N217+O217</f>
        <v>0.8759454</v>
      </c>
      <c r="T217" s="47" t="n">
        <f aca="false">M217+P217</f>
        <v>1.3781043</v>
      </c>
    </row>
    <row r="218" customFormat="false" ht="15" hidden="false" customHeight="false" outlineLevel="0" collapsed="false">
      <c r="A218" s="42" t="s">
        <v>44</v>
      </c>
      <c r="B218" s="42" t="n">
        <v>-16</v>
      </c>
      <c r="C218" s="42" t="n">
        <v>17</v>
      </c>
      <c r="D218" s="42" t="n">
        <v>74270932</v>
      </c>
      <c r="E218" s="43" t="n">
        <v>0.858463781157617</v>
      </c>
      <c r="F218" s="43" t="n">
        <v>0.960427068925743</v>
      </c>
      <c r="G218" s="43" t="n">
        <v>0.942070253074661</v>
      </c>
      <c r="H218" s="43" t="n">
        <v>0.949441831594832</v>
      </c>
      <c r="I218" s="42" t="n">
        <v>1</v>
      </c>
      <c r="J218" s="42" t="n">
        <v>1</v>
      </c>
      <c r="K218" s="44" t="str">
        <f aca="false">IF(AND(I218=1,J218=1),"两者都跟住",IF(AND(I218=0,J218=1),"仅 PC-TBD 跟住",IF(AND(I218=1,J218=0),"仅 VIT-LPS 跟住","都没跟住")))</f>
        <v>两者都跟住</v>
      </c>
      <c r="L218" s="45" t="n">
        <f aca="false">F218-G218</f>
        <v>0.0183568158510821</v>
      </c>
      <c r="M218" s="46" t="n">
        <v>0.146805</v>
      </c>
      <c r="N218" s="46" t="n">
        <v>0.0883471</v>
      </c>
      <c r="O218" s="46" t="n">
        <v>0.2851555</v>
      </c>
      <c r="P218" s="46" t="n">
        <v>0.6300264</v>
      </c>
      <c r="Q218" s="46" t="n">
        <v>2.2763518</v>
      </c>
      <c r="R218" s="46" t="n">
        <v>1.8395699</v>
      </c>
      <c r="S218" s="47" t="n">
        <f aca="false">M218+N218+O218</f>
        <v>0.5203076</v>
      </c>
      <c r="T218" s="47" t="n">
        <f aca="false">M218+P218</f>
        <v>0.7768314</v>
      </c>
    </row>
    <row r="219" customFormat="false" ht="15" hidden="false" customHeight="false" outlineLevel="0" collapsed="false">
      <c r="A219" s="42" t="s">
        <v>44</v>
      </c>
      <c r="B219" s="42" t="n">
        <v>-16</v>
      </c>
      <c r="C219" s="42" t="n">
        <v>18</v>
      </c>
      <c r="D219" s="42" t="n">
        <v>74270933</v>
      </c>
      <c r="E219" s="43" t="n">
        <v>0.73439030323193</v>
      </c>
      <c r="F219" s="43" t="n">
        <v>0.948933661494126</v>
      </c>
      <c r="G219" s="43" t="n">
        <v>0.925796019564113</v>
      </c>
      <c r="H219" s="43" t="n">
        <v>0.934731036178931</v>
      </c>
      <c r="I219" s="42" t="n">
        <v>1</v>
      </c>
      <c r="J219" s="42" t="n">
        <v>1</v>
      </c>
      <c r="K219" s="44" t="str">
        <f aca="false">IF(AND(I219=1,J219=1),"两者都跟住",IF(AND(I219=0,J219=1),"仅 PC-TBD 跟住",IF(AND(I219=1,J219=0),"仅 VIT-LPS 跟住","都没跟住")))</f>
        <v>两者都跟住</v>
      </c>
      <c r="L219" s="45" t="n">
        <f aca="false">F219-G219</f>
        <v>0.023137641930013</v>
      </c>
      <c r="M219" s="46" t="n">
        <v>0.1863639</v>
      </c>
      <c r="N219" s="46" t="n">
        <v>0.1195707</v>
      </c>
      <c r="O219" s="46" t="n">
        <v>0.3366037</v>
      </c>
      <c r="P219" s="46" t="n">
        <v>0.5638785</v>
      </c>
      <c r="Q219" s="46" t="n">
        <v>2.0412649</v>
      </c>
      <c r="R219" s="46" t="n">
        <v>2.3902866</v>
      </c>
      <c r="S219" s="47" t="n">
        <f aca="false">M219+N219+O219</f>
        <v>0.6425383</v>
      </c>
      <c r="T219" s="47" t="n">
        <f aca="false">M219+P219</f>
        <v>0.7502424</v>
      </c>
    </row>
    <row r="220" customFormat="false" ht="15" hidden="false" customHeight="false" outlineLevel="0" collapsed="false">
      <c r="A220" s="42" t="s">
        <v>44</v>
      </c>
      <c r="B220" s="42" t="n">
        <v>-16</v>
      </c>
      <c r="C220" s="42" t="n">
        <v>19</v>
      </c>
      <c r="D220" s="42" t="n">
        <v>74270934</v>
      </c>
      <c r="E220" s="43" t="n">
        <v>0.904119500184185</v>
      </c>
      <c r="F220" s="43" t="n">
        <v>0.952280200471662</v>
      </c>
      <c r="G220" s="43" t="n">
        <v>0.929287596423095</v>
      </c>
      <c r="H220" s="43" t="n">
        <v>0.936545886571069</v>
      </c>
      <c r="I220" s="42" t="n">
        <v>1</v>
      </c>
      <c r="J220" s="42" t="n">
        <v>1</v>
      </c>
      <c r="K220" s="44" t="str">
        <f aca="false">IF(AND(I220=1,J220=1),"两者都跟住",IF(AND(I220=0,J220=1),"仅 PC-TBD 跟住",IF(AND(I220=1,J220=0),"仅 VIT-LPS 跟住","都没跟住")))</f>
        <v>两者都跟住</v>
      </c>
      <c r="L220" s="45" t="n">
        <f aca="false">F220-G220</f>
        <v>0.022992604048567</v>
      </c>
      <c r="M220" s="46" t="n">
        <v>0.1549858</v>
      </c>
      <c r="N220" s="46" t="n">
        <v>0.1245034</v>
      </c>
      <c r="O220" s="46" t="n">
        <v>0.3191711</v>
      </c>
      <c r="P220" s="46" t="n">
        <v>0.6078767</v>
      </c>
      <c r="Q220" s="46" t="n">
        <v>2.0999247</v>
      </c>
      <c r="R220" s="46" t="n">
        <v>1.9526117</v>
      </c>
      <c r="S220" s="47" t="n">
        <f aca="false">M220+N220+O220</f>
        <v>0.5986603</v>
      </c>
      <c r="T220" s="47" t="n">
        <f aca="false">M220+P220</f>
        <v>0.7628625</v>
      </c>
    </row>
    <row r="221" customFormat="false" ht="15" hidden="false" customHeight="false" outlineLevel="0" collapsed="false">
      <c r="A221" s="42" t="s">
        <v>44</v>
      </c>
      <c r="B221" s="42" t="n">
        <v>-16</v>
      </c>
      <c r="C221" s="42" t="n">
        <v>20</v>
      </c>
      <c r="D221" s="42" t="n">
        <v>74270935</v>
      </c>
      <c r="E221" s="43" t="n">
        <v>0.476451812392104</v>
      </c>
      <c r="F221" s="43" t="n">
        <v>0.952422184642995</v>
      </c>
      <c r="G221" s="43" t="n">
        <v>0.85821227226408</v>
      </c>
      <c r="H221" s="43" t="n">
        <v>0.861128468575658</v>
      </c>
      <c r="I221" s="42" t="n">
        <v>1</v>
      </c>
      <c r="J221" s="42" t="n">
        <v>1</v>
      </c>
      <c r="K221" s="44" t="str">
        <f aca="false">IF(AND(I221=1,J221=1),"两者都跟住",IF(AND(I221=0,J221=1),"仅 PC-TBD 跟住",IF(AND(I221=1,J221=0),"仅 VIT-LPS 跟住","都没跟住")))</f>
        <v>两者都跟住</v>
      </c>
      <c r="L221" s="45" t="n">
        <f aca="false">F221-G221</f>
        <v>0.094209912378915</v>
      </c>
      <c r="M221" s="46" t="n">
        <v>0.1719578</v>
      </c>
      <c r="N221" s="46" t="n">
        <v>0.1238087</v>
      </c>
      <c r="O221" s="46" t="n">
        <v>0.2811294</v>
      </c>
      <c r="P221" s="46" t="n">
        <v>0.4717823</v>
      </c>
      <c r="Q221" s="46" t="n">
        <v>1.8241655</v>
      </c>
      <c r="R221" s="46" t="n">
        <v>2.0573048</v>
      </c>
      <c r="S221" s="47" t="n">
        <f aca="false">M221+N221+O221</f>
        <v>0.5768959</v>
      </c>
      <c r="T221" s="47" t="n">
        <f aca="false">M221+P221</f>
        <v>0.6437401</v>
      </c>
    </row>
    <row r="222" customFormat="false" ht="15" hidden="false" customHeight="false" outlineLevel="0" collapsed="false">
      <c r="A222" s="42" t="s">
        <v>44</v>
      </c>
      <c r="B222" s="42" t="n">
        <v>-16</v>
      </c>
      <c r="C222" s="42" t="n">
        <v>21</v>
      </c>
      <c r="D222" s="42" t="n">
        <v>74270936</v>
      </c>
      <c r="E222" s="43" t="n">
        <v>0.748334384390424</v>
      </c>
      <c r="F222" s="43" t="n">
        <v>0.926918124629758</v>
      </c>
      <c r="G222" s="43" t="n">
        <v>0.891169048477756</v>
      </c>
      <c r="H222" s="43" t="n">
        <v>0.909875973228377</v>
      </c>
      <c r="I222" s="42" t="n">
        <v>1</v>
      </c>
      <c r="J222" s="42" t="n">
        <v>1</v>
      </c>
      <c r="K222" s="44" t="str">
        <f aca="false">IF(AND(I222=1,J222=1),"两者都跟住",IF(AND(I222=0,J222=1),"仅 PC-TBD 跟住",IF(AND(I222=1,J222=0),"仅 VIT-LPS 跟住","都没跟住")))</f>
        <v>两者都跟住</v>
      </c>
      <c r="L222" s="45" t="n">
        <f aca="false">F222-G222</f>
        <v>0.035749076152002</v>
      </c>
      <c r="M222" s="46" t="n">
        <v>0.3863439</v>
      </c>
      <c r="N222" s="46" t="n">
        <v>0.1638679</v>
      </c>
      <c r="O222" s="46" t="n">
        <v>0.6064685</v>
      </c>
      <c r="P222" s="46" t="n">
        <v>0.8400844</v>
      </c>
      <c r="Q222" s="46" t="n">
        <v>3.5494602</v>
      </c>
      <c r="R222" s="46" t="n">
        <v>2.5478199</v>
      </c>
      <c r="S222" s="47" t="n">
        <f aca="false">M222+N222+O222</f>
        <v>1.1566803</v>
      </c>
      <c r="T222" s="47" t="n">
        <f aca="false">M222+P222</f>
        <v>1.2264283</v>
      </c>
    </row>
    <row r="223" customFormat="false" ht="15" hidden="false" customHeight="false" outlineLevel="0" collapsed="false">
      <c r="A223" s="42" t="s">
        <v>44</v>
      </c>
      <c r="B223" s="42" t="n">
        <v>-16</v>
      </c>
      <c r="C223" s="42" t="n">
        <v>22</v>
      </c>
      <c r="D223" s="42" t="n">
        <v>74270937</v>
      </c>
      <c r="E223" s="43" t="n">
        <v>0.615493404987592</v>
      </c>
      <c r="F223" s="43" t="n">
        <v>0.936017458686482</v>
      </c>
      <c r="G223" s="43" t="n">
        <v>0.891527000429335</v>
      </c>
      <c r="H223" s="43" t="n">
        <v>0.876466529154667</v>
      </c>
      <c r="I223" s="42" t="n">
        <v>1</v>
      </c>
      <c r="J223" s="42" t="n">
        <v>1</v>
      </c>
      <c r="K223" s="44" t="str">
        <f aca="false">IF(AND(I223=1,J223=1),"两者都跟住",IF(AND(I223=0,J223=1),"仅 PC-TBD 跟住",IF(AND(I223=1,J223=0),"仅 VIT-LPS 跟住","都没跟住")))</f>
        <v>两者都跟住</v>
      </c>
      <c r="L223" s="45" t="n">
        <f aca="false">F223-G223</f>
        <v>0.044490458257147</v>
      </c>
      <c r="M223" s="46" t="n">
        <v>0.4248789</v>
      </c>
      <c r="N223" s="46" t="n">
        <v>0.1702261</v>
      </c>
      <c r="O223" s="46" t="n">
        <v>0.4954715</v>
      </c>
      <c r="P223" s="46" t="n">
        <v>0.9490911</v>
      </c>
      <c r="Q223" s="46" t="n">
        <v>3.2889856</v>
      </c>
      <c r="R223" s="46" t="n">
        <v>2.3663531</v>
      </c>
      <c r="S223" s="47" t="n">
        <f aca="false">M223+N223+O223</f>
        <v>1.0905765</v>
      </c>
      <c r="T223" s="47" t="n">
        <f aca="false">M223+P223</f>
        <v>1.37397</v>
      </c>
    </row>
    <row r="224" customFormat="false" ht="15" hidden="false" customHeight="false" outlineLevel="0" collapsed="false">
      <c r="A224" s="42" t="s">
        <v>44</v>
      </c>
      <c r="B224" s="42" t="n">
        <v>-16</v>
      </c>
      <c r="C224" s="42" t="n">
        <v>23</v>
      </c>
      <c r="D224" s="42" t="n">
        <v>74270938</v>
      </c>
      <c r="E224" s="43" t="n">
        <v>0.823656959195095</v>
      </c>
      <c r="F224" s="43" t="n">
        <v>0.907175848683733</v>
      </c>
      <c r="G224" s="43" t="n">
        <v>0.908201782848732</v>
      </c>
      <c r="H224" s="43" t="n">
        <v>0.912160714336675</v>
      </c>
      <c r="I224" s="42" t="n">
        <v>1</v>
      </c>
      <c r="J224" s="42" t="n">
        <v>1</v>
      </c>
      <c r="K224" s="44" t="str">
        <f aca="false">IF(AND(I224=1,J224=1),"两者都跟住",IF(AND(I224=0,J224=1),"仅 PC-TBD 跟住",IF(AND(I224=1,J224=0),"仅 VIT-LPS 跟住","都没跟住")))</f>
        <v>两者都跟住</v>
      </c>
      <c r="L224" s="45" t="n">
        <f aca="false">F224-G224</f>
        <v>-0.00102593416499897</v>
      </c>
      <c r="M224" s="46" t="n">
        <v>0.3508473</v>
      </c>
      <c r="N224" s="46" t="n">
        <v>0.1504368</v>
      </c>
      <c r="O224" s="46" t="n">
        <v>0.4755834</v>
      </c>
      <c r="P224" s="46" t="n">
        <v>0.9408846</v>
      </c>
      <c r="Q224" s="46" t="n">
        <v>3.4682503</v>
      </c>
      <c r="R224" s="46" t="n">
        <v>2.8457542</v>
      </c>
      <c r="S224" s="47" t="n">
        <f aca="false">M224+N224+O224</f>
        <v>0.9768675</v>
      </c>
      <c r="T224" s="47" t="n">
        <f aca="false">M224+P224</f>
        <v>1.2917319</v>
      </c>
    </row>
    <row r="225" customFormat="false" ht="15" hidden="false" customHeight="false" outlineLevel="0" collapsed="false">
      <c r="A225" s="42" t="s">
        <v>44</v>
      </c>
      <c r="B225" s="42" t="n">
        <v>-16</v>
      </c>
      <c r="C225" s="42" t="n">
        <v>24</v>
      </c>
      <c r="D225" s="42" t="n">
        <v>74270939</v>
      </c>
      <c r="E225" s="43" t="n">
        <v>0.24051711908861</v>
      </c>
      <c r="F225" s="43" t="n">
        <v>0.804894161136975</v>
      </c>
      <c r="G225" s="43" t="n">
        <v>0.798872961632886</v>
      </c>
      <c r="H225" s="43" t="n">
        <v>0.819310511502528</v>
      </c>
      <c r="I225" s="42" t="n">
        <v>1</v>
      </c>
      <c r="J225" s="42" t="n">
        <v>1</v>
      </c>
      <c r="K225" s="44" t="str">
        <f aca="false">IF(AND(I225=1,J225=1),"两者都跟住",IF(AND(I225=0,J225=1),"仅 PC-TBD 跟住",IF(AND(I225=1,J225=0),"仅 VIT-LPS 跟住","都没跟住")))</f>
        <v>两者都跟住</v>
      </c>
      <c r="L225" s="45" t="n">
        <f aca="false">F225-G225</f>
        <v>0.00602119950408897</v>
      </c>
      <c r="M225" s="46" t="n">
        <v>0.411822</v>
      </c>
      <c r="N225" s="46" t="n">
        <v>0.1418846</v>
      </c>
      <c r="O225" s="46" t="n">
        <v>0.5451674</v>
      </c>
      <c r="P225" s="46" t="n">
        <v>1.0137381</v>
      </c>
      <c r="Q225" s="46" t="n">
        <v>4.0485479</v>
      </c>
      <c r="R225" s="46" t="n">
        <v>2.4302723</v>
      </c>
      <c r="S225" s="47" t="n">
        <f aca="false">M225+N225+O225</f>
        <v>1.098874</v>
      </c>
      <c r="T225" s="47" t="n">
        <f aca="false">M225+P225</f>
        <v>1.4255601</v>
      </c>
    </row>
    <row r="226" customFormat="false" ht="15" hidden="false" customHeight="false" outlineLevel="0" collapsed="false">
      <c r="A226" s="42" t="s">
        <v>44</v>
      </c>
      <c r="B226" s="42" t="n">
        <v>-16</v>
      </c>
      <c r="C226" s="42" t="n">
        <v>25</v>
      </c>
      <c r="D226" s="42" t="n">
        <v>74270940</v>
      </c>
      <c r="E226" s="43" t="n">
        <v>0.893740096662186</v>
      </c>
      <c r="F226" s="43" t="n">
        <v>0.951128520757449</v>
      </c>
      <c r="G226" s="43" t="n">
        <v>0.942230758416079</v>
      </c>
      <c r="H226" s="43" t="n">
        <v>0.947219135225402</v>
      </c>
      <c r="I226" s="42" t="n">
        <v>1</v>
      </c>
      <c r="J226" s="42" t="n">
        <v>1</v>
      </c>
      <c r="K226" s="44" t="str">
        <f aca="false">IF(AND(I226=1,J226=1),"两者都跟住",IF(AND(I226=0,J226=1),"仅 PC-TBD 跟住",IF(AND(I226=1,J226=0),"仅 VIT-LPS 跟住","都没跟住")))</f>
        <v>两者都跟住</v>
      </c>
      <c r="L226" s="45" t="n">
        <f aca="false">F226-G226</f>
        <v>0.00889776234137008</v>
      </c>
      <c r="M226" s="46" t="n">
        <v>0.418391</v>
      </c>
      <c r="N226" s="46" t="n">
        <v>0.1643877</v>
      </c>
      <c r="O226" s="46" t="n">
        <v>0.5293395</v>
      </c>
      <c r="P226" s="46" t="n">
        <v>0.8938777</v>
      </c>
      <c r="Q226" s="46" t="n">
        <v>4.0885481</v>
      </c>
      <c r="R226" s="46" t="n">
        <v>2.9709952</v>
      </c>
      <c r="S226" s="47" t="n">
        <f aca="false">M226+N226+O226</f>
        <v>1.1121182</v>
      </c>
      <c r="T226" s="47" t="n">
        <f aca="false">M226+P226</f>
        <v>1.3122687</v>
      </c>
    </row>
    <row r="227" customFormat="false" ht="15" hidden="false" customHeight="false" outlineLevel="0" collapsed="false">
      <c r="A227" s="42" t="s">
        <v>44</v>
      </c>
      <c r="B227" s="42" t="n">
        <v>-16</v>
      </c>
      <c r="C227" s="42" t="n">
        <v>26</v>
      </c>
      <c r="D227" s="42" t="n">
        <v>74270941</v>
      </c>
      <c r="E227" s="43" t="n">
        <v>0.679674648257522</v>
      </c>
      <c r="F227" s="43" t="n">
        <v>0.938528540255027</v>
      </c>
      <c r="G227" s="43" t="n">
        <v>0.693533340892732</v>
      </c>
      <c r="H227" s="43" t="n">
        <v>0.709641002312652</v>
      </c>
      <c r="I227" s="42" t="n">
        <v>1</v>
      </c>
      <c r="J227" s="42" t="n">
        <v>1</v>
      </c>
      <c r="K227" s="44" t="str">
        <f aca="false">IF(AND(I227=1,J227=1),"两者都跟住",IF(AND(I227=0,J227=1),"仅 PC-TBD 跟住",IF(AND(I227=1,J227=0),"仅 VIT-LPS 跟住","都没跟住")))</f>
        <v>两者都跟住</v>
      </c>
      <c r="L227" s="45" t="n">
        <f aca="false">F227-G227</f>
        <v>0.244995199362295</v>
      </c>
      <c r="M227" s="46" t="n">
        <v>0.4128699</v>
      </c>
      <c r="N227" s="46" t="n">
        <v>0.157739</v>
      </c>
      <c r="O227" s="46" t="n">
        <v>0.5047536</v>
      </c>
      <c r="P227" s="46" t="n">
        <v>0.9204698</v>
      </c>
      <c r="Q227" s="46" t="n">
        <v>6.9047635</v>
      </c>
      <c r="R227" s="46" t="n">
        <v>2.9039388</v>
      </c>
      <c r="S227" s="47" t="n">
        <f aca="false">M227+N227+O227</f>
        <v>1.0753625</v>
      </c>
      <c r="T227" s="47" t="n">
        <f aca="false">M227+P227</f>
        <v>1.3333397</v>
      </c>
    </row>
    <row r="228" customFormat="false" ht="15" hidden="false" customHeight="false" outlineLevel="0" collapsed="false">
      <c r="A228" s="42" t="s">
        <v>44</v>
      </c>
      <c r="B228" s="42" t="n">
        <v>-16</v>
      </c>
      <c r="C228" s="42" t="n">
        <v>27</v>
      </c>
      <c r="D228" s="42" t="n">
        <v>74270942</v>
      </c>
      <c r="E228" s="43" t="n">
        <v>0.287434551872784</v>
      </c>
      <c r="F228" s="43" t="n">
        <v>0.717483859331486</v>
      </c>
      <c r="G228" s="43" t="n">
        <v>0.912482993895295</v>
      </c>
      <c r="H228" s="43" t="n">
        <v>0.912158639220354</v>
      </c>
      <c r="I228" s="42" t="n">
        <v>1</v>
      </c>
      <c r="J228" s="42" t="n">
        <v>1</v>
      </c>
      <c r="K228" s="44" t="str">
        <f aca="false">IF(AND(I228=1,J228=1),"两者都跟住",IF(AND(I228=0,J228=1),"仅 PC-TBD 跟住",IF(AND(I228=1,J228=0),"仅 VIT-LPS 跟住","都没跟住")))</f>
        <v>两者都跟住</v>
      </c>
      <c r="L228" s="45" t="n">
        <f aca="false">F228-G228</f>
        <v>-0.194999134563809</v>
      </c>
      <c r="M228" s="46" t="n">
        <v>0.2458554</v>
      </c>
      <c r="N228" s="46" t="n">
        <v>0.1538862</v>
      </c>
      <c r="O228" s="46" t="n">
        <v>0.2408745</v>
      </c>
      <c r="P228" s="46" t="n">
        <v>0.5362503</v>
      </c>
      <c r="Q228" s="46" t="n">
        <v>2.7152409</v>
      </c>
      <c r="R228" s="46" t="n">
        <v>2.0586902</v>
      </c>
      <c r="S228" s="47" t="n">
        <f aca="false">M228+N228+O228</f>
        <v>0.6406161</v>
      </c>
      <c r="T228" s="47" t="n">
        <f aca="false">M228+P228</f>
        <v>0.7821057</v>
      </c>
    </row>
    <row r="229" customFormat="false" ht="15" hidden="false" customHeight="false" outlineLevel="0" collapsed="false">
      <c r="A229" s="42" t="s">
        <v>44</v>
      </c>
      <c r="B229" s="42" t="n">
        <v>-16</v>
      </c>
      <c r="C229" s="42" t="n">
        <v>28</v>
      </c>
      <c r="D229" s="42" t="n">
        <v>74270943</v>
      </c>
      <c r="E229" s="43" t="n">
        <v>0.598850492498732</v>
      </c>
      <c r="F229" s="43" t="n">
        <v>0.776094021223305</v>
      </c>
      <c r="G229" s="43" t="n">
        <v>0.762121501984029</v>
      </c>
      <c r="H229" s="43" t="n">
        <v>0.77883952387112</v>
      </c>
      <c r="I229" s="42" t="n">
        <v>1</v>
      </c>
      <c r="J229" s="42" t="n">
        <v>1</v>
      </c>
      <c r="K229" s="44" t="str">
        <f aca="false">IF(AND(I229=1,J229=1),"两者都跟住",IF(AND(I229=0,J229=1),"仅 PC-TBD 跟住",IF(AND(I229=1,J229=0),"仅 VIT-LPS 跟住","都没跟住")))</f>
        <v>两者都跟住</v>
      </c>
      <c r="L229" s="45" t="n">
        <f aca="false">F229-G229</f>
        <v>0.013972519239276</v>
      </c>
      <c r="M229" s="46" t="n">
        <v>0.2095793</v>
      </c>
      <c r="N229" s="46" t="n">
        <v>0.1221977</v>
      </c>
      <c r="O229" s="46" t="n">
        <v>0.2256395</v>
      </c>
      <c r="P229" s="46" t="n">
        <v>0.5741517</v>
      </c>
      <c r="Q229" s="46" t="n">
        <v>2.6026053</v>
      </c>
      <c r="R229" s="46" t="n">
        <v>1.9073511</v>
      </c>
      <c r="S229" s="47" t="n">
        <f aca="false">M229+N229+O229</f>
        <v>0.5574165</v>
      </c>
      <c r="T229" s="47" t="n">
        <f aca="false">M229+P229</f>
        <v>0.783731</v>
      </c>
    </row>
    <row r="230" customFormat="false" ht="15" hidden="false" customHeight="false" outlineLevel="0" collapsed="false">
      <c r="A230" s="42" t="s">
        <v>44</v>
      </c>
      <c r="B230" s="42" t="n">
        <v>-16</v>
      </c>
      <c r="C230" s="42" t="n">
        <v>29</v>
      </c>
      <c r="D230" s="42" t="n">
        <v>74270944</v>
      </c>
      <c r="E230" s="43" t="n">
        <v>0.815800551821198</v>
      </c>
      <c r="F230" s="43" t="n">
        <v>0.93480976255871</v>
      </c>
      <c r="G230" s="43" t="n">
        <v>0.908284362159282</v>
      </c>
      <c r="H230" s="43" t="n">
        <v>0.913690796290472</v>
      </c>
      <c r="I230" s="42" t="n">
        <v>1</v>
      </c>
      <c r="J230" s="42" t="n">
        <v>1</v>
      </c>
      <c r="K230" s="44" t="str">
        <f aca="false">IF(AND(I230=1,J230=1),"两者都跟住",IF(AND(I230=0,J230=1),"仅 PC-TBD 跟住",IF(AND(I230=1,J230=0),"仅 VIT-LPS 跟住","都没跟住")))</f>
        <v>两者都跟住</v>
      </c>
      <c r="L230" s="45" t="n">
        <f aca="false">F230-G230</f>
        <v>0.026525400399428</v>
      </c>
      <c r="M230" s="46" t="n">
        <v>0.1887292</v>
      </c>
      <c r="N230" s="46" t="n">
        <v>0.112874</v>
      </c>
      <c r="O230" s="46" t="n">
        <v>0.2744974</v>
      </c>
      <c r="P230" s="46" t="n">
        <v>0.7563167</v>
      </c>
      <c r="Q230" s="46" t="n">
        <v>2.4204123</v>
      </c>
      <c r="R230" s="46" t="n">
        <v>1.4688332</v>
      </c>
      <c r="S230" s="47" t="n">
        <f aca="false">M230+N230+O230</f>
        <v>0.5761006</v>
      </c>
      <c r="T230" s="47" t="n">
        <f aca="false">M230+P230</f>
        <v>0.9450459</v>
      </c>
    </row>
    <row r="231" customFormat="false" ht="15" hidden="false" customHeight="false" outlineLevel="0" collapsed="false">
      <c r="A231" s="42" t="s">
        <v>44</v>
      </c>
      <c r="B231" s="42" t="n">
        <v>-16</v>
      </c>
      <c r="C231" s="42" t="n">
        <v>30</v>
      </c>
      <c r="D231" s="42" t="n">
        <v>74270945</v>
      </c>
      <c r="E231" s="43" t="n">
        <v>0.511164429286053</v>
      </c>
      <c r="F231" s="43" t="n">
        <v>0.846008965194798</v>
      </c>
      <c r="G231" s="43" t="n">
        <v>0.741737566292281</v>
      </c>
      <c r="H231" s="43" t="n">
        <v>0.740622377850744</v>
      </c>
      <c r="I231" s="42" t="n">
        <v>1</v>
      </c>
      <c r="J231" s="42" t="n">
        <v>1</v>
      </c>
      <c r="K231" s="44" t="str">
        <f aca="false">IF(AND(I231=1,J231=1),"两者都跟住",IF(AND(I231=0,J231=1),"仅 PC-TBD 跟住",IF(AND(I231=1,J231=0),"仅 VIT-LPS 跟住","都没跟住")))</f>
        <v>两者都跟住</v>
      </c>
      <c r="L231" s="45" t="n">
        <f aca="false">F231-G231</f>
        <v>0.104271398902517</v>
      </c>
      <c r="M231" s="46" t="n">
        <v>0.2055724</v>
      </c>
      <c r="N231" s="46" t="n">
        <v>0.0887457</v>
      </c>
      <c r="O231" s="46" t="n">
        <v>0.2856452</v>
      </c>
      <c r="P231" s="46" t="n">
        <v>0.6088189</v>
      </c>
      <c r="Q231" s="46" t="n">
        <v>2.7821347</v>
      </c>
      <c r="R231" s="46" t="n">
        <v>1.9796689</v>
      </c>
      <c r="S231" s="47" t="n">
        <f aca="false">M231+N231+O231</f>
        <v>0.5799633</v>
      </c>
      <c r="T231" s="47" t="n">
        <f aca="false">M231+P231</f>
        <v>0.8143913</v>
      </c>
    </row>
    <row r="232" customFormat="false" ht="15" hidden="false" customHeight="false" outlineLevel="0" collapsed="false">
      <c r="A232" s="42" t="s">
        <v>44</v>
      </c>
      <c r="B232" s="42" t="n">
        <v>-16</v>
      </c>
      <c r="C232" s="42" t="n">
        <v>31</v>
      </c>
      <c r="D232" s="42" t="n">
        <v>74270946</v>
      </c>
      <c r="E232" s="43" t="n">
        <v>0.273687724947897</v>
      </c>
      <c r="F232" s="43" t="n">
        <v>0.92510143455401</v>
      </c>
      <c r="G232" s="43" t="n">
        <v>0.776712965310497</v>
      </c>
      <c r="H232" s="43" t="n">
        <v>0.798222125471397</v>
      </c>
      <c r="I232" s="42" t="n">
        <v>1</v>
      </c>
      <c r="J232" s="42" t="n">
        <v>1</v>
      </c>
      <c r="K232" s="44" t="str">
        <f aca="false">IF(AND(I232=1,J232=1),"两者都跟住",IF(AND(I232=0,J232=1),"仅 PC-TBD 跟住",IF(AND(I232=1,J232=0),"仅 VIT-LPS 跟住","都没跟住")))</f>
        <v>两者都跟住</v>
      </c>
      <c r="L232" s="45" t="n">
        <f aca="false">F232-G232</f>
        <v>0.148388469243513</v>
      </c>
      <c r="M232" s="46" t="n">
        <v>0.2745854</v>
      </c>
      <c r="N232" s="46" t="n">
        <v>0.1136287</v>
      </c>
      <c r="O232" s="46" t="n">
        <v>0.258293</v>
      </c>
      <c r="P232" s="46" t="n">
        <v>0.6773701</v>
      </c>
      <c r="Q232" s="46" t="n">
        <v>3.0437905</v>
      </c>
      <c r="R232" s="46" t="n">
        <v>2.5389745</v>
      </c>
      <c r="S232" s="47" t="n">
        <f aca="false">M232+N232+O232</f>
        <v>0.6465071</v>
      </c>
      <c r="T232" s="47" t="n">
        <f aca="false">M232+P232</f>
        <v>0.9519555</v>
      </c>
    </row>
    <row r="233" customFormat="false" ht="15" hidden="false" customHeight="false" outlineLevel="0" collapsed="false">
      <c r="A233" s="42" t="s">
        <v>44</v>
      </c>
      <c r="B233" s="42" t="n">
        <v>-16</v>
      </c>
      <c r="C233" s="42" t="n">
        <v>32</v>
      </c>
      <c r="D233" s="42" t="n">
        <v>74270947</v>
      </c>
      <c r="E233" s="43" t="n">
        <v>0.609508398965581</v>
      </c>
      <c r="F233" s="43" t="n">
        <v>0.955270348375665</v>
      </c>
      <c r="G233" s="43" t="n">
        <v>0.947898078692591</v>
      </c>
      <c r="H233" s="43" t="n">
        <v>0.953996108924789</v>
      </c>
      <c r="I233" s="42" t="n">
        <v>1</v>
      </c>
      <c r="J233" s="42" t="n">
        <v>1</v>
      </c>
      <c r="K233" s="44" t="str">
        <f aca="false">IF(AND(I233=1,J233=1),"两者都跟住",IF(AND(I233=0,J233=1),"仅 PC-TBD 跟住",IF(AND(I233=1,J233=0),"仅 VIT-LPS 跟住","都没跟住")))</f>
        <v>两者都跟住</v>
      </c>
      <c r="L233" s="45" t="n">
        <f aca="false">F233-G233</f>
        <v>0.00737226968307403</v>
      </c>
      <c r="M233" s="46" t="n">
        <v>0.251835</v>
      </c>
      <c r="N233" s="46" t="n">
        <v>0.139798</v>
      </c>
      <c r="O233" s="46" t="n">
        <v>0.2910146</v>
      </c>
      <c r="P233" s="46" t="n">
        <v>0.6646304</v>
      </c>
      <c r="Q233" s="46" t="n">
        <v>2.5110775</v>
      </c>
      <c r="R233" s="46" t="n">
        <v>2.3517896</v>
      </c>
      <c r="S233" s="47" t="n">
        <f aca="false">M233+N233+O233</f>
        <v>0.6826476</v>
      </c>
      <c r="T233" s="47" t="n">
        <f aca="false">M233+P233</f>
        <v>0.9164654</v>
      </c>
    </row>
    <row r="234" customFormat="false" ht="15" hidden="false" customHeight="false" outlineLevel="0" collapsed="false">
      <c r="A234" s="42" t="s">
        <v>44</v>
      </c>
      <c r="B234" s="42" t="n">
        <v>-16</v>
      </c>
      <c r="C234" s="42" t="n">
        <v>33</v>
      </c>
      <c r="D234" s="42" t="n">
        <v>74270948</v>
      </c>
      <c r="E234" s="43" t="n">
        <v>0.810690710056743</v>
      </c>
      <c r="F234" s="43" t="n">
        <v>0.958128787938733</v>
      </c>
      <c r="G234" s="43" t="n">
        <v>0.949261811736219</v>
      </c>
      <c r="H234" s="43" t="n">
        <v>0.95334858606388</v>
      </c>
      <c r="I234" s="42" t="n">
        <v>1</v>
      </c>
      <c r="J234" s="42" t="n">
        <v>1</v>
      </c>
      <c r="K234" s="44" t="str">
        <f aca="false">IF(AND(I234=1,J234=1),"两者都跟住",IF(AND(I234=0,J234=1),"仅 PC-TBD 跟住",IF(AND(I234=1,J234=0),"仅 VIT-LPS 跟住","都没跟住")))</f>
        <v>两者都跟住</v>
      </c>
      <c r="L234" s="45" t="n">
        <f aca="false">F234-G234</f>
        <v>0.00886697620251398</v>
      </c>
      <c r="M234" s="46" t="n">
        <v>0.2395115</v>
      </c>
      <c r="N234" s="46" t="n">
        <v>0.1162566</v>
      </c>
      <c r="O234" s="46" t="n">
        <v>0.2918978</v>
      </c>
      <c r="P234" s="46" t="n">
        <v>0.7109817</v>
      </c>
      <c r="Q234" s="46" t="n">
        <v>2.3446933</v>
      </c>
      <c r="R234" s="46" t="n">
        <v>2.2264502</v>
      </c>
      <c r="S234" s="47" t="n">
        <f aca="false">M234+N234+O234</f>
        <v>0.6476659</v>
      </c>
      <c r="T234" s="47" t="n">
        <f aca="false">M234+P234</f>
        <v>0.9504932</v>
      </c>
    </row>
    <row r="235" customFormat="false" ht="15" hidden="false" customHeight="false" outlineLevel="0" collapsed="false">
      <c r="A235" s="42" t="s">
        <v>44</v>
      </c>
      <c r="B235" s="42" t="n">
        <v>-16</v>
      </c>
      <c r="C235" s="42" t="n">
        <v>34</v>
      </c>
      <c r="D235" s="42" t="n">
        <v>74270949</v>
      </c>
      <c r="E235" s="43" t="n">
        <v>0.545187464122432</v>
      </c>
      <c r="F235" s="43" t="n">
        <v>0.713184281418504</v>
      </c>
      <c r="G235" s="43" t="n">
        <v>0.817178021436875</v>
      </c>
      <c r="H235" s="43" t="n">
        <v>0.829616305856779</v>
      </c>
      <c r="I235" s="42" t="n">
        <v>1</v>
      </c>
      <c r="J235" s="42" t="n">
        <v>1</v>
      </c>
      <c r="K235" s="44" t="str">
        <f aca="false">IF(AND(I235=1,J235=1),"两者都跟住",IF(AND(I235=0,J235=1),"仅 PC-TBD 跟住",IF(AND(I235=1,J235=0),"仅 VIT-LPS 跟住","都没跟住")))</f>
        <v>两者都跟住</v>
      </c>
      <c r="L235" s="45" t="n">
        <f aca="false">F235-G235</f>
        <v>-0.103993740018371</v>
      </c>
      <c r="M235" s="46" t="n">
        <v>0.27218</v>
      </c>
      <c r="N235" s="46" t="n">
        <v>0.1408499</v>
      </c>
      <c r="O235" s="46" t="n">
        <v>0.3681824</v>
      </c>
      <c r="P235" s="46" t="n">
        <v>0.53594</v>
      </c>
      <c r="Q235" s="46" t="n">
        <v>2.9684238</v>
      </c>
      <c r="R235" s="46" t="n">
        <v>2.6813831</v>
      </c>
      <c r="S235" s="47" t="n">
        <f aca="false">M235+N235+O235</f>
        <v>0.7812123</v>
      </c>
      <c r="T235" s="47" t="n">
        <f aca="false">M235+P235</f>
        <v>0.80812</v>
      </c>
    </row>
    <row r="236" customFormat="false" ht="15" hidden="false" customHeight="false" outlineLevel="0" collapsed="false">
      <c r="A236" s="42" t="s">
        <v>44</v>
      </c>
      <c r="B236" s="42" t="n">
        <v>-16</v>
      </c>
      <c r="C236" s="42" t="n">
        <v>35</v>
      </c>
      <c r="D236" s="42" t="n">
        <v>74270950</v>
      </c>
      <c r="E236" s="43" t="n">
        <v>0.862811411793432</v>
      </c>
      <c r="F236" s="43" t="n">
        <v>0.928311113464131</v>
      </c>
      <c r="G236" s="43" t="n">
        <v>0.894718608750404</v>
      </c>
      <c r="H236" s="43" t="n">
        <v>0.911619760961455</v>
      </c>
      <c r="I236" s="42" t="n">
        <v>1</v>
      </c>
      <c r="J236" s="42" t="n">
        <v>1</v>
      </c>
      <c r="K236" s="44" t="str">
        <f aca="false">IF(AND(I236=1,J236=1),"两者都跟住",IF(AND(I236=0,J236=1),"仅 PC-TBD 跟住",IF(AND(I236=1,J236=0),"仅 VIT-LPS 跟住","都没跟住")))</f>
        <v>两者都跟住</v>
      </c>
      <c r="L236" s="45" t="n">
        <f aca="false">F236-G236</f>
        <v>0.033592504713727</v>
      </c>
      <c r="M236" s="46" t="n">
        <v>0.2535405</v>
      </c>
      <c r="N236" s="46" t="n">
        <v>0.1564897</v>
      </c>
      <c r="O236" s="46" t="n">
        <v>0.5165477</v>
      </c>
      <c r="P236" s="46" t="n">
        <v>0.6590791</v>
      </c>
      <c r="Q236" s="46" t="n">
        <v>2.7881703</v>
      </c>
      <c r="R236" s="46" t="n">
        <v>2.1572645</v>
      </c>
      <c r="S236" s="47" t="n">
        <f aca="false">M236+N236+O236</f>
        <v>0.9265779</v>
      </c>
      <c r="T236" s="47" t="n">
        <f aca="false">M236+P236</f>
        <v>0.9126196</v>
      </c>
    </row>
    <row r="237" customFormat="false" ht="15" hidden="false" customHeight="false" outlineLevel="0" collapsed="false">
      <c r="A237" s="42" t="s">
        <v>44</v>
      </c>
      <c r="B237" s="42" t="n">
        <v>-16</v>
      </c>
      <c r="C237" s="42" t="n">
        <v>36</v>
      </c>
      <c r="D237" s="42" t="n">
        <v>74270951</v>
      </c>
      <c r="E237" s="43" t="n">
        <v>0.451594267357409</v>
      </c>
      <c r="F237" s="43" t="n">
        <v>0.80986869413103</v>
      </c>
      <c r="G237" s="43" t="n">
        <v>0.917975951523426</v>
      </c>
      <c r="H237" s="43" t="n">
        <v>0.911931937097257</v>
      </c>
      <c r="I237" s="42" t="n">
        <v>1</v>
      </c>
      <c r="J237" s="42" t="n">
        <v>1</v>
      </c>
      <c r="K237" s="44" t="str">
        <f aca="false">IF(AND(I237=1,J237=1),"两者都跟住",IF(AND(I237=0,J237=1),"仅 PC-TBD 跟住",IF(AND(I237=1,J237=0),"仅 VIT-LPS 跟住","都没跟住")))</f>
        <v>两者都跟住</v>
      </c>
      <c r="L237" s="45" t="n">
        <f aca="false">F237-G237</f>
        <v>-0.108107257392396</v>
      </c>
      <c r="M237" s="46" t="n">
        <v>0.2798201</v>
      </c>
      <c r="N237" s="46" t="n">
        <v>0.1395011</v>
      </c>
      <c r="O237" s="46" t="n">
        <v>0.3987605</v>
      </c>
      <c r="P237" s="46" t="n">
        <v>0.5558846</v>
      </c>
      <c r="Q237" s="46" t="n">
        <v>2.214466</v>
      </c>
      <c r="R237" s="46" t="n">
        <v>2.7218304</v>
      </c>
      <c r="S237" s="47" t="n">
        <f aca="false">M237+N237+O237</f>
        <v>0.8180817</v>
      </c>
      <c r="T237" s="47" t="n">
        <f aca="false">M237+P237</f>
        <v>0.8357047</v>
      </c>
    </row>
    <row r="238" customFormat="false" ht="15" hidden="false" customHeight="false" outlineLevel="0" collapsed="false">
      <c r="A238" s="42" t="s">
        <v>44</v>
      </c>
      <c r="B238" s="42" t="n">
        <v>-16</v>
      </c>
      <c r="C238" s="42" t="n">
        <v>37</v>
      </c>
      <c r="D238" s="42" t="n">
        <v>74270952</v>
      </c>
      <c r="E238" s="43" t="n">
        <v>0.907734605599806</v>
      </c>
      <c r="F238" s="43" t="n">
        <v>0.961149348255802</v>
      </c>
      <c r="G238" s="43" t="n">
        <v>0.925719156406954</v>
      </c>
      <c r="H238" s="43" t="n">
        <v>0.947266039403256</v>
      </c>
      <c r="I238" s="42" t="n">
        <v>1</v>
      </c>
      <c r="J238" s="42" t="n">
        <v>1</v>
      </c>
      <c r="K238" s="44" t="str">
        <f aca="false">IF(AND(I238=1,J238=1),"两者都跟住",IF(AND(I238=0,J238=1),"仅 PC-TBD 跟住",IF(AND(I238=1,J238=0),"仅 VIT-LPS 跟住","都没跟住")))</f>
        <v>两者都跟住</v>
      </c>
      <c r="L238" s="45" t="n">
        <f aca="false">F238-G238</f>
        <v>0.035430191848848</v>
      </c>
      <c r="M238" s="46" t="n">
        <v>0.201155</v>
      </c>
      <c r="N238" s="46" t="n">
        <v>0.131601</v>
      </c>
      <c r="O238" s="46" t="n">
        <v>0.248611</v>
      </c>
      <c r="P238" s="46" t="n">
        <v>0.4602007</v>
      </c>
      <c r="Q238" s="46" t="n">
        <v>1.4818831</v>
      </c>
      <c r="R238" s="46" t="n">
        <v>1.6342701</v>
      </c>
      <c r="S238" s="47" t="n">
        <f aca="false">M238+N238+O238</f>
        <v>0.581367</v>
      </c>
      <c r="T238" s="47" t="n">
        <f aca="false">M238+P238</f>
        <v>0.6613557</v>
      </c>
    </row>
    <row r="239" customFormat="false" ht="15" hidden="false" customHeight="false" outlineLevel="0" collapsed="false">
      <c r="A239" s="42" t="s">
        <v>44</v>
      </c>
      <c r="B239" s="42" t="n">
        <v>-16</v>
      </c>
      <c r="C239" s="42" t="n">
        <v>38</v>
      </c>
      <c r="D239" s="42" t="n">
        <v>74270953</v>
      </c>
      <c r="E239" s="43" t="n">
        <v>0.547571878651567</v>
      </c>
      <c r="F239" s="43" t="n">
        <v>0.928058228305052</v>
      </c>
      <c r="G239" s="43" t="n">
        <v>0.910554296765597</v>
      </c>
      <c r="H239" s="43" t="n">
        <v>0.91100074750924</v>
      </c>
      <c r="I239" s="42" t="n">
        <v>1</v>
      </c>
      <c r="J239" s="42" t="n">
        <v>1</v>
      </c>
      <c r="K239" s="44" t="str">
        <f aca="false">IF(AND(I239=1,J239=1),"两者都跟住",IF(AND(I239=0,J239=1),"仅 PC-TBD 跟住",IF(AND(I239=1,J239=0),"仅 VIT-LPS 跟住","都没跟住")))</f>
        <v>两者都跟住</v>
      </c>
      <c r="L239" s="45" t="n">
        <f aca="false">F239-G239</f>
        <v>0.0175039315394551</v>
      </c>
      <c r="M239" s="46" t="n">
        <v>0.1955027</v>
      </c>
      <c r="N239" s="46" t="n">
        <v>0.1516485</v>
      </c>
      <c r="O239" s="46" t="n">
        <v>0.2187221</v>
      </c>
      <c r="P239" s="46" t="n">
        <v>0.5600131</v>
      </c>
      <c r="Q239" s="46" t="n">
        <v>1.7016144</v>
      </c>
      <c r="R239" s="46" t="n">
        <v>1.7467023</v>
      </c>
      <c r="S239" s="47" t="n">
        <f aca="false">M239+N239+O239</f>
        <v>0.5658733</v>
      </c>
      <c r="T239" s="47" t="n">
        <f aca="false">M239+P239</f>
        <v>0.7555158</v>
      </c>
    </row>
    <row r="240" customFormat="false" ht="15" hidden="false" customHeight="false" outlineLevel="0" collapsed="false">
      <c r="A240" s="42" t="s">
        <v>44</v>
      </c>
      <c r="B240" s="42" t="n">
        <v>-16</v>
      </c>
      <c r="C240" s="42" t="n">
        <v>39</v>
      </c>
      <c r="D240" s="42" t="n">
        <v>74270954</v>
      </c>
      <c r="E240" s="43" t="n">
        <v>0.524332180580934</v>
      </c>
      <c r="F240" s="43" t="n">
        <v>0.878275548384563</v>
      </c>
      <c r="G240" s="43" t="n">
        <v>0.907191801128521</v>
      </c>
      <c r="H240" s="43" t="n">
        <v>0.919361659831044</v>
      </c>
      <c r="I240" s="42" t="n">
        <v>1</v>
      </c>
      <c r="J240" s="42" t="n">
        <v>1</v>
      </c>
      <c r="K240" s="44" t="str">
        <f aca="false">IF(AND(I240=1,J240=1),"两者都跟住",IF(AND(I240=0,J240=1),"仅 PC-TBD 跟住",IF(AND(I240=1,J240=0),"仅 VIT-LPS 跟住","都没跟住")))</f>
        <v>两者都跟住</v>
      </c>
      <c r="L240" s="45" t="n">
        <f aca="false">F240-G240</f>
        <v>-0.028916252743958</v>
      </c>
      <c r="M240" s="46" t="n">
        <v>0.2217384</v>
      </c>
      <c r="N240" s="46" t="n">
        <v>0.1079203</v>
      </c>
      <c r="O240" s="46" t="n">
        <v>0.2441192</v>
      </c>
      <c r="P240" s="46" t="n">
        <v>0.4539478</v>
      </c>
      <c r="Q240" s="46" t="n">
        <v>1.559944</v>
      </c>
      <c r="R240" s="46" t="n">
        <v>1.2380426</v>
      </c>
      <c r="S240" s="47" t="n">
        <f aca="false">M240+N240+O240</f>
        <v>0.5737779</v>
      </c>
      <c r="T240" s="47" t="n">
        <f aca="false">M240+P240</f>
        <v>0.6756862</v>
      </c>
    </row>
    <row r="241" customFormat="false" ht="15" hidden="false" customHeight="false" outlineLevel="0" collapsed="false">
      <c r="A241" s="42" t="s">
        <v>44</v>
      </c>
      <c r="B241" s="42" t="n">
        <v>-16</v>
      </c>
      <c r="C241" s="42" t="n">
        <v>40</v>
      </c>
      <c r="D241" s="42" t="n">
        <v>74270955</v>
      </c>
      <c r="E241" s="43" t="n">
        <v>0.739195360751725</v>
      </c>
      <c r="F241" s="43" t="n">
        <v>0.93768340596765</v>
      </c>
      <c r="G241" s="43" t="n">
        <v>0.953459643382102</v>
      </c>
      <c r="H241" s="43" t="n">
        <v>0.940006441977484</v>
      </c>
      <c r="I241" s="42" t="n">
        <v>1</v>
      </c>
      <c r="J241" s="42" t="n">
        <v>1</v>
      </c>
      <c r="K241" s="44" t="str">
        <f aca="false">IF(AND(I241=1,J241=1),"两者都跟住",IF(AND(I241=0,J241=1),"仅 PC-TBD 跟住",IF(AND(I241=1,J241=0),"仅 VIT-LPS 跟住","都没跟住")))</f>
        <v>两者都跟住</v>
      </c>
      <c r="L241" s="45" t="n">
        <f aca="false">F241-G241</f>
        <v>-0.015776237414452</v>
      </c>
      <c r="M241" s="46" t="n">
        <v>0.1593534</v>
      </c>
      <c r="N241" s="46" t="n">
        <v>0.0915972</v>
      </c>
      <c r="O241" s="46" t="n">
        <v>0.1129838</v>
      </c>
      <c r="P241" s="46" t="n">
        <v>0.4846785</v>
      </c>
      <c r="Q241" s="46" t="n">
        <v>1.6113096</v>
      </c>
      <c r="R241" s="46" t="n">
        <v>1.6892214</v>
      </c>
      <c r="S241" s="47" t="n">
        <f aca="false">M241+N241+O241</f>
        <v>0.3639344</v>
      </c>
      <c r="T241" s="47" t="n">
        <f aca="false">M241+P241</f>
        <v>0.6440319</v>
      </c>
    </row>
    <row r="242" customFormat="false" ht="15" hidden="false" customHeight="false" outlineLevel="0" collapsed="false">
      <c r="A242" s="42" t="s">
        <v>44</v>
      </c>
      <c r="B242" s="42" t="n">
        <v>-16</v>
      </c>
      <c r="C242" s="42" t="n">
        <v>41</v>
      </c>
      <c r="D242" s="42" t="n">
        <v>74270956</v>
      </c>
      <c r="E242" s="43" t="n">
        <v>0.800214066187264</v>
      </c>
      <c r="F242" s="43" t="n">
        <v>0.935713427301233</v>
      </c>
      <c r="G242" s="43" t="n">
        <v>0.92419877607077</v>
      </c>
      <c r="H242" s="43" t="n">
        <v>0.920345596261124</v>
      </c>
      <c r="I242" s="42" t="n">
        <v>1</v>
      </c>
      <c r="J242" s="42" t="n">
        <v>1</v>
      </c>
      <c r="K242" s="44" t="str">
        <f aca="false">IF(AND(I242=1,J242=1),"两者都跟住",IF(AND(I242=0,J242=1),"仅 PC-TBD 跟住",IF(AND(I242=1,J242=0),"仅 VIT-LPS 跟住","都没跟住")))</f>
        <v>两者都跟住</v>
      </c>
      <c r="L242" s="45" t="n">
        <f aca="false">F242-G242</f>
        <v>0.011514651230463</v>
      </c>
      <c r="M242" s="46" t="n">
        <v>0.242586</v>
      </c>
      <c r="N242" s="46" t="n">
        <v>0.1163063</v>
      </c>
      <c r="O242" s="46" t="n">
        <v>0.2461608</v>
      </c>
      <c r="P242" s="46" t="n">
        <v>0.7193078</v>
      </c>
      <c r="Q242" s="46" t="n">
        <v>3.1203058</v>
      </c>
      <c r="R242" s="46" t="n">
        <v>2.1113479</v>
      </c>
      <c r="S242" s="47" t="n">
        <f aca="false">M242+N242+O242</f>
        <v>0.6050531</v>
      </c>
      <c r="T242" s="47" t="n">
        <f aca="false">M242+P242</f>
        <v>0.9618938</v>
      </c>
    </row>
    <row r="243" customFormat="false" ht="15" hidden="false" customHeight="false" outlineLevel="0" collapsed="false">
      <c r="A243" s="42" t="s">
        <v>44</v>
      </c>
      <c r="B243" s="42" t="n">
        <v>-16</v>
      </c>
      <c r="C243" s="42" t="n">
        <v>42</v>
      </c>
      <c r="D243" s="42" t="n">
        <v>74270957</v>
      </c>
      <c r="E243" s="43" t="n">
        <v>0.812298999892595</v>
      </c>
      <c r="F243" s="43" t="n">
        <v>0.939226984436325</v>
      </c>
      <c r="G243" s="43" t="n">
        <v>0.92560900229651</v>
      </c>
      <c r="H243" s="43" t="n">
        <v>0.932598623743028</v>
      </c>
      <c r="I243" s="42" t="n">
        <v>1</v>
      </c>
      <c r="J243" s="42" t="n">
        <v>1</v>
      </c>
      <c r="K243" s="44" t="str">
        <f aca="false">IF(AND(I243=1,J243=1),"两者都跟住",IF(AND(I243=0,J243=1),"仅 PC-TBD 跟住",IF(AND(I243=1,J243=0),"仅 VIT-LPS 跟住","都没跟住")))</f>
        <v>两者都跟住</v>
      </c>
      <c r="L243" s="45" t="n">
        <f aca="false">F243-G243</f>
        <v>0.013617982139815</v>
      </c>
      <c r="M243" s="46" t="n">
        <v>0.2574772</v>
      </c>
      <c r="N243" s="46" t="n">
        <v>0.1444436</v>
      </c>
      <c r="O243" s="46" t="n">
        <v>0.2579062</v>
      </c>
      <c r="P243" s="46" t="n">
        <v>0.704616</v>
      </c>
      <c r="Q243" s="46" t="n">
        <v>2.6178006</v>
      </c>
      <c r="R243" s="46" t="n">
        <v>2.1632868</v>
      </c>
      <c r="S243" s="47" t="n">
        <f aca="false">M243+N243+O243</f>
        <v>0.659827</v>
      </c>
      <c r="T243" s="47" t="n">
        <f aca="false">M243+P243</f>
        <v>0.9620932</v>
      </c>
    </row>
    <row r="244" customFormat="false" ht="15" hidden="false" customHeight="false" outlineLevel="0" collapsed="false">
      <c r="A244" s="42" t="s">
        <v>44</v>
      </c>
      <c r="B244" s="42" t="n">
        <v>-16</v>
      </c>
      <c r="C244" s="42" t="n">
        <v>43</v>
      </c>
      <c r="D244" s="42" t="n">
        <v>74270958</v>
      </c>
      <c r="E244" s="43" t="n">
        <v>0.784532283533305</v>
      </c>
      <c r="F244" s="43" t="n">
        <v>0.928761154127091</v>
      </c>
      <c r="G244" s="43" t="n">
        <v>0.794934824684916</v>
      </c>
      <c r="H244" s="43" t="n">
        <v>0.82142695188428</v>
      </c>
      <c r="I244" s="42" t="n">
        <v>1</v>
      </c>
      <c r="J244" s="42" t="n">
        <v>1</v>
      </c>
      <c r="K244" s="44" t="str">
        <f aca="false">IF(AND(I244=1,J244=1),"两者都跟住",IF(AND(I244=0,J244=1),"仅 PC-TBD 跟住",IF(AND(I244=1,J244=0),"仅 VIT-LPS 跟住","都没跟住")))</f>
        <v>两者都跟住</v>
      </c>
      <c r="L244" s="45" t="n">
        <f aca="false">F244-G244</f>
        <v>0.133826329442175</v>
      </c>
      <c r="M244" s="46" t="n">
        <v>0.2498149</v>
      </c>
      <c r="N244" s="46" t="n">
        <v>0.1329789</v>
      </c>
      <c r="O244" s="46" t="n">
        <v>0.1986179</v>
      </c>
      <c r="P244" s="46" t="n">
        <v>0.6625171</v>
      </c>
      <c r="Q244" s="46" t="n">
        <v>2.5017374</v>
      </c>
      <c r="R244" s="46" t="n">
        <v>2.4554326</v>
      </c>
      <c r="S244" s="47" t="n">
        <f aca="false">M244+N244+O244</f>
        <v>0.5814117</v>
      </c>
      <c r="T244" s="47" t="n">
        <f aca="false">M244+P244</f>
        <v>0.912332</v>
      </c>
    </row>
    <row r="245" customFormat="false" ht="15" hidden="false" customHeight="false" outlineLevel="0" collapsed="false">
      <c r="A245" s="42" t="s">
        <v>44</v>
      </c>
      <c r="B245" s="42" t="n">
        <v>-16</v>
      </c>
      <c r="C245" s="42" t="n">
        <v>44</v>
      </c>
      <c r="D245" s="42" t="n">
        <v>74270959</v>
      </c>
      <c r="E245" s="43" t="n">
        <v>0.736634989315089</v>
      </c>
      <c r="F245" s="43" t="n">
        <v>0.937089175935799</v>
      </c>
      <c r="G245" s="43" t="n">
        <v>0.928688153232985</v>
      </c>
      <c r="H245" s="43" t="n">
        <v>0.93464216393452</v>
      </c>
      <c r="I245" s="42" t="n">
        <v>1</v>
      </c>
      <c r="J245" s="42" t="n">
        <v>1</v>
      </c>
      <c r="K245" s="44" t="str">
        <f aca="false">IF(AND(I245=1,J245=1),"两者都跟住",IF(AND(I245=0,J245=1),"仅 PC-TBD 跟住",IF(AND(I245=1,J245=0),"仅 VIT-LPS 跟住","都没跟住")))</f>
        <v>两者都跟住</v>
      </c>
      <c r="L245" s="45" t="n">
        <f aca="false">F245-G245</f>
        <v>0.00840102270281395</v>
      </c>
      <c r="M245" s="46" t="n">
        <v>0.2499762</v>
      </c>
      <c r="N245" s="46" t="n">
        <v>0.1361098</v>
      </c>
      <c r="O245" s="46" t="n">
        <v>0.3159083</v>
      </c>
      <c r="P245" s="46" t="n">
        <v>0.6522117</v>
      </c>
      <c r="Q245" s="46" t="n">
        <v>2.9947991</v>
      </c>
      <c r="R245" s="46" t="n">
        <v>2.369827</v>
      </c>
      <c r="S245" s="47" t="n">
        <f aca="false">M245+N245+O245</f>
        <v>0.7019943</v>
      </c>
      <c r="T245" s="47" t="n">
        <f aca="false">M245+P245</f>
        <v>0.9021879</v>
      </c>
    </row>
    <row r="246" customFormat="false" ht="15" hidden="false" customHeight="false" outlineLevel="0" collapsed="false">
      <c r="A246" s="42" t="s">
        <v>44</v>
      </c>
      <c r="B246" s="42" t="n">
        <v>-16</v>
      </c>
      <c r="C246" s="42" t="n">
        <v>45</v>
      </c>
      <c r="D246" s="42" t="n">
        <v>74270960</v>
      </c>
      <c r="E246" s="43" t="n">
        <v>0.779439286204262</v>
      </c>
      <c r="F246" s="43" t="n">
        <v>0.938745428394191</v>
      </c>
      <c r="G246" s="43" t="n">
        <v>0.942443140171122</v>
      </c>
      <c r="H246" s="43" t="n">
        <v>0.935672822107086</v>
      </c>
      <c r="I246" s="42" t="n">
        <v>1</v>
      </c>
      <c r="J246" s="42" t="n">
        <v>1</v>
      </c>
      <c r="K246" s="44" t="str">
        <f aca="false">IF(AND(I246=1,J246=1),"两者都跟住",IF(AND(I246=0,J246=1),"仅 PC-TBD 跟住",IF(AND(I246=1,J246=0),"仅 VIT-LPS 跟住","都没跟住")))</f>
        <v>两者都跟住</v>
      </c>
      <c r="L246" s="45" t="n">
        <f aca="false">F246-G246</f>
        <v>-0.00369771177693101</v>
      </c>
      <c r="M246" s="46" t="n">
        <v>0.2561854</v>
      </c>
      <c r="N246" s="46" t="n">
        <v>0.1197302</v>
      </c>
      <c r="O246" s="46" t="n">
        <v>0.2775025</v>
      </c>
      <c r="P246" s="46" t="n">
        <v>0.659778</v>
      </c>
      <c r="Q246" s="46" t="n">
        <v>3.1364469</v>
      </c>
      <c r="R246" s="46" t="n">
        <v>2.2334466</v>
      </c>
      <c r="S246" s="47" t="n">
        <f aca="false">M246+N246+O246</f>
        <v>0.6534181</v>
      </c>
      <c r="T246" s="47" t="n">
        <f aca="false">M246+P246</f>
        <v>0.9159634</v>
      </c>
    </row>
    <row r="247" customFormat="false" ht="15" hidden="false" customHeight="false" outlineLevel="0" collapsed="false">
      <c r="A247" s="42" t="s">
        <v>44</v>
      </c>
      <c r="B247" s="42" t="n">
        <v>-16</v>
      </c>
      <c r="C247" s="42" t="n">
        <v>46</v>
      </c>
      <c r="D247" s="42" t="n">
        <v>74270961</v>
      </c>
      <c r="E247" s="43" t="n">
        <v>0.649958294079123</v>
      </c>
      <c r="F247" s="43" t="n">
        <v>0.916127074152934</v>
      </c>
      <c r="G247" s="43" t="n">
        <v>0.906064371835348</v>
      </c>
      <c r="H247" s="43" t="n">
        <v>0.909354942463093</v>
      </c>
      <c r="I247" s="42" t="n">
        <v>1</v>
      </c>
      <c r="J247" s="42" t="n">
        <v>1</v>
      </c>
      <c r="K247" s="44" t="str">
        <f aca="false">IF(AND(I247=1,J247=1),"两者都跟住",IF(AND(I247=0,J247=1),"仅 PC-TBD 跟住",IF(AND(I247=1,J247=0),"仅 VIT-LPS 跟住","都没跟住")))</f>
        <v>两者都跟住</v>
      </c>
      <c r="L247" s="45" t="n">
        <f aca="false">F247-G247</f>
        <v>0.010062702317586</v>
      </c>
      <c r="M247" s="46" t="n">
        <v>0.2741872</v>
      </c>
      <c r="N247" s="46" t="n">
        <v>0.1493419</v>
      </c>
      <c r="O247" s="46" t="n">
        <v>0.3905135</v>
      </c>
      <c r="P247" s="46" t="n">
        <v>0.7472711</v>
      </c>
      <c r="Q247" s="46" t="n">
        <v>2.7374655</v>
      </c>
      <c r="R247" s="46" t="n">
        <v>2.3250996</v>
      </c>
      <c r="S247" s="47" t="n">
        <f aca="false">M247+N247+O247</f>
        <v>0.8140426</v>
      </c>
      <c r="T247" s="47" t="n">
        <f aca="false">M247+P247</f>
        <v>1.0214583</v>
      </c>
    </row>
    <row r="248" customFormat="false" ht="15" hidden="false" customHeight="false" outlineLevel="0" collapsed="false">
      <c r="A248" s="42" t="s">
        <v>44</v>
      </c>
      <c r="B248" s="42" t="n">
        <v>-16</v>
      </c>
      <c r="C248" s="42" t="n">
        <v>47</v>
      </c>
      <c r="D248" s="42" t="n">
        <v>74270962</v>
      </c>
      <c r="E248" s="43" t="n">
        <v>0.591585481404958</v>
      </c>
      <c r="F248" s="43" t="n">
        <v>0.941508468426673</v>
      </c>
      <c r="G248" s="43" t="n">
        <v>0.929990235568992</v>
      </c>
      <c r="H248" s="43" t="n">
        <v>0.928792908899757</v>
      </c>
      <c r="I248" s="42" t="n">
        <v>1</v>
      </c>
      <c r="J248" s="42" t="n">
        <v>1</v>
      </c>
      <c r="K248" s="44" t="str">
        <f aca="false">IF(AND(I248=1,J248=1),"两者都跟住",IF(AND(I248=0,J248=1),"仅 PC-TBD 跟住",IF(AND(I248=1,J248=0),"仅 VIT-LPS 跟住","都没跟住")))</f>
        <v>两者都跟住</v>
      </c>
      <c r="L248" s="45" t="n">
        <f aca="false">F248-G248</f>
        <v>0.0115182328576811</v>
      </c>
      <c r="M248" s="46" t="n">
        <v>0.2107176</v>
      </c>
      <c r="N248" s="46" t="n">
        <v>0.1609221</v>
      </c>
      <c r="O248" s="46" t="n">
        <v>0.2751094</v>
      </c>
      <c r="P248" s="46" t="n">
        <v>0.5774568</v>
      </c>
      <c r="Q248" s="46" t="n">
        <v>2.1782425</v>
      </c>
      <c r="R248" s="46" t="n">
        <v>1.3319864</v>
      </c>
      <c r="S248" s="47" t="n">
        <f aca="false">M248+N248+O248</f>
        <v>0.6467491</v>
      </c>
      <c r="T248" s="47" t="n">
        <f aca="false">M248+P248</f>
        <v>0.7881744</v>
      </c>
    </row>
    <row r="249" customFormat="false" ht="15" hidden="false" customHeight="false" outlineLevel="0" collapsed="false">
      <c r="A249" s="42" t="s">
        <v>44</v>
      </c>
      <c r="B249" s="42" t="n">
        <v>-16</v>
      </c>
      <c r="C249" s="42" t="n">
        <v>48</v>
      </c>
      <c r="D249" s="42" t="n">
        <v>74270963</v>
      </c>
      <c r="E249" s="43" t="n">
        <v>0.851048035352533</v>
      </c>
      <c r="F249" s="43" t="n">
        <v>0.955716676831315</v>
      </c>
      <c r="G249" s="43" t="n">
        <v>0.942856452029014</v>
      </c>
      <c r="H249" s="43" t="n">
        <v>0.942366068497804</v>
      </c>
      <c r="I249" s="42" t="n">
        <v>1</v>
      </c>
      <c r="J249" s="42" t="n">
        <v>1</v>
      </c>
      <c r="K249" s="44" t="str">
        <f aca="false">IF(AND(I249=1,J249=1),"两者都跟住",IF(AND(I249=0,J249=1),"仅 PC-TBD 跟住",IF(AND(I249=1,J249=0),"仅 VIT-LPS 跟住","都没跟住")))</f>
        <v>两者都跟住</v>
      </c>
      <c r="L249" s="45" t="n">
        <f aca="false">F249-G249</f>
        <v>0.012860224802301</v>
      </c>
      <c r="M249" s="46" t="n">
        <v>0.1636536</v>
      </c>
      <c r="N249" s="46" t="n">
        <v>0.1470084</v>
      </c>
      <c r="O249" s="46" t="n">
        <v>0.289333</v>
      </c>
      <c r="P249" s="46" t="n">
        <v>0.6891653</v>
      </c>
      <c r="Q249" s="46" t="n">
        <v>2.2913355</v>
      </c>
      <c r="R249" s="46" t="n">
        <v>1.8893045</v>
      </c>
      <c r="S249" s="47" t="n">
        <f aca="false">M249+N249+O249</f>
        <v>0.599995</v>
      </c>
      <c r="T249" s="47" t="n">
        <f aca="false">M249+P249</f>
        <v>0.8528189</v>
      </c>
    </row>
    <row r="250" customFormat="false" ht="15" hidden="false" customHeight="false" outlineLevel="0" collapsed="false">
      <c r="A250" s="42" t="s">
        <v>44</v>
      </c>
      <c r="B250" s="42" t="n">
        <v>-16</v>
      </c>
      <c r="C250" s="42" t="n">
        <v>49</v>
      </c>
      <c r="D250" s="42" t="n">
        <v>74270964</v>
      </c>
      <c r="E250" s="43" t="n">
        <v>0.739360571183552</v>
      </c>
      <c r="F250" s="43" t="n">
        <v>0.852728294786472</v>
      </c>
      <c r="G250" s="43" t="n">
        <v>0.911909743785592</v>
      </c>
      <c r="H250" s="43" t="n">
        <v>0.914515567590657</v>
      </c>
      <c r="I250" s="42" t="n">
        <v>1</v>
      </c>
      <c r="J250" s="42" t="n">
        <v>1</v>
      </c>
      <c r="K250" s="44" t="str">
        <f aca="false">IF(AND(I250=1,J250=1),"两者都跟住",IF(AND(I250=0,J250=1),"仅 PC-TBD 跟住",IF(AND(I250=1,J250=0),"仅 VIT-LPS 跟住","都没跟住")))</f>
        <v>两者都跟住</v>
      </c>
      <c r="L250" s="45" t="n">
        <f aca="false">F250-G250</f>
        <v>-0.0591814489991199</v>
      </c>
      <c r="M250" s="46" t="n">
        <v>0.2186968</v>
      </c>
      <c r="N250" s="46" t="n">
        <v>0.1211164</v>
      </c>
      <c r="O250" s="46" t="n">
        <v>0.2136024</v>
      </c>
      <c r="P250" s="46" t="n">
        <v>0.6882709</v>
      </c>
      <c r="Q250" s="46" t="n">
        <v>1.9793987</v>
      </c>
      <c r="R250" s="46" t="n">
        <v>1.7793754</v>
      </c>
      <c r="S250" s="47" t="n">
        <f aca="false">M250+N250+O250</f>
        <v>0.5534156</v>
      </c>
      <c r="T250" s="47" t="n">
        <f aca="false">M250+P250</f>
        <v>0.9069677</v>
      </c>
    </row>
    <row r="251" customFormat="false" ht="15" hidden="false" customHeight="false" outlineLevel="0" collapsed="false">
      <c r="A251" s="42" t="s">
        <v>44</v>
      </c>
      <c r="B251" s="42" t="n">
        <v>-16</v>
      </c>
      <c r="C251" s="42" t="n">
        <v>50</v>
      </c>
      <c r="D251" s="42" t="n">
        <v>74270965</v>
      </c>
      <c r="E251" s="43" t="n">
        <v>0.412381442448626</v>
      </c>
      <c r="F251" s="43" t="n">
        <v>0.793409862356323</v>
      </c>
      <c r="G251" s="43" t="n">
        <v>0.778892943475237</v>
      </c>
      <c r="H251" s="43" t="n">
        <v>0.789562039823469</v>
      </c>
      <c r="I251" s="42" t="n">
        <v>1</v>
      </c>
      <c r="J251" s="42" t="n">
        <v>1</v>
      </c>
      <c r="K251" s="44" t="str">
        <f aca="false">IF(AND(I251=1,J251=1),"两者都跟住",IF(AND(I251=0,J251=1),"仅 PC-TBD 跟住",IF(AND(I251=1,J251=0),"仅 VIT-LPS 跟住","都没跟住")))</f>
        <v>两者都跟住</v>
      </c>
      <c r="L251" s="45" t="n">
        <f aca="false">F251-G251</f>
        <v>0.0145169188810861</v>
      </c>
      <c r="M251" s="46" t="n">
        <v>0.2082593</v>
      </c>
      <c r="N251" s="46" t="n">
        <v>0.1376897</v>
      </c>
      <c r="O251" s="46" t="n">
        <v>0.2793219</v>
      </c>
      <c r="P251" s="46" t="n">
        <v>0.5546571</v>
      </c>
      <c r="Q251" s="46" t="n">
        <v>2.411239</v>
      </c>
      <c r="R251" s="46" t="n">
        <v>1.7306177</v>
      </c>
      <c r="S251" s="47" t="n">
        <f aca="false">M251+N251+O251</f>
        <v>0.6252709</v>
      </c>
      <c r="T251" s="47" t="n">
        <f aca="false">M251+P251</f>
        <v>0.7629164</v>
      </c>
    </row>
    <row r="252" customFormat="false" ht="15" hidden="false" customHeight="false" outlineLevel="0" collapsed="false">
      <c r="A252" s="42" t="s">
        <v>44</v>
      </c>
      <c r="B252" s="42" t="n">
        <v>-16</v>
      </c>
      <c r="C252" s="42" t="n">
        <v>51</v>
      </c>
      <c r="D252" s="42" t="n">
        <v>74270966</v>
      </c>
      <c r="E252" s="43" t="n">
        <v>0.667106083004392</v>
      </c>
      <c r="F252" s="43" t="n">
        <v>0.961433371408603</v>
      </c>
      <c r="G252" s="43" t="n">
        <v>0.929241919276177</v>
      </c>
      <c r="H252" s="43" t="n">
        <v>0.954628010651886</v>
      </c>
      <c r="I252" s="42" t="n">
        <v>1</v>
      </c>
      <c r="J252" s="42" t="n">
        <v>1</v>
      </c>
      <c r="K252" s="44" t="str">
        <f aca="false">IF(AND(I252=1,J252=1),"两者都跟住",IF(AND(I252=0,J252=1),"仅 PC-TBD 跟住",IF(AND(I252=1,J252=0),"仅 VIT-LPS 跟住","都没跟住")))</f>
        <v>两者都跟住</v>
      </c>
      <c r="L252" s="45" t="n">
        <f aca="false">F252-G252</f>
        <v>0.0321914521324259</v>
      </c>
      <c r="M252" s="46" t="n">
        <v>0.22294</v>
      </c>
      <c r="N252" s="46" t="n">
        <v>0.1184208</v>
      </c>
      <c r="O252" s="46" t="n">
        <v>0.237129</v>
      </c>
      <c r="P252" s="46" t="n">
        <v>0.7482523</v>
      </c>
      <c r="Q252" s="46" t="n">
        <v>3.3610566</v>
      </c>
      <c r="R252" s="46" t="n">
        <v>2.5759316</v>
      </c>
      <c r="S252" s="47" t="n">
        <f aca="false">M252+N252+O252</f>
        <v>0.5784898</v>
      </c>
      <c r="T252" s="47" t="n">
        <f aca="false">M252+P252</f>
        <v>0.9711923</v>
      </c>
    </row>
    <row r="253" customFormat="false" ht="15" hidden="false" customHeight="false" outlineLevel="0" collapsed="false">
      <c r="A253" s="42" t="s">
        <v>44</v>
      </c>
      <c r="B253" s="42" t="n">
        <v>-16</v>
      </c>
      <c r="C253" s="42" t="n">
        <v>52</v>
      </c>
      <c r="D253" s="42" t="n">
        <v>74270967</v>
      </c>
      <c r="E253" s="43" t="n">
        <v>0.892028298683259</v>
      </c>
      <c r="F253" s="43" t="n">
        <v>0.950678265792566</v>
      </c>
      <c r="G253" s="43" t="n">
        <v>0.637175392714786</v>
      </c>
      <c r="H253" s="43" t="n">
        <v>0.674199485888217</v>
      </c>
      <c r="I253" s="42" t="n">
        <v>1</v>
      </c>
      <c r="J253" s="42" t="n">
        <v>1</v>
      </c>
      <c r="K253" s="44" t="str">
        <f aca="false">IF(AND(I253=1,J253=1),"两者都跟住",IF(AND(I253=0,J253=1),"仅 PC-TBD 跟住",IF(AND(I253=1,J253=0),"仅 VIT-LPS 跟住","都没跟住")))</f>
        <v>两者都跟住</v>
      </c>
      <c r="L253" s="45" t="n">
        <f aca="false">F253-G253</f>
        <v>0.31350287307778</v>
      </c>
      <c r="M253" s="46" t="n">
        <v>0.2247914</v>
      </c>
      <c r="N253" s="46" t="n">
        <v>0.144571</v>
      </c>
      <c r="O253" s="46" t="n">
        <v>0.2072779</v>
      </c>
      <c r="P253" s="46" t="n">
        <v>0.6491377</v>
      </c>
      <c r="Q253" s="46" t="n">
        <v>2.9490496</v>
      </c>
      <c r="R253" s="46" t="n">
        <v>2.288158</v>
      </c>
      <c r="S253" s="47" t="n">
        <f aca="false">M253+N253+O253</f>
        <v>0.5766403</v>
      </c>
      <c r="T253" s="47" t="n">
        <f aca="false">M253+P253</f>
        <v>0.8739291</v>
      </c>
    </row>
    <row r="254" customFormat="false" ht="15" hidden="false" customHeight="false" outlineLevel="0" collapsed="false">
      <c r="A254" s="42" t="s">
        <v>44</v>
      </c>
      <c r="B254" s="42" t="n">
        <v>-16</v>
      </c>
      <c r="C254" s="42" t="n">
        <v>53</v>
      </c>
      <c r="D254" s="42" t="n">
        <v>74270968</v>
      </c>
      <c r="E254" s="43" t="n">
        <v>0.715817172692429</v>
      </c>
      <c r="F254" s="43" t="n">
        <v>0.959170841185936</v>
      </c>
      <c r="G254" s="43" t="n">
        <v>0.871430341446921</v>
      </c>
      <c r="H254" s="43" t="n">
        <v>0.875106839134832</v>
      </c>
      <c r="I254" s="42" t="n">
        <v>1</v>
      </c>
      <c r="J254" s="42" t="n">
        <v>1</v>
      </c>
      <c r="K254" s="44" t="str">
        <f aca="false">IF(AND(I254=1,J254=1),"两者都跟住",IF(AND(I254=0,J254=1),"仅 PC-TBD 跟住",IF(AND(I254=1,J254=0),"仅 VIT-LPS 跟住","都没跟住")))</f>
        <v>两者都跟住</v>
      </c>
      <c r="L254" s="45" t="n">
        <f aca="false">F254-G254</f>
        <v>0.087740499739015</v>
      </c>
      <c r="M254" s="46" t="n">
        <v>0.218131</v>
      </c>
      <c r="N254" s="46" t="n">
        <v>0.1225035</v>
      </c>
      <c r="O254" s="46" t="n">
        <v>0.2022121</v>
      </c>
      <c r="P254" s="46" t="n">
        <v>0.5475452</v>
      </c>
      <c r="Q254" s="46" t="n">
        <v>2.90938</v>
      </c>
      <c r="R254" s="46" t="n">
        <v>2.6436441</v>
      </c>
      <c r="S254" s="47" t="n">
        <f aca="false">M254+N254+O254</f>
        <v>0.5428466</v>
      </c>
      <c r="T254" s="47" t="n">
        <f aca="false">M254+P254</f>
        <v>0.7656762</v>
      </c>
    </row>
    <row r="255" customFormat="false" ht="15" hidden="false" customHeight="false" outlineLevel="0" collapsed="false">
      <c r="A255" s="42" t="s">
        <v>44</v>
      </c>
      <c r="B255" s="42" t="n">
        <v>-16</v>
      </c>
      <c r="C255" s="42" t="n">
        <v>54</v>
      </c>
      <c r="D255" s="42" t="n">
        <v>74270969</v>
      </c>
      <c r="E255" s="43" t="n">
        <v>0.61759953740032</v>
      </c>
      <c r="F255" s="43" t="n">
        <v>0.964940848466743</v>
      </c>
      <c r="G255" s="43" t="n">
        <v>0.935741012806413</v>
      </c>
      <c r="H255" s="43" t="n">
        <v>0.952050025340491</v>
      </c>
      <c r="I255" s="42" t="n">
        <v>1</v>
      </c>
      <c r="J255" s="42" t="n">
        <v>1</v>
      </c>
      <c r="K255" s="44" t="str">
        <f aca="false">IF(AND(I255=1,J255=1),"两者都跟住",IF(AND(I255=0,J255=1),"仅 PC-TBD 跟住",IF(AND(I255=1,J255=0),"仅 VIT-LPS 跟住","都没跟住")))</f>
        <v>两者都跟住</v>
      </c>
      <c r="L255" s="45" t="n">
        <f aca="false">F255-G255</f>
        <v>0.02919983566033</v>
      </c>
      <c r="M255" s="46" t="n">
        <v>0.2295129</v>
      </c>
      <c r="N255" s="46" t="n">
        <v>0.1474637</v>
      </c>
      <c r="O255" s="46" t="n">
        <v>0.2355937</v>
      </c>
      <c r="P255" s="46" t="n">
        <v>0.627417</v>
      </c>
      <c r="Q255" s="46" t="n">
        <v>2.7048371</v>
      </c>
      <c r="R255" s="46" t="n">
        <v>2.5035986</v>
      </c>
      <c r="S255" s="47" t="n">
        <f aca="false">M255+N255+O255</f>
        <v>0.6125703</v>
      </c>
      <c r="T255" s="47" t="n">
        <f aca="false">M255+P255</f>
        <v>0.8569299</v>
      </c>
    </row>
    <row r="256" customFormat="false" ht="15" hidden="false" customHeight="false" outlineLevel="0" collapsed="false">
      <c r="A256" s="42" t="s">
        <v>44</v>
      </c>
      <c r="B256" s="42" t="n">
        <v>-16</v>
      </c>
      <c r="C256" s="42" t="n">
        <v>55</v>
      </c>
      <c r="D256" s="42" t="n">
        <v>74270970</v>
      </c>
      <c r="E256" s="43" t="n">
        <v>0.67174839669179</v>
      </c>
      <c r="F256" s="43" t="n">
        <v>0.911932069647632</v>
      </c>
      <c r="G256" s="43" t="n">
        <v>0.81674638507751</v>
      </c>
      <c r="H256" s="43" t="n">
        <v>0.829441478426595</v>
      </c>
      <c r="I256" s="42" t="n">
        <v>1</v>
      </c>
      <c r="J256" s="42" t="n">
        <v>1</v>
      </c>
      <c r="K256" s="44" t="str">
        <f aca="false">IF(AND(I256=1,J256=1),"两者都跟住",IF(AND(I256=0,J256=1),"仅 PC-TBD 跟住",IF(AND(I256=1,J256=0),"仅 VIT-LPS 跟住","都没跟住")))</f>
        <v>两者都跟住</v>
      </c>
      <c r="L256" s="45" t="n">
        <f aca="false">F256-G256</f>
        <v>0.095185684570122</v>
      </c>
      <c r="M256" s="46" t="n">
        <v>0.2162879</v>
      </c>
      <c r="N256" s="46" t="n">
        <v>0.1326888</v>
      </c>
      <c r="O256" s="46" t="n">
        <v>0.2180358</v>
      </c>
      <c r="P256" s="46" t="n">
        <v>0.6584541</v>
      </c>
      <c r="Q256" s="46" t="n">
        <v>3.2810605</v>
      </c>
      <c r="R256" s="46" t="n">
        <v>2.4867079</v>
      </c>
      <c r="S256" s="47" t="n">
        <f aca="false">M256+N256+O256</f>
        <v>0.5670125</v>
      </c>
      <c r="T256" s="47" t="n">
        <f aca="false">M256+P256</f>
        <v>0.874742</v>
      </c>
    </row>
    <row r="257" customFormat="false" ht="15" hidden="false" customHeight="false" outlineLevel="0" collapsed="false">
      <c r="A257" s="42" t="s">
        <v>44</v>
      </c>
      <c r="B257" s="42" t="n">
        <v>-16</v>
      </c>
      <c r="C257" s="42" t="n">
        <v>56</v>
      </c>
      <c r="D257" s="42" t="n">
        <v>74270971</v>
      </c>
      <c r="E257" s="43" t="n">
        <v>0.864134473917531</v>
      </c>
      <c r="F257" s="43" t="n">
        <v>0.908279199993143</v>
      </c>
      <c r="G257" s="43" t="n">
        <v>0.904915756360101</v>
      </c>
      <c r="H257" s="43" t="n">
        <v>0.897788269872961</v>
      </c>
      <c r="I257" s="42" t="n">
        <v>1</v>
      </c>
      <c r="J257" s="42" t="n">
        <v>1</v>
      </c>
      <c r="K257" s="44" t="str">
        <f aca="false">IF(AND(I257=1,J257=1),"两者都跟住",IF(AND(I257=0,J257=1),"仅 PC-TBD 跟住",IF(AND(I257=1,J257=0),"仅 VIT-LPS 跟住","都没跟住")))</f>
        <v>两者都跟住</v>
      </c>
      <c r="L257" s="45" t="n">
        <f aca="false">F257-G257</f>
        <v>0.00336344363304197</v>
      </c>
      <c r="M257" s="46" t="n">
        <v>0.218121</v>
      </c>
      <c r="N257" s="46" t="n">
        <v>0.1449967</v>
      </c>
      <c r="O257" s="46" t="n">
        <v>0.2099392</v>
      </c>
      <c r="P257" s="46" t="n">
        <v>0.6334776</v>
      </c>
      <c r="Q257" s="46" t="n">
        <v>2.98209</v>
      </c>
      <c r="R257" s="46" t="n">
        <v>2.0017014</v>
      </c>
      <c r="S257" s="47" t="n">
        <f aca="false">M257+N257+O257</f>
        <v>0.5730569</v>
      </c>
      <c r="T257" s="47" t="n">
        <f aca="false">M257+P257</f>
        <v>0.8515986</v>
      </c>
    </row>
    <row r="258" customFormat="false" ht="15" hidden="false" customHeight="false" outlineLevel="0" collapsed="false">
      <c r="A258" s="42" t="s">
        <v>44</v>
      </c>
      <c r="B258" s="42" t="n">
        <v>-16</v>
      </c>
      <c r="C258" s="42" t="n">
        <v>57</v>
      </c>
      <c r="D258" s="42" t="n">
        <v>74270972</v>
      </c>
      <c r="E258" s="43" t="n">
        <v>0.654772839781948</v>
      </c>
      <c r="F258" s="43" t="n">
        <v>0.959015839277984</v>
      </c>
      <c r="G258" s="43" t="n">
        <v>0.93614656070946</v>
      </c>
      <c r="H258" s="43" t="n">
        <v>0.939405395447822</v>
      </c>
      <c r="I258" s="42" t="n">
        <v>1</v>
      </c>
      <c r="J258" s="42" t="n">
        <v>1</v>
      </c>
      <c r="K258" s="44" t="str">
        <f aca="false">IF(AND(I258=1,J258=1),"两者都跟住",IF(AND(I258=0,J258=1),"仅 PC-TBD 跟住",IF(AND(I258=1,J258=0),"仅 VIT-LPS 跟住","都没跟住")))</f>
        <v>两者都跟住</v>
      </c>
      <c r="L258" s="45" t="n">
        <f aca="false">F258-G258</f>
        <v>0.0228692785685239</v>
      </c>
      <c r="M258" s="46" t="n">
        <v>0.1251095</v>
      </c>
      <c r="N258" s="46" t="n">
        <v>0.1014913</v>
      </c>
      <c r="O258" s="46" t="n">
        <v>0.1536443</v>
      </c>
      <c r="P258" s="46" t="n">
        <v>0.4220691</v>
      </c>
      <c r="Q258" s="46" t="n">
        <v>1.629698</v>
      </c>
      <c r="R258" s="46" t="n">
        <v>1.3797937</v>
      </c>
      <c r="S258" s="47" t="n">
        <f aca="false">M258+N258+O258</f>
        <v>0.3802451</v>
      </c>
      <c r="T258" s="47" t="n">
        <f aca="false">M258+P258</f>
        <v>0.5471786</v>
      </c>
    </row>
    <row r="259" customFormat="false" ht="15" hidden="false" customHeight="false" outlineLevel="0" collapsed="false">
      <c r="A259" s="42" t="s">
        <v>44</v>
      </c>
      <c r="B259" s="42" t="n">
        <v>-16</v>
      </c>
      <c r="C259" s="42" t="n">
        <v>58</v>
      </c>
      <c r="D259" s="42" t="n">
        <v>74270973</v>
      </c>
      <c r="E259" s="43" t="n">
        <v>0.833477065909764</v>
      </c>
      <c r="F259" s="43" t="n">
        <v>0.930649701631466</v>
      </c>
      <c r="G259" s="43" t="n">
        <v>0.936707160221618</v>
      </c>
      <c r="H259" s="43" t="n">
        <v>0.918894097301509</v>
      </c>
      <c r="I259" s="42" t="n">
        <v>1</v>
      </c>
      <c r="J259" s="42" t="n">
        <v>1</v>
      </c>
      <c r="K259" s="44" t="str">
        <f aca="false">IF(AND(I259=1,J259=1),"两者都跟住",IF(AND(I259=0,J259=1),"仅 PC-TBD 跟住",IF(AND(I259=1,J259=0),"仅 VIT-LPS 跟住","都没跟住")))</f>
        <v>两者都跟住</v>
      </c>
      <c r="L259" s="45" t="n">
        <f aca="false">F259-G259</f>
        <v>-0.00605745859015205</v>
      </c>
      <c r="M259" s="46" t="n">
        <v>0.1621242</v>
      </c>
      <c r="N259" s="46" t="n">
        <v>0.0931288</v>
      </c>
      <c r="O259" s="46" t="n">
        <v>0.1641085</v>
      </c>
      <c r="P259" s="46" t="n">
        <v>0.5344062</v>
      </c>
      <c r="Q259" s="46" t="n">
        <v>1.6948123</v>
      </c>
      <c r="R259" s="46" t="n">
        <v>1.6726785</v>
      </c>
      <c r="S259" s="47" t="n">
        <f aca="false">M259+N259+O259</f>
        <v>0.4193615</v>
      </c>
      <c r="T259" s="47" t="n">
        <f aca="false">M259+P259</f>
        <v>0.6965304</v>
      </c>
    </row>
    <row r="260" customFormat="false" ht="15" hidden="false" customHeight="false" outlineLevel="0" collapsed="false">
      <c r="A260" s="42" t="s">
        <v>44</v>
      </c>
      <c r="B260" s="42" t="n">
        <v>-16</v>
      </c>
      <c r="C260" s="42" t="n">
        <v>59</v>
      </c>
      <c r="D260" s="42" t="n">
        <v>74270974</v>
      </c>
      <c r="E260" s="43" t="n">
        <v>0.335129592430106</v>
      </c>
      <c r="F260" s="43" t="n">
        <v>0.95715007352876</v>
      </c>
      <c r="G260" s="43" t="n">
        <v>0.942418578061634</v>
      </c>
      <c r="H260" s="43" t="n">
        <v>0.941921724466807</v>
      </c>
      <c r="I260" s="42" t="n">
        <v>1</v>
      </c>
      <c r="J260" s="42" t="n">
        <v>1</v>
      </c>
      <c r="K260" s="44" t="str">
        <f aca="false">IF(AND(I260=1,J260=1),"两者都跟住",IF(AND(I260=0,J260=1),"仅 PC-TBD 跟住",IF(AND(I260=1,J260=0),"仅 VIT-LPS 跟住","都没跟住")))</f>
        <v>两者都跟住</v>
      </c>
      <c r="L260" s="45" t="n">
        <f aca="false">F260-G260</f>
        <v>0.014731495467126</v>
      </c>
      <c r="M260" s="46" t="n">
        <v>0.1561827</v>
      </c>
      <c r="N260" s="46" t="n">
        <v>0.1078197</v>
      </c>
      <c r="O260" s="46" t="n">
        <v>0.1880047</v>
      </c>
      <c r="P260" s="46" t="n">
        <v>0.4378934</v>
      </c>
      <c r="Q260" s="46" t="n">
        <v>2.4012781</v>
      </c>
      <c r="R260" s="46" t="n">
        <v>1.857146</v>
      </c>
      <c r="S260" s="47" t="n">
        <f aca="false">M260+N260+O260</f>
        <v>0.4520071</v>
      </c>
      <c r="T260" s="47" t="n">
        <f aca="false">M260+P260</f>
        <v>0.5940761</v>
      </c>
    </row>
    <row r="261" customFormat="false" ht="15" hidden="false" customHeight="false" outlineLevel="0" collapsed="false">
      <c r="A261" s="42" t="s">
        <v>44</v>
      </c>
      <c r="B261" s="42" t="n">
        <v>-16</v>
      </c>
      <c r="C261" s="42" t="n">
        <v>60</v>
      </c>
      <c r="D261" s="42" t="n">
        <v>74270975</v>
      </c>
      <c r="E261" s="43" t="n">
        <v>0.660043333148128</v>
      </c>
      <c r="F261" s="43" t="n">
        <v>0.900501036953624</v>
      </c>
      <c r="G261" s="43" t="n">
        <v>0.869639585963773</v>
      </c>
      <c r="H261" s="43" t="n">
        <v>0.889790540116494</v>
      </c>
      <c r="I261" s="42" t="n">
        <v>1</v>
      </c>
      <c r="J261" s="42" t="n">
        <v>1</v>
      </c>
      <c r="K261" s="44" t="str">
        <f aca="false">IF(AND(I261=1,J261=1),"两者都跟住",IF(AND(I261=0,J261=1),"仅 PC-TBD 跟住",IF(AND(I261=1,J261=0),"仅 VIT-LPS 跟住","都没跟住")))</f>
        <v>两者都跟住</v>
      </c>
      <c r="L261" s="45" t="n">
        <f aca="false">F261-G261</f>
        <v>0.030861450989851</v>
      </c>
      <c r="M261" s="46" t="n">
        <v>0.2108245</v>
      </c>
      <c r="N261" s="46" t="n">
        <v>0.1338024</v>
      </c>
      <c r="O261" s="46" t="n">
        <v>0.2966534</v>
      </c>
      <c r="P261" s="46" t="n">
        <v>0.4954586</v>
      </c>
      <c r="Q261" s="46" t="n">
        <v>1.5172057</v>
      </c>
      <c r="R261" s="46" t="n">
        <v>1.3584748</v>
      </c>
      <c r="S261" s="47" t="n">
        <f aca="false">M261+N261+O261</f>
        <v>0.6412803</v>
      </c>
      <c r="T261" s="47" t="n">
        <f aca="false">M261+P261</f>
        <v>0.7062831</v>
      </c>
    </row>
    <row r="262" customFormat="false" ht="15" hidden="false" customHeight="false" outlineLevel="0" collapsed="false">
      <c r="A262" s="42" t="s">
        <v>44</v>
      </c>
      <c r="B262" s="42" t="n">
        <v>-16</v>
      </c>
      <c r="C262" s="42" t="n">
        <v>61</v>
      </c>
      <c r="D262" s="42" t="n">
        <v>74270976</v>
      </c>
      <c r="E262" s="43" t="n">
        <v>0.788004741565032</v>
      </c>
      <c r="F262" s="43" t="n">
        <v>0.945670817682945</v>
      </c>
      <c r="G262" s="43" t="n">
        <v>0.953034228254674</v>
      </c>
      <c r="H262" s="43" t="n">
        <v>0.943881317807917</v>
      </c>
      <c r="I262" s="42" t="n">
        <v>1</v>
      </c>
      <c r="J262" s="42" t="n">
        <v>1</v>
      </c>
      <c r="K262" s="44" t="str">
        <f aca="false">IF(AND(I262=1,J262=1),"两者都跟住",IF(AND(I262=0,J262=1),"仅 PC-TBD 跟住",IF(AND(I262=1,J262=0),"仅 VIT-LPS 跟住","都没跟住")))</f>
        <v>两者都跟住</v>
      </c>
      <c r="L262" s="45" t="n">
        <f aca="false">F262-G262</f>
        <v>-0.00736341057172896</v>
      </c>
      <c r="M262" s="46" t="n">
        <v>0.2042037</v>
      </c>
      <c r="N262" s="46" t="n">
        <v>0.1257295</v>
      </c>
      <c r="O262" s="46" t="n">
        <v>0.1889518</v>
      </c>
      <c r="P262" s="46" t="n">
        <v>0.6058148</v>
      </c>
      <c r="Q262" s="46" t="n">
        <v>2.1833618</v>
      </c>
      <c r="R262" s="46" t="n">
        <v>2.6756545</v>
      </c>
      <c r="S262" s="47" t="n">
        <f aca="false">M262+N262+O262</f>
        <v>0.518885</v>
      </c>
      <c r="T262" s="47" t="n">
        <f aca="false">M262+P262</f>
        <v>0.8100185</v>
      </c>
    </row>
    <row r="263" customFormat="false" ht="15" hidden="false" customHeight="false" outlineLevel="0" collapsed="false">
      <c r="A263" s="42" t="s">
        <v>44</v>
      </c>
      <c r="B263" s="42" t="n">
        <v>-16</v>
      </c>
      <c r="C263" s="42" t="n">
        <v>62</v>
      </c>
      <c r="D263" s="42" t="n">
        <v>74270977</v>
      </c>
      <c r="E263" s="43" t="n">
        <v>0.73104776824321</v>
      </c>
      <c r="F263" s="43" t="n">
        <v>0.931090677455075</v>
      </c>
      <c r="G263" s="43" t="n">
        <v>0.901244851308744</v>
      </c>
      <c r="H263" s="43" t="n">
        <v>0.917431661794984</v>
      </c>
      <c r="I263" s="42" t="n">
        <v>1</v>
      </c>
      <c r="J263" s="42" t="n">
        <v>1</v>
      </c>
      <c r="K263" s="44" t="str">
        <f aca="false">IF(AND(I263=1,J263=1),"两者都跟住",IF(AND(I263=0,J263=1),"仅 PC-TBD 跟住",IF(AND(I263=1,J263=0),"仅 VIT-LPS 跟住","都没跟住")))</f>
        <v>两者都跟住</v>
      </c>
      <c r="L263" s="45" t="n">
        <f aca="false">F263-G263</f>
        <v>0.029845826146331</v>
      </c>
      <c r="M263" s="46" t="n">
        <v>0.2246092</v>
      </c>
      <c r="N263" s="46" t="n">
        <v>0.0924146</v>
      </c>
      <c r="O263" s="46" t="n">
        <v>0.1592163</v>
      </c>
      <c r="P263" s="46" t="n">
        <v>0.4266551</v>
      </c>
      <c r="Q263" s="46" t="n">
        <v>1.9068061</v>
      </c>
      <c r="R263" s="46" t="n">
        <v>2.3851437</v>
      </c>
      <c r="S263" s="47" t="n">
        <f aca="false">M263+N263+O263</f>
        <v>0.4762401</v>
      </c>
      <c r="T263" s="47" t="n">
        <f aca="false">M263+P263</f>
        <v>0.6512643</v>
      </c>
    </row>
    <row r="264" customFormat="false" ht="15" hidden="false" customHeight="false" outlineLevel="0" collapsed="false">
      <c r="A264" s="42" t="s">
        <v>44</v>
      </c>
      <c r="B264" s="42" t="n">
        <v>-16</v>
      </c>
      <c r="C264" s="42" t="n">
        <v>63</v>
      </c>
      <c r="D264" s="42" t="n">
        <v>74270978</v>
      </c>
      <c r="E264" s="43" t="n">
        <v>0.717783792138747</v>
      </c>
      <c r="F264" s="43" t="n">
        <v>0.9534948494541</v>
      </c>
      <c r="G264" s="43" t="n">
        <v>0.945696247194754</v>
      </c>
      <c r="H264" s="43" t="n">
        <v>0.959013795172531</v>
      </c>
      <c r="I264" s="42" t="n">
        <v>1</v>
      </c>
      <c r="J264" s="42" t="n">
        <v>1</v>
      </c>
      <c r="K264" s="44" t="str">
        <f aca="false">IF(AND(I264=1,J264=1),"两者都跟住",IF(AND(I264=0,J264=1),"仅 PC-TBD 跟住",IF(AND(I264=1,J264=0),"仅 VIT-LPS 跟住","都没跟住")))</f>
        <v>两者都跟住</v>
      </c>
      <c r="L264" s="45" t="n">
        <f aca="false">F264-G264</f>
        <v>0.00779860225934603</v>
      </c>
      <c r="M264" s="46" t="n">
        <v>0.2219532</v>
      </c>
      <c r="N264" s="46" t="n">
        <v>0.126216</v>
      </c>
      <c r="O264" s="46" t="n">
        <v>0.2029487</v>
      </c>
      <c r="P264" s="46" t="n">
        <v>0.5164314</v>
      </c>
      <c r="Q264" s="46" t="n">
        <v>2.6400598</v>
      </c>
      <c r="R264" s="46" t="n">
        <v>2.1964385</v>
      </c>
      <c r="S264" s="47" t="n">
        <f aca="false">M264+N264+O264</f>
        <v>0.5511179</v>
      </c>
      <c r="T264" s="47" t="n">
        <f aca="false">M264+P264</f>
        <v>0.7383846</v>
      </c>
    </row>
    <row r="265" customFormat="false" ht="15" hidden="false" customHeight="false" outlineLevel="0" collapsed="false">
      <c r="A265" s="42" t="s">
        <v>44</v>
      </c>
      <c r="B265" s="42" t="n">
        <v>-16</v>
      </c>
      <c r="C265" s="42" t="n">
        <v>64</v>
      </c>
      <c r="D265" s="42" t="n">
        <v>74270979</v>
      </c>
      <c r="E265" s="43" t="n">
        <v>0.512642345147211</v>
      </c>
      <c r="F265" s="43" t="n">
        <v>0.931174020035563</v>
      </c>
      <c r="G265" s="43" t="n">
        <v>0.775616792808978</v>
      </c>
      <c r="H265" s="43" t="n">
        <v>0.804228353151356</v>
      </c>
      <c r="I265" s="42" t="n">
        <v>1</v>
      </c>
      <c r="J265" s="42" t="n">
        <v>1</v>
      </c>
      <c r="K265" s="44" t="str">
        <f aca="false">IF(AND(I265=1,J265=1),"两者都跟住",IF(AND(I265=0,J265=1),"仅 PC-TBD 跟住",IF(AND(I265=1,J265=0),"仅 VIT-LPS 跟住","都没跟住")))</f>
        <v>两者都跟住</v>
      </c>
      <c r="L265" s="45" t="n">
        <f aca="false">F265-G265</f>
        <v>0.155557227226585</v>
      </c>
      <c r="M265" s="46" t="n">
        <v>0.1973822</v>
      </c>
      <c r="N265" s="46" t="n">
        <v>0.1049034</v>
      </c>
      <c r="O265" s="46" t="n">
        <v>0.20588</v>
      </c>
      <c r="P265" s="46" t="n">
        <v>0.5577295</v>
      </c>
      <c r="Q265" s="46" t="n">
        <v>3.2736826</v>
      </c>
      <c r="R265" s="46" t="n">
        <v>2.4906659</v>
      </c>
      <c r="S265" s="47" t="n">
        <f aca="false">M265+N265+O265</f>
        <v>0.5081656</v>
      </c>
      <c r="T265" s="47" t="n">
        <f aca="false">M265+P265</f>
        <v>0.7551117</v>
      </c>
    </row>
    <row r="266" customFormat="false" ht="15" hidden="false" customHeight="false" outlineLevel="0" collapsed="false">
      <c r="A266" s="42" t="s">
        <v>44</v>
      </c>
      <c r="B266" s="42" t="n">
        <v>-16</v>
      </c>
      <c r="C266" s="42" t="n">
        <v>65</v>
      </c>
      <c r="D266" s="42" t="n">
        <v>74270980</v>
      </c>
      <c r="E266" s="43" t="n">
        <v>0.779982319515128</v>
      </c>
      <c r="F266" s="43" t="n">
        <v>0.930365493873696</v>
      </c>
      <c r="G266" s="43" t="n">
        <v>0.946479989767701</v>
      </c>
      <c r="H266" s="43" t="n">
        <v>0.946298143357956</v>
      </c>
      <c r="I266" s="42" t="n">
        <v>1</v>
      </c>
      <c r="J266" s="42" t="n">
        <v>1</v>
      </c>
      <c r="K266" s="44" t="str">
        <f aca="false">IF(AND(I266=1,J266=1),"两者都跟住",IF(AND(I266=0,J266=1),"仅 PC-TBD 跟住",IF(AND(I266=1,J266=0),"仅 VIT-LPS 跟住","都没跟住")))</f>
        <v>两者都跟住</v>
      </c>
      <c r="L266" s="45" t="n">
        <f aca="false">F266-G266</f>
        <v>-0.0161144958940049</v>
      </c>
      <c r="M266" s="46" t="n">
        <v>0.2053479</v>
      </c>
      <c r="N266" s="46" t="n">
        <v>0.0980595</v>
      </c>
      <c r="O266" s="46" t="n">
        <v>0.2009597</v>
      </c>
      <c r="P266" s="46" t="n">
        <v>0.4471337</v>
      </c>
      <c r="Q266" s="46" t="n">
        <v>2.4675959</v>
      </c>
      <c r="R266" s="46" t="n">
        <v>2.7421345</v>
      </c>
      <c r="S266" s="47" t="n">
        <f aca="false">M266+N266+O266</f>
        <v>0.5043671</v>
      </c>
      <c r="T266" s="47" t="n">
        <f aca="false">M266+P266</f>
        <v>0.6524816</v>
      </c>
    </row>
    <row r="267" customFormat="false" ht="15" hidden="false" customHeight="false" outlineLevel="0" collapsed="false">
      <c r="A267" s="42" t="s">
        <v>44</v>
      </c>
      <c r="B267" s="42" t="n">
        <v>-16</v>
      </c>
      <c r="C267" s="42" t="n">
        <v>66</v>
      </c>
      <c r="D267" s="42" t="n">
        <v>74270981</v>
      </c>
      <c r="E267" s="43" t="n">
        <v>0.432916193686482</v>
      </c>
      <c r="F267" s="43" t="n">
        <v>0.94696749189891</v>
      </c>
      <c r="G267" s="43" t="n">
        <v>0.943844103011043</v>
      </c>
      <c r="H267" s="43" t="n">
        <v>0.956543540927494</v>
      </c>
      <c r="I267" s="42" t="n">
        <v>1</v>
      </c>
      <c r="J267" s="42" t="n">
        <v>1</v>
      </c>
      <c r="K267" s="44" t="str">
        <f aca="false">IF(AND(I267=1,J267=1),"两者都跟住",IF(AND(I267=0,J267=1),"仅 PC-TBD 跟住",IF(AND(I267=1,J267=0),"仅 VIT-LPS 跟住","都没跟住")))</f>
        <v>两者都跟住</v>
      </c>
      <c r="L267" s="45" t="n">
        <f aca="false">F267-G267</f>
        <v>0.00312338888786701</v>
      </c>
      <c r="M267" s="46" t="n">
        <v>0.1911257</v>
      </c>
      <c r="N267" s="46" t="n">
        <v>0.1047503</v>
      </c>
      <c r="O267" s="46" t="n">
        <v>0.1739313</v>
      </c>
      <c r="P267" s="46" t="n">
        <v>0.5893562</v>
      </c>
      <c r="Q267" s="46" t="n">
        <v>2.9637936</v>
      </c>
      <c r="R267" s="46" t="n">
        <v>2.3671469</v>
      </c>
      <c r="S267" s="47" t="n">
        <f aca="false">M267+N267+O267</f>
        <v>0.4698073</v>
      </c>
      <c r="T267" s="47" t="n">
        <f aca="false">M267+P267</f>
        <v>0.7804819</v>
      </c>
    </row>
    <row r="268" customFormat="false" ht="15" hidden="false" customHeight="false" outlineLevel="0" collapsed="false">
      <c r="A268" s="42" t="s">
        <v>44</v>
      </c>
      <c r="B268" s="42" t="n">
        <v>-16</v>
      </c>
      <c r="C268" s="42" t="n">
        <v>67</v>
      </c>
      <c r="D268" s="42" t="n">
        <v>74270982</v>
      </c>
      <c r="E268" s="43" t="n">
        <v>0.541482721650962</v>
      </c>
      <c r="F268" s="43" t="n">
        <v>0.80042433331993</v>
      </c>
      <c r="G268" s="43" t="n">
        <v>0.900309859667065</v>
      </c>
      <c r="H268" s="43" t="n">
        <v>0.926445236619236</v>
      </c>
      <c r="I268" s="42" t="n">
        <v>1</v>
      </c>
      <c r="J268" s="42" t="n">
        <v>1</v>
      </c>
      <c r="K268" s="44" t="str">
        <f aca="false">IF(AND(I268=1,J268=1),"两者都跟住",IF(AND(I268=0,J268=1),"仅 PC-TBD 跟住",IF(AND(I268=1,J268=0),"仅 VIT-LPS 跟住","都没跟住")))</f>
        <v>两者都跟住</v>
      </c>
      <c r="L268" s="45" t="n">
        <f aca="false">F268-G268</f>
        <v>-0.099885526347135</v>
      </c>
      <c r="M268" s="46" t="n">
        <v>0.152803</v>
      </c>
      <c r="N268" s="46" t="n">
        <v>0.1128073</v>
      </c>
      <c r="O268" s="46" t="n">
        <v>0.2006156</v>
      </c>
      <c r="P268" s="46" t="n">
        <v>0.5178149</v>
      </c>
      <c r="Q268" s="46" t="n">
        <v>1.8100954</v>
      </c>
      <c r="R268" s="46" t="n">
        <v>1.735906</v>
      </c>
      <c r="S268" s="47" t="n">
        <f aca="false">M268+N268+O268</f>
        <v>0.4662259</v>
      </c>
      <c r="T268" s="47" t="n">
        <f aca="false">M268+P268</f>
        <v>0.6706179</v>
      </c>
    </row>
    <row r="269" customFormat="false" ht="15" hidden="false" customHeight="false" outlineLevel="0" collapsed="false">
      <c r="A269" s="42" t="s">
        <v>44</v>
      </c>
      <c r="B269" s="42" t="n">
        <v>-16</v>
      </c>
      <c r="C269" s="42" t="n">
        <v>68</v>
      </c>
      <c r="D269" s="42" t="n">
        <v>74270983</v>
      </c>
      <c r="E269" s="43" t="n">
        <v>0.833894259338062</v>
      </c>
      <c r="F269" s="43" t="n">
        <v>0.892996239529965</v>
      </c>
      <c r="G269" s="43" t="n">
        <v>0.892738694362191</v>
      </c>
      <c r="H269" s="43" t="n">
        <v>0.878462516060428</v>
      </c>
      <c r="I269" s="42" t="n">
        <v>1</v>
      </c>
      <c r="J269" s="42" t="n">
        <v>1</v>
      </c>
      <c r="K269" s="44" t="str">
        <f aca="false">IF(AND(I269=1,J269=1),"两者都跟住",IF(AND(I269=0,J269=1),"仅 PC-TBD 跟住",IF(AND(I269=1,J269=0),"仅 VIT-LPS 跟住","都没跟住")))</f>
        <v>两者都跟住</v>
      </c>
      <c r="L269" s="45" t="n">
        <f aca="false">F269-G269</f>
        <v>0.000257545167773987</v>
      </c>
      <c r="M269" s="46" t="n">
        <v>0.1997917</v>
      </c>
      <c r="N269" s="46" t="n">
        <v>0.1232166</v>
      </c>
      <c r="O269" s="46" t="n">
        <v>0.1981813</v>
      </c>
      <c r="P269" s="46" t="n">
        <v>0.5298798</v>
      </c>
      <c r="Q269" s="46" t="n">
        <v>1.5836419</v>
      </c>
      <c r="R269" s="46" t="n">
        <v>1.4520364</v>
      </c>
      <c r="S269" s="47" t="n">
        <f aca="false">M269+N269+O269</f>
        <v>0.5211896</v>
      </c>
      <c r="T269" s="47" t="n">
        <f aca="false">M269+P269</f>
        <v>0.7296715</v>
      </c>
    </row>
    <row r="270" customFormat="false" ht="15" hidden="false" customHeight="false" outlineLevel="0" collapsed="false">
      <c r="A270" s="42" t="s">
        <v>44</v>
      </c>
      <c r="B270" s="42" t="n">
        <v>-16</v>
      </c>
      <c r="C270" s="42" t="n">
        <v>69</v>
      </c>
      <c r="D270" s="42" t="n">
        <v>74270984</v>
      </c>
      <c r="E270" s="43" t="n">
        <v>0.495796906972419</v>
      </c>
      <c r="F270" s="43" t="n">
        <v>0.950111815990361</v>
      </c>
      <c r="G270" s="43" t="n">
        <v>0.955985930841398</v>
      </c>
      <c r="H270" s="43" t="n">
        <v>0.948930804220748</v>
      </c>
      <c r="I270" s="42" t="n">
        <v>1</v>
      </c>
      <c r="J270" s="42" t="n">
        <v>1</v>
      </c>
      <c r="K270" s="44" t="str">
        <f aca="false">IF(AND(I270=1,J270=1),"两者都跟住",IF(AND(I270=0,J270=1),"仅 PC-TBD 跟住",IF(AND(I270=1,J270=0),"仅 VIT-LPS 跟住","都没跟住")))</f>
        <v>两者都跟住</v>
      </c>
      <c r="L270" s="45" t="n">
        <f aca="false">F270-G270</f>
        <v>-0.00587411485103706</v>
      </c>
      <c r="M270" s="46" t="n">
        <v>0.1699889</v>
      </c>
      <c r="N270" s="46" t="n">
        <v>0.0841057</v>
      </c>
      <c r="O270" s="46" t="n">
        <v>0.2230324</v>
      </c>
      <c r="P270" s="46" t="n">
        <v>0.6099648</v>
      </c>
      <c r="Q270" s="46" t="n">
        <v>1.9934285</v>
      </c>
      <c r="R270" s="46" t="n">
        <v>1.3989053</v>
      </c>
      <c r="S270" s="47" t="n">
        <f aca="false">M270+N270+O270</f>
        <v>0.477127</v>
      </c>
      <c r="T270" s="47" t="n">
        <f aca="false">M270+P270</f>
        <v>0.7799537</v>
      </c>
    </row>
    <row r="271" customFormat="false" ht="15" hidden="false" customHeight="false" outlineLevel="0" collapsed="false">
      <c r="A271" s="42" t="s">
        <v>44</v>
      </c>
      <c r="B271" s="42" t="n">
        <v>-16</v>
      </c>
      <c r="C271" s="42" t="n">
        <v>70</v>
      </c>
      <c r="D271" s="42" t="n">
        <v>74270985</v>
      </c>
      <c r="E271" s="43" t="n">
        <v>0.695801226077277</v>
      </c>
      <c r="F271" s="43" t="n">
        <v>0.917076541687796</v>
      </c>
      <c r="G271" s="43" t="n">
        <v>0.887405797563826</v>
      </c>
      <c r="H271" s="43" t="n">
        <v>0.910684959737517</v>
      </c>
      <c r="I271" s="42" t="n">
        <v>1</v>
      </c>
      <c r="J271" s="42" t="n">
        <v>1</v>
      </c>
      <c r="K271" s="44" t="str">
        <f aca="false">IF(AND(I271=1,J271=1),"两者都跟住",IF(AND(I271=0,J271=1),"仅 PC-TBD 跟住",IF(AND(I271=1,J271=0),"仅 VIT-LPS 跟住","都没跟住")))</f>
        <v>两者都跟住</v>
      </c>
      <c r="L271" s="45" t="n">
        <f aca="false">F271-G271</f>
        <v>0.02967074412397</v>
      </c>
      <c r="M271" s="46" t="n">
        <v>0.1526681</v>
      </c>
      <c r="N271" s="46" t="n">
        <v>0.0846055</v>
      </c>
      <c r="O271" s="46" t="n">
        <v>0.1461999</v>
      </c>
      <c r="P271" s="46" t="n">
        <v>0.5708865</v>
      </c>
      <c r="Q271" s="46" t="n">
        <v>1.8281379</v>
      </c>
      <c r="R271" s="46" t="n">
        <v>1.7397777</v>
      </c>
      <c r="S271" s="47" t="n">
        <f aca="false">M271+N271+O271</f>
        <v>0.3834735</v>
      </c>
      <c r="T271" s="47" t="n">
        <f aca="false">M271+P271</f>
        <v>0.7235546</v>
      </c>
    </row>
    <row r="272" customFormat="false" ht="15" hidden="false" customHeight="false" outlineLevel="0" collapsed="false">
      <c r="A272" s="42" t="s">
        <v>44</v>
      </c>
      <c r="B272" s="42" t="n">
        <v>-16</v>
      </c>
      <c r="C272" s="42" t="n">
        <v>71</v>
      </c>
      <c r="D272" s="42" t="n">
        <v>74270986</v>
      </c>
      <c r="E272" s="43" t="n">
        <v>0.50102572315616</v>
      </c>
      <c r="F272" s="43" t="n">
        <v>0.941421890528448</v>
      </c>
      <c r="G272" s="43" t="n">
        <v>0.929536902235803</v>
      </c>
      <c r="H272" s="43" t="n">
        <v>0.936997024391937</v>
      </c>
      <c r="I272" s="42" t="n">
        <v>1</v>
      </c>
      <c r="J272" s="42" t="n">
        <v>1</v>
      </c>
      <c r="K272" s="44" t="str">
        <f aca="false">IF(AND(I272=1,J272=1),"两者都跟住",IF(AND(I272=0,J272=1),"仅 PC-TBD 跟住",IF(AND(I272=1,J272=0),"仅 VIT-LPS 跟住","都没跟住")))</f>
        <v>两者都跟住</v>
      </c>
      <c r="L272" s="45" t="n">
        <f aca="false">F272-G272</f>
        <v>0.0118849882926451</v>
      </c>
      <c r="M272" s="46" t="n">
        <v>0.2022213</v>
      </c>
      <c r="N272" s="46" t="n">
        <v>0.1092603</v>
      </c>
      <c r="O272" s="46" t="n">
        <v>0.2357386</v>
      </c>
      <c r="P272" s="46" t="n">
        <v>0.4513641</v>
      </c>
      <c r="Q272" s="46" t="n">
        <v>2.8449031</v>
      </c>
      <c r="R272" s="46" t="n">
        <v>2.1836734</v>
      </c>
      <c r="S272" s="47" t="n">
        <f aca="false">M272+N272+O272</f>
        <v>0.5472202</v>
      </c>
      <c r="T272" s="47" t="n">
        <f aca="false">M272+P272</f>
        <v>0.6535854</v>
      </c>
    </row>
    <row r="273" customFormat="false" ht="15" hidden="false" customHeight="false" outlineLevel="0" collapsed="false">
      <c r="A273" s="42" t="s">
        <v>44</v>
      </c>
      <c r="B273" s="42" t="n">
        <v>-16</v>
      </c>
      <c r="C273" s="42" t="n">
        <v>72</v>
      </c>
      <c r="D273" s="42" t="n">
        <v>74270987</v>
      </c>
      <c r="E273" s="43" t="n">
        <v>0.678010113654202</v>
      </c>
      <c r="F273" s="43" t="n">
        <v>0.940289119672267</v>
      </c>
      <c r="G273" s="43" t="n">
        <v>0.903132786132803</v>
      </c>
      <c r="H273" s="43" t="n">
        <v>0.925561086341238</v>
      </c>
      <c r="I273" s="42" t="n">
        <v>1</v>
      </c>
      <c r="J273" s="42" t="n">
        <v>1</v>
      </c>
      <c r="K273" s="44" t="str">
        <f aca="false">IF(AND(I273=1,J273=1),"两者都跟住",IF(AND(I273=0,J273=1),"仅 PC-TBD 跟住",IF(AND(I273=1,J273=0),"仅 VIT-LPS 跟住","都没跟住")))</f>
        <v>两者都跟住</v>
      </c>
      <c r="L273" s="45" t="n">
        <f aca="false">F273-G273</f>
        <v>0.037156333539464</v>
      </c>
      <c r="M273" s="46" t="n">
        <v>0.217589</v>
      </c>
      <c r="N273" s="46" t="n">
        <v>0.1436507</v>
      </c>
      <c r="O273" s="46" t="n">
        <v>0.2457061</v>
      </c>
      <c r="P273" s="46" t="n">
        <v>0.6360427</v>
      </c>
      <c r="Q273" s="46" t="n">
        <v>2.2384721</v>
      </c>
      <c r="R273" s="46" t="n">
        <v>2.7018332</v>
      </c>
      <c r="S273" s="47" t="n">
        <f aca="false">M273+N273+O273</f>
        <v>0.6069458</v>
      </c>
      <c r="T273" s="47" t="n">
        <f aca="false">M273+P273</f>
        <v>0.8536317</v>
      </c>
    </row>
    <row r="274" customFormat="false" ht="15" hidden="false" customHeight="false" outlineLevel="0" collapsed="false">
      <c r="A274" s="42" t="s">
        <v>44</v>
      </c>
      <c r="B274" s="42" t="n">
        <v>-16</v>
      </c>
      <c r="C274" s="42" t="n">
        <v>73</v>
      </c>
      <c r="D274" s="42" t="n">
        <v>74270988</v>
      </c>
      <c r="E274" s="43" t="n">
        <v>0.84452308107357</v>
      </c>
      <c r="F274" s="43" t="n">
        <v>0.924805133513889</v>
      </c>
      <c r="G274" s="43" t="n">
        <v>0.886790519556146</v>
      </c>
      <c r="H274" s="43" t="n">
        <v>0.889734590732908</v>
      </c>
      <c r="I274" s="42" t="n">
        <v>1</v>
      </c>
      <c r="J274" s="42" t="n">
        <v>1</v>
      </c>
      <c r="K274" s="44" t="str">
        <f aca="false">IF(AND(I274=1,J274=1),"两者都跟住",IF(AND(I274=0,J274=1),"仅 PC-TBD 跟住",IF(AND(I274=1,J274=0),"仅 VIT-LPS 跟住","都没跟住")))</f>
        <v>两者都跟住</v>
      </c>
      <c r="L274" s="45" t="n">
        <f aca="false">F274-G274</f>
        <v>0.0380146139577431</v>
      </c>
      <c r="M274" s="46" t="n">
        <v>0.2241192</v>
      </c>
      <c r="N274" s="46" t="n">
        <v>0.1244455</v>
      </c>
      <c r="O274" s="46" t="n">
        <v>0.2589321</v>
      </c>
      <c r="P274" s="46" t="n">
        <v>0.5425917</v>
      </c>
      <c r="Q274" s="46" t="n">
        <v>3.4035184</v>
      </c>
      <c r="R274" s="46" t="n">
        <v>2.6209147</v>
      </c>
      <c r="S274" s="47" t="n">
        <f aca="false">M274+N274+O274</f>
        <v>0.6074968</v>
      </c>
      <c r="T274" s="47" t="n">
        <f aca="false">M274+P274</f>
        <v>0.7667109</v>
      </c>
    </row>
    <row r="275" customFormat="false" ht="15" hidden="false" customHeight="false" outlineLevel="0" collapsed="false">
      <c r="A275" s="42" t="s">
        <v>44</v>
      </c>
      <c r="B275" s="42" t="n">
        <v>-16</v>
      </c>
      <c r="C275" s="42" t="n">
        <v>74</v>
      </c>
      <c r="D275" s="42" t="n">
        <v>74270989</v>
      </c>
      <c r="E275" s="43" t="n">
        <v>0.749624832492574</v>
      </c>
      <c r="F275" s="43" t="n">
        <v>0.848614834817559</v>
      </c>
      <c r="G275" s="43" t="n">
        <v>0.84683930925245</v>
      </c>
      <c r="H275" s="43" t="n">
        <v>0.853339778594292</v>
      </c>
      <c r="I275" s="42" t="n">
        <v>1</v>
      </c>
      <c r="J275" s="42" t="n">
        <v>1</v>
      </c>
      <c r="K275" s="44" t="str">
        <f aca="false">IF(AND(I275=1,J275=1),"两者都跟住",IF(AND(I275=0,J275=1),"仅 PC-TBD 跟住",IF(AND(I275=1,J275=0),"仅 VIT-LPS 跟住","都没跟住")))</f>
        <v>两者都跟住</v>
      </c>
      <c r="L275" s="45" t="n">
        <f aca="false">F275-G275</f>
        <v>0.00177552556510896</v>
      </c>
      <c r="M275" s="46" t="n">
        <v>0.1917808</v>
      </c>
      <c r="N275" s="46" t="n">
        <v>0.1407592</v>
      </c>
      <c r="O275" s="46" t="n">
        <v>0.1816505</v>
      </c>
      <c r="P275" s="46" t="n">
        <v>0.7023072</v>
      </c>
      <c r="Q275" s="46" t="n">
        <v>2.0358906</v>
      </c>
      <c r="R275" s="46" t="n">
        <v>2.1958246</v>
      </c>
      <c r="S275" s="47" t="n">
        <f aca="false">M275+N275+O275</f>
        <v>0.5141905</v>
      </c>
      <c r="T275" s="47" t="n">
        <f aca="false">M275+P275</f>
        <v>0.894088</v>
      </c>
    </row>
    <row r="276" customFormat="false" ht="15" hidden="false" customHeight="false" outlineLevel="0" collapsed="false">
      <c r="A276" s="42" t="s">
        <v>44</v>
      </c>
      <c r="B276" s="42" t="n">
        <v>-16</v>
      </c>
      <c r="C276" s="42" t="n">
        <v>75</v>
      </c>
      <c r="D276" s="42" t="n">
        <v>74270990</v>
      </c>
      <c r="E276" s="43" t="n">
        <v>0.938102565969124</v>
      </c>
      <c r="F276" s="43" t="n">
        <v>0.952885834654021</v>
      </c>
      <c r="G276" s="43" t="n">
        <v>0.930905367315689</v>
      </c>
      <c r="H276" s="43" t="n">
        <v>0.944297527097256</v>
      </c>
      <c r="I276" s="42" t="n">
        <v>1</v>
      </c>
      <c r="J276" s="42" t="n">
        <v>1</v>
      </c>
      <c r="K276" s="44" t="str">
        <f aca="false">IF(AND(I276=1,J276=1),"两者都跟住",IF(AND(I276=0,J276=1),"仅 PC-TBD 跟住",IF(AND(I276=1,J276=0),"仅 VIT-LPS 跟住","都没跟住")))</f>
        <v>两者都跟住</v>
      </c>
      <c r="L276" s="45" t="n">
        <f aca="false">F276-G276</f>
        <v>0.021980467338332</v>
      </c>
      <c r="M276" s="46" t="n">
        <v>0.2169517</v>
      </c>
      <c r="N276" s="46" t="n">
        <v>0.1209692</v>
      </c>
      <c r="O276" s="46" t="n">
        <v>0.2158125</v>
      </c>
      <c r="P276" s="46" t="n">
        <v>0.6939699</v>
      </c>
      <c r="Q276" s="46" t="n">
        <v>2.5747814</v>
      </c>
      <c r="R276" s="46" t="n">
        <v>2.5414235</v>
      </c>
      <c r="S276" s="47" t="n">
        <f aca="false">M276+N276+O276</f>
        <v>0.5537334</v>
      </c>
      <c r="T276" s="47" t="n">
        <f aca="false">M276+P276</f>
        <v>0.9109216</v>
      </c>
    </row>
    <row r="277" customFormat="false" ht="15" hidden="false" customHeight="false" outlineLevel="0" collapsed="false">
      <c r="A277" s="42" t="s">
        <v>44</v>
      </c>
      <c r="B277" s="42" t="n">
        <v>-16</v>
      </c>
      <c r="C277" s="42" t="n">
        <v>76</v>
      </c>
      <c r="D277" s="42" t="n">
        <v>74270991</v>
      </c>
      <c r="E277" s="43" t="n">
        <v>0.481629514860167</v>
      </c>
      <c r="F277" s="43" t="n">
        <v>0.949058283037673</v>
      </c>
      <c r="G277" s="43" t="n">
        <v>0.885422671844338</v>
      </c>
      <c r="H277" s="43" t="n">
        <v>0.909169868251589</v>
      </c>
      <c r="I277" s="42" t="n">
        <v>1</v>
      </c>
      <c r="J277" s="42" t="n">
        <v>1</v>
      </c>
      <c r="K277" s="44" t="str">
        <f aca="false">IF(AND(I277=1,J277=1),"两者都跟住",IF(AND(I277=0,J277=1),"仅 PC-TBD 跟住",IF(AND(I277=1,J277=0),"仅 VIT-LPS 跟住","都没跟住")))</f>
        <v>两者都跟住</v>
      </c>
      <c r="L277" s="45" t="n">
        <f aca="false">F277-G277</f>
        <v>0.0636356111933351</v>
      </c>
      <c r="M277" s="46" t="n">
        <v>0.2175561</v>
      </c>
      <c r="N277" s="46" t="n">
        <v>0.1269726</v>
      </c>
      <c r="O277" s="46" t="n">
        <v>0.2083526</v>
      </c>
      <c r="P277" s="46" t="n">
        <v>0.5957665</v>
      </c>
      <c r="Q277" s="46" t="n">
        <v>3.4160066</v>
      </c>
      <c r="R277" s="46" t="n">
        <v>2.6884179</v>
      </c>
      <c r="S277" s="47" t="n">
        <f aca="false">M277+N277+O277</f>
        <v>0.5528813</v>
      </c>
      <c r="T277" s="47" t="n">
        <f aca="false">M277+P277</f>
        <v>0.8133226</v>
      </c>
    </row>
    <row r="278" customFormat="false" ht="15" hidden="false" customHeight="false" outlineLevel="0" collapsed="false">
      <c r="A278" s="42" t="s">
        <v>44</v>
      </c>
      <c r="B278" s="42" t="n">
        <v>-16</v>
      </c>
      <c r="C278" s="42" t="n">
        <v>77</v>
      </c>
      <c r="D278" s="42" t="n">
        <v>74270992</v>
      </c>
      <c r="E278" s="43" t="n">
        <v>0.339781721825675</v>
      </c>
      <c r="F278" s="43" t="n">
        <v>0.926162605950639</v>
      </c>
      <c r="G278" s="43" t="n">
        <v>0.84041628763588</v>
      </c>
      <c r="H278" s="43" t="n">
        <v>0.913095753500744</v>
      </c>
      <c r="I278" s="42" t="n">
        <v>1</v>
      </c>
      <c r="J278" s="42" t="n">
        <v>1</v>
      </c>
      <c r="K278" s="44" t="str">
        <f aca="false">IF(AND(I278=1,J278=1),"两者都跟住",IF(AND(I278=0,J278=1),"仅 PC-TBD 跟住",IF(AND(I278=1,J278=0),"仅 VIT-LPS 跟住","都没跟住")))</f>
        <v>两者都跟住</v>
      </c>
      <c r="L278" s="45" t="n">
        <f aca="false">F278-G278</f>
        <v>0.085746318314759</v>
      </c>
      <c r="M278" s="46" t="n">
        <v>0.1568446</v>
      </c>
      <c r="N278" s="46" t="n">
        <v>0.0813157</v>
      </c>
      <c r="O278" s="46" t="n">
        <v>0.1628848</v>
      </c>
      <c r="P278" s="46" t="n">
        <v>0.6045689</v>
      </c>
      <c r="Q278" s="46" t="n">
        <v>3.4025905</v>
      </c>
      <c r="R278" s="46" t="n">
        <v>1.6688666</v>
      </c>
      <c r="S278" s="47" t="n">
        <f aca="false">M278+N278+O278</f>
        <v>0.4010451</v>
      </c>
      <c r="T278" s="47" t="n">
        <f aca="false">M278+P278</f>
        <v>0.7614135</v>
      </c>
    </row>
    <row r="279" customFormat="false" ht="15" hidden="false" customHeight="false" outlineLevel="0" collapsed="false">
      <c r="A279" s="42" t="s">
        <v>44</v>
      </c>
      <c r="B279" s="42" t="n">
        <v>-16</v>
      </c>
      <c r="C279" s="42" t="n">
        <v>78</v>
      </c>
      <c r="D279" s="42" t="n">
        <v>74270993</v>
      </c>
      <c r="E279" s="43" t="n">
        <v>0.891885347369826</v>
      </c>
      <c r="F279" s="43" t="n">
        <v>0.904539198646012</v>
      </c>
      <c r="G279" s="43" t="n">
        <v>0.896060484409222</v>
      </c>
      <c r="H279" s="43" t="n">
        <v>0.892465511377742</v>
      </c>
      <c r="I279" s="42" t="n">
        <v>1</v>
      </c>
      <c r="J279" s="42" t="n">
        <v>1</v>
      </c>
      <c r="K279" s="44" t="str">
        <f aca="false">IF(AND(I279=1,J279=1),"两者都跟住",IF(AND(I279=0,J279=1),"仅 PC-TBD 跟住",IF(AND(I279=1,J279=0),"仅 VIT-LPS 跟住","都没跟住")))</f>
        <v>两者都跟住</v>
      </c>
      <c r="L279" s="45" t="n">
        <f aca="false">F279-G279</f>
        <v>0.00847871423678992</v>
      </c>
      <c r="M279" s="46" t="n">
        <v>0.1944195</v>
      </c>
      <c r="N279" s="46" t="n">
        <v>0.1290513</v>
      </c>
      <c r="O279" s="46" t="n">
        <v>0.1583533</v>
      </c>
      <c r="P279" s="46" t="n">
        <v>0.6157251</v>
      </c>
      <c r="Q279" s="46" t="n">
        <v>1.8541325</v>
      </c>
      <c r="R279" s="46" t="n">
        <v>1.8415274</v>
      </c>
      <c r="S279" s="47" t="n">
        <f aca="false">M279+N279+O279</f>
        <v>0.4818241</v>
      </c>
      <c r="T279" s="47" t="n">
        <f aca="false">M279+P279</f>
        <v>0.8101446</v>
      </c>
    </row>
    <row r="280" customFormat="false" ht="15" hidden="false" customHeight="false" outlineLevel="0" collapsed="false">
      <c r="A280" s="42" t="s">
        <v>44</v>
      </c>
      <c r="B280" s="42" t="n">
        <v>-16</v>
      </c>
      <c r="C280" s="42" t="n">
        <v>79</v>
      </c>
      <c r="D280" s="42" t="n">
        <v>74270994</v>
      </c>
      <c r="E280" s="43" t="n">
        <v>0.878702568867112</v>
      </c>
      <c r="F280" s="43" t="n">
        <v>0.960554723270144</v>
      </c>
      <c r="G280" s="43" t="n">
        <v>0.753916124440477</v>
      </c>
      <c r="H280" s="43" t="n">
        <v>0.762371643425667</v>
      </c>
      <c r="I280" s="42" t="n">
        <v>1</v>
      </c>
      <c r="J280" s="42" t="n">
        <v>1</v>
      </c>
      <c r="K280" s="44" t="str">
        <f aca="false">IF(AND(I280=1,J280=1),"两者都跟住",IF(AND(I280=0,J280=1),"仅 PC-TBD 跟住",IF(AND(I280=1,J280=0),"仅 VIT-LPS 跟住","都没跟住")))</f>
        <v>两者都跟住</v>
      </c>
      <c r="L280" s="45" t="n">
        <f aca="false">F280-G280</f>
        <v>0.206638598829667</v>
      </c>
      <c r="M280" s="46" t="n">
        <v>0.1738803</v>
      </c>
      <c r="N280" s="46" t="n">
        <v>0.0775204</v>
      </c>
      <c r="O280" s="46" t="n">
        <v>0.1437075</v>
      </c>
      <c r="P280" s="46" t="n">
        <v>0.5837245</v>
      </c>
      <c r="Q280" s="46" t="n">
        <v>1.3524707</v>
      </c>
      <c r="R280" s="46" t="n">
        <v>1.7496028</v>
      </c>
      <c r="S280" s="47" t="n">
        <f aca="false">M280+N280+O280</f>
        <v>0.3951082</v>
      </c>
      <c r="T280" s="47" t="n">
        <f aca="false">M280+P280</f>
        <v>0.7576048</v>
      </c>
    </row>
    <row r="281" customFormat="false" ht="15" hidden="false" customHeight="false" outlineLevel="0" collapsed="false">
      <c r="A281" s="42" t="s">
        <v>44</v>
      </c>
      <c r="B281" s="42" t="n">
        <v>-16</v>
      </c>
      <c r="C281" s="42" t="n">
        <v>80</v>
      </c>
      <c r="D281" s="42" t="n">
        <v>74270995</v>
      </c>
      <c r="E281" s="43" t="n">
        <v>0.736856969660891</v>
      </c>
      <c r="F281" s="43" t="n">
        <v>0.933363925315283</v>
      </c>
      <c r="G281" s="43" t="n">
        <v>0.900365538999698</v>
      </c>
      <c r="H281" s="43" t="n">
        <v>0.928249588656998</v>
      </c>
      <c r="I281" s="42" t="n">
        <v>1</v>
      </c>
      <c r="J281" s="42" t="n">
        <v>1</v>
      </c>
      <c r="K281" s="44" t="str">
        <f aca="false">IF(AND(I281=1,J281=1),"两者都跟住",IF(AND(I281=0,J281=1),"仅 PC-TBD 跟住",IF(AND(I281=1,J281=0),"仅 VIT-LPS 跟住","都没跟住")))</f>
        <v>两者都跟住</v>
      </c>
      <c r="L281" s="45" t="n">
        <f aca="false">F281-G281</f>
        <v>0.0329983863155851</v>
      </c>
      <c r="M281" s="46" t="n">
        <v>0.2046081</v>
      </c>
      <c r="N281" s="46" t="n">
        <v>0.1535592</v>
      </c>
      <c r="O281" s="46" t="n">
        <v>0.2166952</v>
      </c>
      <c r="P281" s="46" t="n">
        <v>0.4800221</v>
      </c>
      <c r="Q281" s="46" t="n">
        <v>2.3427317</v>
      </c>
      <c r="R281" s="46" t="n">
        <v>1.7493353</v>
      </c>
      <c r="S281" s="47" t="n">
        <f aca="false">M281+N281+O281</f>
        <v>0.5748625</v>
      </c>
      <c r="T281" s="47" t="n">
        <f aca="false">M281+P281</f>
        <v>0.6846302</v>
      </c>
    </row>
    <row r="282" customFormat="false" ht="15" hidden="false" customHeight="false" outlineLevel="0" collapsed="false">
      <c r="A282" s="42" t="s">
        <v>44</v>
      </c>
      <c r="B282" s="42" t="n">
        <v>-16</v>
      </c>
      <c r="C282" s="42" t="n">
        <v>81</v>
      </c>
      <c r="D282" s="42" t="n">
        <v>74270996</v>
      </c>
      <c r="E282" s="43" t="n">
        <v>0.804531813236707</v>
      </c>
      <c r="F282" s="43" t="n">
        <v>0.951861434632328</v>
      </c>
      <c r="G282" s="43" t="n">
        <v>0.950097033923658</v>
      </c>
      <c r="H282" s="43" t="n">
        <v>0.945546005223896</v>
      </c>
      <c r="I282" s="42" t="n">
        <v>1</v>
      </c>
      <c r="J282" s="42" t="n">
        <v>1</v>
      </c>
      <c r="K282" s="44" t="str">
        <f aca="false">IF(AND(I282=1,J282=1),"两者都跟住",IF(AND(I282=0,J282=1),"仅 PC-TBD 跟住",IF(AND(I282=1,J282=0),"仅 VIT-LPS 跟住","都没跟住")))</f>
        <v>两者都跟住</v>
      </c>
      <c r="L282" s="45" t="n">
        <f aca="false">F282-G282</f>
        <v>0.00176440070867001</v>
      </c>
      <c r="M282" s="46" t="n">
        <v>0.2281476</v>
      </c>
      <c r="N282" s="46" t="n">
        <v>0.1000739</v>
      </c>
      <c r="O282" s="46" t="n">
        <v>0.1140205</v>
      </c>
      <c r="P282" s="46" t="n">
        <v>0.4550291</v>
      </c>
      <c r="Q282" s="46" t="n">
        <v>2.6578032</v>
      </c>
      <c r="R282" s="46" t="n">
        <v>2.4762462</v>
      </c>
      <c r="S282" s="47" t="n">
        <f aca="false">M282+N282+O282</f>
        <v>0.442242</v>
      </c>
      <c r="T282" s="47" t="n">
        <f aca="false">M282+P282</f>
        <v>0.6831767</v>
      </c>
    </row>
    <row r="283" customFormat="false" ht="15" hidden="false" customHeight="false" outlineLevel="0" collapsed="false">
      <c r="A283" s="42" t="s">
        <v>44</v>
      </c>
      <c r="B283" s="42" t="n">
        <v>-16</v>
      </c>
      <c r="C283" s="42" t="n">
        <v>82</v>
      </c>
      <c r="D283" s="42" t="n">
        <v>74270997</v>
      </c>
      <c r="E283" s="43" t="n">
        <v>0.44415904068736</v>
      </c>
      <c r="F283" s="43" t="n">
        <v>0.945035587257937</v>
      </c>
      <c r="G283" s="43" t="n">
        <v>0.954143046363783</v>
      </c>
      <c r="H283" s="43" t="n">
        <v>0.943164018913641</v>
      </c>
      <c r="I283" s="42" t="n">
        <v>1</v>
      </c>
      <c r="J283" s="42" t="n">
        <v>1</v>
      </c>
      <c r="K283" s="44" t="str">
        <f aca="false">IF(AND(I283=1,J283=1),"两者都跟住",IF(AND(I283=0,J283=1),"仅 PC-TBD 跟住",IF(AND(I283=1,J283=0),"仅 VIT-LPS 跟住","都没跟住")))</f>
        <v>两者都跟住</v>
      </c>
      <c r="L283" s="45" t="n">
        <f aca="false">F283-G283</f>
        <v>-0.00910745910584598</v>
      </c>
      <c r="M283" s="46" t="n">
        <v>0.2329168</v>
      </c>
      <c r="N283" s="46" t="n">
        <v>0.088562</v>
      </c>
      <c r="O283" s="46" t="n">
        <v>0.1969318</v>
      </c>
      <c r="P283" s="46" t="n">
        <v>0.5919707</v>
      </c>
      <c r="Q283" s="46" t="n">
        <v>2.9665888</v>
      </c>
      <c r="R283" s="46" t="n">
        <v>2.6339694</v>
      </c>
      <c r="S283" s="47" t="n">
        <f aca="false">M283+N283+O283</f>
        <v>0.5184106</v>
      </c>
      <c r="T283" s="47" t="n">
        <f aca="false">M283+P283</f>
        <v>0.8248875</v>
      </c>
    </row>
    <row r="284" customFormat="false" ht="15" hidden="false" customHeight="false" outlineLevel="0" collapsed="false">
      <c r="A284" s="42" t="s">
        <v>44</v>
      </c>
      <c r="B284" s="42" t="n">
        <v>-16</v>
      </c>
      <c r="C284" s="42" t="n">
        <v>83</v>
      </c>
      <c r="D284" s="42" t="n">
        <v>74270998</v>
      </c>
      <c r="E284" s="43" t="n">
        <v>0.413355147629048</v>
      </c>
      <c r="F284" s="43" t="n">
        <v>0.950677116008438</v>
      </c>
      <c r="G284" s="43" t="n">
        <v>0.963129853936081</v>
      </c>
      <c r="H284" s="43" t="n">
        <v>0.957507397995057</v>
      </c>
      <c r="I284" s="42" t="n">
        <v>1</v>
      </c>
      <c r="J284" s="42" t="n">
        <v>1</v>
      </c>
      <c r="K284" s="44" t="str">
        <f aca="false">IF(AND(I284=1,J284=1),"两者都跟住",IF(AND(I284=0,J284=1),"仅 PC-TBD 跟住",IF(AND(I284=1,J284=0),"仅 VIT-LPS 跟住","都没跟住")))</f>
        <v>两者都跟住</v>
      </c>
      <c r="L284" s="45" t="n">
        <f aca="false">F284-G284</f>
        <v>-0.012452737927643</v>
      </c>
      <c r="M284" s="46" t="n">
        <v>0.2043283</v>
      </c>
      <c r="N284" s="46" t="n">
        <v>0.129468</v>
      </c>
      <c r="O284" s="46" t="n">
        <v>0.2179703</v>
      </c>
      <c r="P284" s="46" t="n">
        <v>0.4794447</v>
      </c>
      <c r="Q284" s="46" t="n">
        <v>2.1770775</v>
      </c>
      <c r="R284" s="46" t="n">
        <v>2.3722673</v>
      </c>
      <c r="S284" s="47" t="n">
        <f aca="false">M284+N284+O284</f>
        <v>0.5517666</v>
      </c>
      <c r="T284" s="47" t="n">
        <f aca="false">M284+P284</f>
        <v>0.683773</v>
      </c>
    </row>
    <row r="285" customFormat="false" ht="15" hidden="false" customHeight="false" outlineLevel="0" collapsed="false">
      <c r="A285" s="42" t="s">
        <v>44</v>
      </c>
      <c r="B285" s="42" t="n">
        <v>-16</v>
      </c>
      <c r="C285" s="42" t="n">
        <v>84</v>
      </c>
      <c r="D285" s="42" t="n">
        <v>74270999</v>
      </c>
      <c r="E285" s="43" t="n">
        <v>0.90778615482273</v>
      </c>
      <c r="F285" s="43" t="n">
        <v>0.965912175944352</v>
      </c>
      <c r="G285" s="43" t="n">
        <v>0.857141870784316</v>
      </c>
      <c r="H285" s="43" t="n">
        <v>0.853458318258963</v>
      </c>
      <c r="I285" s="42" t="n">
        <v>1</v>
      </c>
      <c r="J285" s="42" t="n">
        <v>1</v>
      </c>
      <c r="K285" s="44" t="str">
        <f aca="false">IF(AND(I285=1,J285=1),"两者都跟住",IF(AND(I285=0,J285=1),"仅 PC-TBD 跟住",IF(AND(I285=1,J285=0),"仅 VIT-LPS 跟住","都没跟住")))</f>
        <v>两者都跟住</v>
      </c>
      <c r="L285" s="45" t="n">
        <f aca="false">F285-G285</f>
        <v>0.108770305160036</v>
      </c>
      <c r="M285" s="46" t="n">
        <v>0.1674389</v>
      </c>
      <c r="N285" s="46" t="n">
        <v>0.1305299</v>
      </c>
      <c r="O285" s="46" t="n">
        <v>0.2001905</v>
      </c>
      <c r="P285" s="46" t="n">
        <v>0.5214119</v>
      </c>
      <c r="Q285" s="46" t="n">
        <v>3.0395855</v>
      </c>
      <c r="R285" s="46" t="n">
        <v>2.72064</v>
      </c>
      <c r="S285" s="47" t="n">
        <f aca="false">M285+N285+O285</f>
        <v>0.4981593</v>
      </c>
      <c r="T285" s="47" t="n">
        <f aca="false">M285+P285</f>
        <v>0.6888508</v>
      </c>
    </row>
    <row r="286" customFormat="false" ht="15" hidden="false" customHeight="false" outlineLevel="0" collapsed="false">
      <c r="A286" s="42" t="s">
        <v>44</v>
      </c>
      <c r="B286" s="42" t="n">
        <v>-16</v>
      </c>
      <c r="C286" s="42" t="n">
        <v>85</v>
      </c>
      <c r="D286" s="42" t="n">
        <v>74271000</v>
      </c>
      <c r="E286" s="43" t="n">
        <v>0.5510605425175</v>
      </c>
      <c r="F286" s="43" t="n">
        <v>0.957013587189931</v>
      </c>
      <c r="G286" s="43" t="n">
        <v>0.967493634207447</v>
      </c>
      <c r="H286" s="43" t="n">
        <v>0.960068823075573</v>
      </c>
      <c r="I286" s="42" t="n">
        <v>1</v>
      </c>
      <c r="J286" s="42" t="n">
        <v>1</v>
      </c>
      <c r="K286" s="44" t="str">
        <f aca="false">IF(AND(I286=1,J286=1),"两者都跟住",IF(AND(I286=0,J286=1),"仅 PC-TBD 跟住",IF(AND(I286=1,J286=0),"仅 VIT-LPS 跟住","都没跟住")))</f>
        <v>两者都跟住</v>
      </c>
      <c r="L286" s="45" t="n">
        <f aca="false">F286-G286</f>
        <v>-0.010480047017516</v>
      </c>
      <c r="M286" s="46" t="n">
        <v>0.2155283</v>
      </c>
      <c r="N286" s="46" t="n">
        <v>0.128315</v>
      </c>
      <c r="O286" s="46" t="n">
        <v>0.1356717</v>
      </c>
      <c r="P286" s="46" t="n">
        <v>0.4510917</v>
      </c>
      <c r="Q286" s="46" t="n">
        <v>2.4627878</v>
      </c>
      <c r="R286" s="46" t="n">
        <v>2.0540153</v>
      </c>
      <c r="S286" s="47" t="n">
        <f aca="false">M286+N286+O286</f>
        <v>0.479515</v>
      </c>
      <c r="T286" s="47" t="n">
        <f aca="false">M286+P286</f>
        <v>0.66662</v>
      </c>
    </row>
    <row r="287" customFormat="false" ht="15" hidden="false" customHeight="false" outlineLevel="0" collapsed="false">
      <c r="A287" s="42" t="s">
        <v>44</v>
      </c>
      <c r="B287" s="42" t="n">
        <v>-16</v>
      </c>
      <c r="C287" s="42" t="n">
        <v>86</v>
      </c>
      <c r="D287" s="42" t="n">
        <v>74271001</v>
      </c>
      <c r="E287" s="43" t="n">
        <v>0.751966078327681</v>
      </c>
      <c r="F287" s="43" t="n">
        <v>0.941985077239364</v>
      </c>
      <c r="G287" s="43" t="n">
        <v>0.951877373541805</v>
      </c>
      <c r="H287" s="43" t="n">
        <v>0.932460496091469</v>
      </c>
      <c r="I287" s="42" t="n">
        <v>1</v>
      </c>
      <c r="J287" s="42" t="n">
        <v>1</v>
      </c>
      <c r="K287" s="44" t="str">
        <f aca="false">IF(AND(I287=1,J287=1),"两者都跟住",IF(AND(I287=0,J287=1),"仅 PC-TBD 跟住",IF(AND(I287=1,J287=0),"仅 VIT-LPS 跟住","都没跟住")))</f>
        <v>两者都跟住</v>
      </c>
      <c r="L287" s="45" t="n">
        <f aca="false">F287-G287</f>
        <v>-0.00989229630244104</v>
      </c>
      <c r="M287" s="46" t="n">
        <v>0.1738457</v>
      </c>
      <c r="N287" s="46" t="n">
        <v>0.1289004</v>
      </c>
      <c r="O287" s="46" t="n">
        <v>0.1651816</v>
      </c>
      <c r="P287" s="46" t="n">
        <v>0.4811498</v>
      </c>
      <c r="Q287" s="46" t="n">
        <v>2.1801967</v>
      </c>
      <c r="R287" s="46" t="n">
        <v>2.2878069</v>
      </c>
      <c r="S287" s="47" t="n">
        <f aca="false">M287+N287+O287</f>
        <v>0.4679277</v>
      </c>
      <c r="T287" s="47" t="n">
        <f aca="false">M287+P287</f>
        <v>0.6549955</v>
      </c>
    </row>
    <row r="288" customFormat="false" ht="15" hidden="false" customHeight="false" outlineLevel="0" collapsed="false">
      <c r="A288" s="42" t="s">
        <v>44</v>
      </c>
      <c r="B288" s="42" t="n">
        <v>-16</v>
      </c>
      <c r="C288" s="42" t="n">
        <v>87</v>
      </c>
      <c r="D288" s="42" t="n">
        <v>74271002</v>
      </c>
      <c r="E288" s="43" t="n">
        <v>0.960077560488794</v>
      </c>
      <c r="F288" s="43" t="n">
        <v>0.953713763853573</v>
      </c>
      <c r="G288" s="43" t="n">
        <v>0.958920065345144</v>
      </c>
      <c r="H288" s="43" t="n">
        <v>0.948362669551467</v>
      </c>
      <c r="I288" s="42" t="n">
        <v>1</v>
      </c>
      <c r="J288" s="42" t="n">
        <v>1</v>
      </c>
      <c r="K288" s="44" t="str">
        <f aca="false">IF(AND(I288=1,J288=1),"两者都跟住",IF(AND(I288=0,J288=1),"仅 PC-TBD 跟住",IF(AND(I288=1,J288=0),"仅 VIT-LPS 跟住","都没跟住")))</f>
        <v>两者都跟住</v>
      </c>
      <c r="L288" s="45" t="n">
        <f aca="false">F288-G288</f>
        <v>-0.00520630149157098</v>
      </c>
      <c r="M288" s="46" t="n">
        <v>0.1789946</v>
      </c>
      <c r="N288" s="46" t="n">
        <v>0.1030293</v>
      </c>
      <c r="O288" s="46" t="n">
        <v>0.1804123</v>
      </c>
      <c r="P288" s="46" t="n">
        <v>0.5166482</v>
      </c>
      <c r="Q288" s="46" t="n">
        <v>1.7320485</v>
      </c>
      <c r="R288" s="46" t="n">
        <v>1.4915707</v>
      </c>
      <c r="S288" s="47" t="n">
        <f aca="false">M288+N288+O288</f>
        <v>0.4624362</v>
      </c>
      <c r="T288" s="47" t="n">
        <f aca="false">M288+P288</f>
        <v>0.6956428</v>
      </c>
    </row>
    <row r="289" customFormat="false" ht="15" hidden="false" customHeight="false" outlineLevel="0" collapsed="false">
      <c r="A289" s="42" t="s">
        <v>44</v>
      </c>
      <c r="B289" s="42" t="n">
        <v>-16</v>
      </c>
      <c r="C289" s="42" t="n">
        <v>88</v>
      </c>
      <c r="D289" s="42" t="n">
        <v>74271003</v>
      </c>
      <c r="E289" s="43" t="n">
        <v>0.737164612881186</v>
      </c>
      <c r="F289" s="43" t="n">
        <v>0.776952479243435</v>
      </c>
      <c r="G289" s="43" t="n">
        <v>0.680268683239346</v>
      </c>
      <c r="H289" s="43" t="n">
        <v>0.657706458697862</v>
      </c>
      <c r="I289" s="42" t="n">
        <v>1</v>
      </c>
      <c r="J289" s="42" t="n">
        <v>0</v>
      </c>
      <c r="K289" s="44" t="str">
        <f aca="false">IF(AND(I289=1,J289=1),"两者都跟住",IF(AND(I289=0,J289=1),"仅 PC-TBD 跟住",IF(AND(I289=1,J289=0),"仅 VIT-LPS 跟住","都没跟住")))</f>
        <v>仅 VIT-LPS 跟住</v>
      </c>
      <c r="L289" s="45" t="n">
        <f aca="false">F289-G289</f>
        <v>0.0966837960040891</v>
      </c>
      <c r="M289" s="46" t="n">
        <v>0.1938347</v>
      </c>
      <c r="N289" s="46" t="n">
        <v>0.1117625</v>
      </c>
      <c r="O289" s="46" t="n">
        <v>0.1622399</v>
      </c>
      <c r="P289" s="46" t="n">
        <v>0.6862783</v>
      </c>
      <c r="Q289" s="46" t="n">
        <v>4.6569215</v>
      </c>
      <c r="R289" s="46" t="n">
        <v>1.182131</v>
      </c>
      <c r="S289" s="47" t="n">
        <f aca="false">M289+N289+O289</f>
        <v>0.4678371</v>
      </c>
      <c r="T289" s="47" t="n">
        <f aca="false">M289+P289</f>
        <v>0.880113</v>
      </c>
    </row>
    <row r="290" customFormat="false" ht="15" hidden="false" customHeight="false" outlineLevel="0" collapsed="false">
      <c r="A290" s="42" t="s">
        <v>44</v>
      </c>
      <c r="B290" s="42" t="n">
        <v>-16</v>
      </c>
      <c r="C290" s="42" t="n">
        <v>89</v>
      </c>
      <c r="D290" s="42" t="n">
        <v>74271004</v>
      </c>
      <c r="E290" s="43" t="n">
        <v>0.630795364355348</v>
      </c>
      <c r="F290" s="43" t="n">
        <v>0.806372107171696</v>
      </c>
      <c r="G290" s="43" t="n">
        <v>0.785486331626383</v>
      </c>
      <c r="H290" s="43" t="n">
        <v>0.820223213458494</v>
      </c>
      <c r="I290" s="42" t="n">
        <v>1</v>
      </c>
      <c r="J290" s="42" t="n">
        <v>1</v>
      </c>
      <c r="K290" s="44" t="str">
        <f aca="false">IF(AND(I290=1,J290=1),"两者都跟住",IF(AND(I290=0,J290=1),"仅 PC-TBD 跟住",IF(AND(I290=1,J290=0),"仅 VIT-LPS 跟住","都没跟住")))</f>
        <v>两者都跟住</v>
      </c>
      <c r="L290" s="45" t="n">
        <f aca="false">F290-G290</f>
        <v>0.020885775545313</v>
      </c>
      <c r="M290" s="46" t="n">
        <v>0.2269328</v>
      </c>
      <c r="N290" s="46" t="n">
        <v>0.1111199</v>
      </c>
      <c r="O290" s="46" t="n">
        <v>0.2456089</v>
      </c>
      <c r="P290" s="46" t="n">
        <v>0.5657317</v>
      </c>
      <c r="Q290" s="46" t="n">
        <v>1.9481307</v>
      </c>
      <c r="R290" s="46" t="n">
        <v>1.7636398</v>
      </c>
      <c r="S290" s="47" t="n">
        <f aca="false">M290+N290+O290</f>
        <v>0.5836616</v>
      </c>
      <c r="T290" s="47" t="n">
        <f aca="false">M290+P290</f>
        <v>0.7926645</v>
      </c>
    </row>
    <row r="291" customFormat="false" ht="15" hidden="false" customHeight="false" outlineLevel="0" collapsed="false">
      <c r="A291" s="42" t="s">
        <v>44</v>
      </c>
      <c r="B291" s="42" t="n">
        <v>-16</v>
      </c>
      <c r="C291" s="42" t="n">
        <v>90</v>
      </c>
      <c r="D291" s="42" t="n">
        <v>74271005</v>
      </c>
      <c r="E291" s="43" t="n">
        <v>0.91209207408367</v>
      </c>
      <c r="F291" s="43" t="n">
        <v>0.957398190307196</v>
      </c>
      <c r="G291" s="43" t="n">
        <v>0.940255129816113</v>
      </c>
      <c r="H291" s="43" t="n">
        <v>0.944732587358514</v>
      </c>
      <c r="I291" s="42" t="n">
        <v>1</v>
      </c>
      <c r="J291" s="42" t="n">
        <v>1</v>
      </c>
      <c r="K291" s="44" t="str">
        <f aca="false">IF(AND(I291=1,J291=1),"两者都跟住",IF(AND(I291=0,J291=1),"仅 PC-TBD 跟住",IF(AND(I291=1,J291=0),"仅 VIT-LPS 跟住","都没跟住")))</f>
        <v>两者都跟住</v>
      </c>
      <c r="L291" s="45" t="n">
        <f aca="false">F291-G291</f>
        <v>0.0171430604910829</v>
      </c>
      <c r="M291" s="46" t="n">
        <v>0.161101</v>
      </c>
      <c r="N291" s="46" t="n">
        <v>0.0964329</v>
      </c>
      <c r="O291" s="46" t="n">
        <v>0.213845</v>
      </c>
      <c r="P291" s="46" t="n">
        <v>0.4516464</v>
      </c>
      <c r="Q291" s="46" t="n">
        <v>1.605109</v>
      </c>
      <c r="R291" s="46" t="n">
        <v>1.3277088</v>
      </c>
      <c r="S291" s="47" t="n">
        <f aca="false">M291+N291+O291</f>
        <v>0.4713789</v>
      </c>
      <c r="T291" s="47" t="n">
        <f aca="false">M291+P291</f>
        <v>0.6127474</v>
      </c>
    </row>
    <row r="292" customFormat="false" ht="15" hidden="false" customHeight="false" outlineLevel="0" collapsed="false">
      <c r="A292" s="42" t="s">
        <v>44</v>
      </c>
      <c r="B292" s="42" t="n">
        <v>-16</v>
      </c>
      <c r="C292" s="42" t="n">
        <v>91</v>
      </c>
      <c r="D292" s="42" t="n">
        <v>74271006</v>
      </c>
      <c r="E292" s="43" t="n">
        <v>0.433179563122254</v>
      </c>
      <c r="F292" s="43" t="n">
        <v>0.886517564416234</v>
      </c>
      <c r="G292" s="43" t="n">
        <v>0.889625125176367</v>
      </c>
      <c r="H292" s="43" t="n">
        <v>0.893551268293228</v>
      </c>
      <c r="I292" s="42" t="n">
        <v>1</v>
      </c>
      <c r="J292" s="42" t="n">
        <v>1</v>
      </c>
      <c r="K292" s="44" t="str">
        <f aca="false">IF(AND(I292=1,J292=1),"两者都跟住",IF(AND(I292=0,J292=1),"仅 PC-TBD 跟住",IF(AND(I292=1,J292=0),"仅 VIT-LPS 跟住","都没跟住")))</f>
        <v>两者都跟住</v>
      </c>
      <c r="L292" s="45" t="n">
        <f aca="false">F292-G292</f>
        <v>-0.00310756076013308</v>
      </c>
      <c r="M292" s="46" t="n">
        <v>0.1691476</v>
      </c>
      <c r="N292" s="46" t="n">
        <v>0.1464047</v>
      </c>
      <c r="O292" s="46" t="n">
        <v>0.1587357</v>
      </c>
      <c r="P292" s="46" t="n">
        <v>0.4721752</v>
      </c>
      <c r="Q292" s="46" t="n">
        <v>2.3167143</v>
      </c>
      <c r="R292" s="46" t="n">
        <v>2.7115578</v>
      </c>
      <c r="S292" s="47" t="n">
        <f aca="false">M292+N292+O292</f>
        <v>0.474288</v>
      </c>
      <c r="T292" s="47" t="n">
        <f aca="false">M292+P292</f>
        <v>0.6413228</v>
      </c>
    </row>
    <row r="293" customFormat="false" ht="15" hidden="false" customHeight="false" outlineLevel="0" collapsed="false">
      <c r="A293" s="42" t="s">
        <v>44</v>
      </c>
      <c r="B293" s="42" t="n">
        <v>-16</v>
      </c>
      <c r="C293" s="42" t="n">
        <v>92</v>
      </c>
      <c r="D293" s="42" t="n">
        <v>74271007</v>
      </c>
      <c r="E293" s="43" t="n">
        <v>0.475341053392152</v>
      </c>
      <c r="F293" s="43" t="n">
        <v>0.93569953535648</v>
      </c>
      <c r="G293" s="43" t="n">
        <v>0.886273637707069</v>
      </c>
      <c r="H293" s="43" t="n">
        <v>0.890836431462001</v>
      </c>
      <c r="I293" s="42" t="n">
        <v>1</v>
      </c>
      <c r="J293" s="42" t="n">
        <v>1</v>
      </c>
      <c r="K293" s="44" t="str">
        <f aca="false">IF(AND(I293=1,J293=1),"两者都跟住",IF(AND(I293=0,J293=1),"仅 PC-TBD 跟住",IF(AND(I293=1,J293=0),"仅 VIT-LPS 跟住","都没跟住")))</f>
        <v>两者都跟住</v>
      </c>
      <c r="L293" s="45" t="n">
        <f aca="false">F293-G293</f>
        <v>0.049425897649411</v>
      </c>
      <c r="M293" s="46" t="n">
        <v>0.2016088</v>
      </c>
      <c r="N293" s="46" t="n">
        <v>0.1459376</v>
      </c>
      <c r="O293" s="46" t="n">
        <v>0.1999731</v>
      </c>
      <c r="P293" s="46" t="n">
        <v>0.4281292</v>
      </c>
      <c r="Q293" s="46" t="n">
        <v>2.4727614</v>
      </c>
      <c r="R293" s="46" t="n">
        <v>2.6461236</v>
      </c>
      <c r="S293" s="47" t="n">
        <f aca="false">M293+N293+O293</f>
        <v>0.5475195</v>
      </c>
      <c r="T293" s="47" t="n">
        <f aca="false">M293+P293</f>
        <v>0.629738</v>
      </c>
    </row>
    <row r="294" customFormat="false" ht="15" hidden="false" customHeight="false" outlineLevel="0" collapsed="false">
      <c r="A294" s="42" t="s">
        <v>44</v>
      </c>
      <c r="B294" s="42" t="n">
        <v>-16</v>
      </c>
      <c r="C294" s="42" t="n">
        <v>93</v>
      </c>
      <c r="D294" s="42" t="n">
        <v>74271008</v>
      </c>
      <c r="E294" s="43" t="n">
        <v>0.785257934617479</v>
      </c>
      <c r="F294" s="43" t="n">
        <v>0.928521987708085</v>
      </c>
      <c r="G294" s="43" t="n">
        <v>0.928941207635673</v>
      </c>
      <c r="H294" s="43" t="n">
        <v>0.923348789932714</v>
      </c>
      <c r="I294" s="42" t="n">
        <v>1</v>
      </c>
      <c r="J294" s="42" t="n">
        <v>1</v>
      </c>
      <c r="K294" s="44" t="str">
        <f aca="false">IF(AND(I294=1,J294=1),"两者都跟住",IF(AND(I294=0,J294=1),"仅 PC-TBD 跟住",IF(AND(I294=1,J294=0),"仅 VIT-LPS 跟住","都没跟住")))</f>
        <v>两者都跟住</v>
      </c>
      <c r="L294" s="45" t="n">
        <f aca="false">F294-G294</f>
        <v>-0.000419219927587977</v>
      </c>
      <c r="M294" s="46" t="n">
        <v>0.1957345</v>
      </c>
      <c r="N294" s="46" t="n">
        <v>0.1327479</v>
      </c>
      <c r="O294" s="46" t="n">
        <v>0.1645026</v>
      </c>
      <c r="P294" s="46" t="n">
        <v>0.5451688</v>
      </c>
      <c r="Q294" s="46" t="n">
        <v>2.7202914</v>
      </c>
      <c r="R294" s="46" t="n">
        <v>2.4478135</v>
      </c>
      <c r="S294" s="47" t="n">
        <f aca="false">M294+N294+O294</f>
        <v>0.492985</v>
      </c>
      <c r="T294" s="47" t="n">
        <f aca="false">M294+P294</f>
        <v>0.7409033</v>
      </c>
    </row>
    <row r="295" customFormat="false" ht="15" hidden="false" customHeight="false" outlineLevel="0" collapsed="false">
      <c r="A295" s="42" t="s">
        <v>44</v>
      </c>
      <c r="B295" s="42" t="n">
        <v>-16</v>
      </c>
      <c r="C295" s="42" t="n">
        <v>94</v>
      </c>
      <c r="D295" s="42" t="n">
        <v>74271009</v>
      </c>
      <c r="E295" s="43" t="n">
        <v>0.599823754134694</v>
      </c>
      <c r="F295" s="43" t="n">
        <v>0.903979245672992</v>
      </c>
      <c r="G295" s="43" t="n">
        <v>0.751425754741286</v>
      </c>
      <c r="H295" s="43" t="n">
        <v>0.756357867525199</v>
      </c>
      <c r="I295" s="42" t="n">
        <v>1</v>
      </c>
      <c r="J295" s="42" t="n">
        <v>1</v>
      </c>
      <c r="K295" s="44" t="str">
        <f aca="false">IF(AND(I295=1,J295=1),"两者都跟住",IF(AND(I295=0,J295=1),"仅 PC-TBD 跟住",IF(AND(I295=1,J295=0),"仅 VIT-LPS 跟住","都没跟住")))</f>
        <v>两者都跟住</v>
      </c>
      <c r="L295" s="45" t="n">
        <f aca="false">F295-G295</f>
        <v>0.152553490931706</v>
      </c>
      <c r="M295" s="46" t="n">
        <v>0.181611</v>
      </c>
      <c r="N295" s="46" t="n">
        <v>0.0880446</v>
      </c>
      <c r="O295" s="46" t="n">
        <v>0.1426068</v>
      </c>
      <c r="P295" s="46" t="n">
        <v>0.4935281</v>
      </c>
      <c r="Q295" s="46" t="n">
        <v>2.6787244</v>
      </c>
      <c r="R295" s="46" t="n">
        <v>2.6352176</v>
      </c>
      <c r="S295" s="47" t="n">
        <f aca="false">M295+N295+O295</f>
        <v>0.4122624</v>
      </c>
      <c r="T295" s="47" t="n">
        <f aca="false">M295+P295</f>
        <v>0.6751391</v>
      </c>
    </row>
    <row r="296" customFormat="false" ht="15" hidden="false" customHeight="false" outlineLevel="0" collapsed="false">
      <c r="A296" s="42" t="s">
        <v>44</v>
      </c>
      <c r="B296" s="42" t="n">
        <v>-16</v>
      </c>
      <c r="C296" s="42" t="n">
        <v>95</v>
      </c>
      <c r="D296" s="42" t="n">
        <v>74271010</v>
      </c>
      <c r="E296" s="43" t="n">
        <v>0.396062501477192</v>
      </c>
      <c r="F296" s="43" t="n">
        <v>0.930481941733481</v>
      </c>
      <c r="G296" s="43" t="n">
        <v>0.815648456689419</v>
      </c>
      <c r="H296" s="43" t="n">
        <v>0.809779597344613</v>
      </c>
      <c r="I296" s="42" t="n">
        <v>1</v>
      </c>
      <c r="J296" s="42" t="n">
        <v>1</v>
      </c>
      <c r="K296" s="44" t="str">
        <f aca="false">IF(AND(I296=1,J296=1),"两者都跟住",IF(AND(I296=0,J296=1),"仅 PC-TBD 跟住",IF(AND(I296=1,J296=0),"仅 VIT-LPS 跟住","都没跟住")))</f>
        <v>两者都跟住</v>
      </c>
      <c r="L296" s="45" t="n">
        <f aca="false">F296-G296</f>
        <v>0.114833485044062</v>
      </c>
      <c r="M296" s="46" t="n">
        <v>0.2007154</v>
      </c>
      <c r="N296" s="46" t="n">
        <v>0.0869465</v>
      </c>
      <c r="O296" s="46" t="n">
        <v>0.1690238</v>
      </c>
      <c r="P296" s="46" t="n">
        <v>0.5674117</v>
      </c>
      <c r="Q296" s="46" t="n">
        <v>2.8549634</v>
      </c>
      <c r="R296" s="46" t="n">
        <v>2.4573557</v>
      </c>
      <c r="S296" s="47" t="n">
        <f aca="false">M296+N296+O296</f>
        <v>0.4566857</v>
      </c>
      <c r="T296" s="47" t="n">
        <f aca="false">M296+P296</f>
        <v>0.7681271</v>
      </c>
    </row>
    <row r="297" customFormat="false" ht="15" hidden="false" customHeight="false" outlineLevel="0" collapsed="false">
      <c r="A297" s="42" t="s">
        <v>44</v>
      </c>
      <c r="B297" s="42" t="n">
        <v>-16</v>
      </c>
      <c r="C297" s="42" t="n">
        <v>96</v>
      </c>
      <c r="D297" s="42" t="n">
        <v>74271011</v>
      </c>
      <c r="E297" s="43" t="n">
        <v>0.855855180365609</v>
      </c>
      <c r="F297" s="43" t="n">
        <v>0.93921820467415</v>
      </c>
      <c r="G297" s="43" t="n">
        <v>0.894482859515506</v>
      </c>
      <c r="H297" s="43" t="n">
        <v>0.913457298519148</v>
      </c>
      <c r="I297" s="42" t="n">
        <v>1</v>
      </c>
      <c r="J297" s="42" t="n">
        <v>1</v>
      </c>
      <c r="K297" s="44" t="str">
        <f aca="false">IF(AND(I297=1,J297=1),"两者都跟住",IF(AND(I297=0,J297=1),"仅 PC-TBD 跟住",IF(AND(I297=1,J297=0),"仅 VIT-LPS 跟住","都没跟住")))</f>
        <v>两者都跟住</v>
      </c>
      <c r="L297" s="45" t="n">
        <f aca="false">F297-G297</f>
        <v>0.044735345158644</v>
      </c>
      <c r="M297" s="46" t="n">
        <v>0.2151308</v>
      </c>
      <c r="N297" s="46" t="n">
        <v>0.1290121</v>
      </c>
      <c r="O297" s="46" t="n">
        <v>0.1876579</v>
      </c>
      <c r="P297" s="46" t="n">
        <v>0.7397301</v>
      </c>
      <c r="Q297" s="46" t="n">
        <v>3.4031741</v>
      </c>
      <c r="R297" s="46" t="n">
        <v>2.3808862</v>
      </c>
      <c r="S297" s="47" t="n">
        <f aca="false">M297+N297+O297</f>
        <v>0.5318008</v>
      </c>
      <c r="T297" s="47" t="n">
        <f aca="false">M297+P297</f>
        <v>0.9548609</v>
      </c>
    </row>
    <row r="298" customFormat="false" ht="15" hidden="false" customHeight="false" outlineLevel="0" collapsed="false">
      <c r="A298" s="42" t="s">
        <v>44</v>
      </c>
      <c r="B298" s="42" t="n">
        <v>-16</v>
      </c>
      <c r="C298" s="42" t="n">
        <v>97</v>
      </c>
      <c r="D298" s="42" t="n">
        <v>74271012</v>
      </c>
      <c r="E298" s="43" t="n">
        <v>0.601798324684166</v>
      </c>
      <c r="F298" s="43" t="n">
        <v>0.908420146950533</v>
      </c>
      <c r="G298" s="43" t="n">
        <v>0.829147121185643</v>
      </c>
      <c r="H298" s="43" t="n">
        <v>0.817576838507591</v>
      </c>
      <c r="I298" s="42" t="n">
        <v>1</v>
      </c>
      <c r="J298" s="42" t="n">
        <v>1</v>
      </c>
      <c r="K298" s="44" t="str">
        <f aca="false">IF(AND(I298=1,J298=1),"两者都跟住",IF(AND(I298=0,J298=1),"仅 PC-TBD 跟住",IF(AND(I298=1,J298=0),"仅 VIT-LPS 跟住","都没跟住")))</f>
        <v>两者都跟住</v>
      </c>
      <c r="L298" s="45" t="n">
        <f aca="false">F298-G298</f>
        <v>0.0792730257648899</v>
      </c>
      <c r="M298" s="46" t="n">
        <v>0.1811607</v>
      </c>
      <c r="N298" s="46" t="n">
        <v>0.08741</v>
      </c>
      <c r="O298" s="46" t="n">
        <v>0.1478624</v>
      </c>
      <c r="P298" s="46" t="n">
        <v>0.4984964</v>
      </c>
      <c r="Q298" s="46" t="n">
        <v>1.6612518</v>
      </c>
      <c r="R298" s="46" t="n">
        <v>1.879173</v>
      </c>
      <c r="S298" s="47" t="n">
        <f aca="false">M298+N298+O298</f>
        <v>0.4164331</v>
      </c>
      <c r="T298" s="47" t="n">
        <f aca="false">M298+P298</f>
        <v>0.6796571</v>
      </c>
    </row>
    <row r="299" customFormat="false" ht="15" hidden="false" customHeight="false" outlineLevel="0" collapsed="false">
      <c r="A299" s="42" t="s">
        <v>44</v>
      </c>
      <c r="B299" s="42" t="n">
        <v>-16</v>
      </c>
      <c r="C299" s="42" t="n">
        <v>98</v>
      </c>
      <c r="D299" s="42" t="n">
        <v>74271013</v>
      </c>
      <c r="E299" s="43" t="n">
        <v>0.762393893832925</v>
      </c>
      <c r="F299" s="43" t="n">
        <v>0.927386647325941</v>
      </c>
      <c r="G299" s="43" t="n">
        <v>0.942992754173139</v>
      </c>
      <c r="H299" s="43" t="n">
        <v>0.930821827472927</v>
      </c>
      <c r="I299" s="42" t="n">
        <v>1</v>
      </c>
      <c r="J299" s="42" t="n">
        <v>1</v>
      </c>
      <c r="K299" s="44" t="str">
        <f aca="false">IF(AND(I299=1,J299=1),"两者都跟住",IF(AND(I299=0,J299=1),"仅 PC-TBD 跟住",IF(AND(I299=1,J299=0),"仅 VIT-LPS 跟住","都没跟住")))</f>
        <v>两者都跟住</v>
      </c>
      <c r="L299" s="45" t="n">
        <f aca="false">F299-G299</f>
        <v>-0.015606106847198</v>
      </c>
      <c r="M299" s="46" t="n">
        <v>0.1574695</v>
      </c>
      <c r="N299" s="46" t="n">
        <v>0.1074722</v>
      </c>
      <c r="O299" s="46" t="n">
        <v>0.1737482</v>
      </c>
      <c r="P299" s="46" t="n">
        <v>0.4283407</v>
      </c>
      <c r="Q299" s="46" t="n">
        <v>1.6554051</v>
      </c>
      <c r="R299" s="46" t="n">
        <v>1.6409172</v>
      </c>
      <c r="S299" s="47" t="n">
        <f aca="false">M299+N299+O299</f>
        <v>0.4386899</v>
      </c>
      <c r="T299" s="47" t="n">
        <f aca="false">M299+P299</f>
        <v>0.5858102</v>
      </c>
    </row>
    <row r="300" customFormat="false" ht="15" hidden="false" customHeight="false" outlineLevel="0" collapsed="false">
      <c r="A300" s="42" t="s">
        <v>44</v>
      </c>
      <c r="B300" s="42" t="n">
        <v>-16</v>
      </c>
      <c r="C300" s="42" t="n">
        <v>99</v>
      </c>
      <c r="D300" s="42" t="n">
        <v>74271014</v>
      </c>
      <c r="E300" s="43" t="n">
        <v>0.884063124311423</v>
      </c>
      <c r="F300" s="43" t="n">
        <v>0.915218747595202</v>
      </c>
      <c r="G300" s="43" t="n">
        <v>0.886113385945819</v>
      </c>
      <c r="H300" s="43" t="n">
        <v>0.90919438372846</v>
      </c>
      <c r="I300" s="42" t="n">
        <v>1</v>
      </c>
      <c r="J300" s="42" t="n">
        <v>1</v>
      </c>
      <c r="K300" s="44" t="str">
        <f aca="false">IF(AND(I300=1,J300=1),"两者都跟住",IF(AND(I300=0,J300=1),"仅 PC-TBD 跟住",IF(AND(I300=1,J300=0),"仅 VIT-LPS 跟住","都没跟住")))</f>
        <v>两者都跟住</v>
      </c>
      <c r="L300" s="45" t="n">
        <f aca="false">F300-G300</f>
        <v>0.029105361649383</v>
      </c>
      <c r="M300" s="46" t="n">
        <v>0.1426342</v>
      </c>
      <c r="N300" s="46" t="n">
        <v>0.1179026</v>
      </c>
      <c r="O300" s="46" t="n">
        <v>0.1551622</v>
      </c>
      <c r="P300" s="46" t="n">
        <v>0.4518326</v>
      </c>
      <c r="Q300" s="46" t="n">
        <v>1.6300991</v>
      </c>
      <c r="R300" s="46" t="n">
        <v>1.6615868</v>
      </c>
      <c r="S300" s="47" t="n">
        <f aca="false">M300+N300+O300</f>
        <v>0.415699</v>
      </c>
      <c r="T300" s="47" t="n">
        <f aca="false">M300+P300</f>
        <v>0.5944668</v>
      </c>
    </row>
    <row r="301" customFormat="false" ht="15" hidden="false" customHeight="false" outlineLevel="0" collapsed="false">
      <c r="A301" s="42" t="s">
        <v>44</v>
      </c>
      <c r="B301" s="42" t="n">
        <v>-16</v>
      </c>
      <c r="C301" s="42" t="n">
        <v>100</v>
      </c>
      <c r="D301" s="42" t="n">
        <v>74271015</v>
      </c>
      <c r="E301" s="43" t="n">
        <v>0.651035771242315</v>
      </c>
      <c r="F301" s="43" t="n">
        <v>0.955629699369794</v>
      </c>
      <c r="G301" s="43" t="n">
        <v>0.91939143980822</v>
      </c>
      <c r="H301" s="43" t="n">
        <v>0.920870943985796</v>
      </c>
      <c r="I301" s="42" t="n">
        <v>1</v>
      </c>
      <c r="J301" s="42" t="n">
        <v>1</v>
      </c>
      <c r="K301" s="44" t="str">
        <f aca="false">IF(AND(I301=1,J301=1),"两者都跟住",IF(AND(I301=0,J301=1),"仅 PC-TBD 跟住",IF(AND(I301=1,J301=0),"仅 VIT-LPS 跟住","都没跟住")))</f>
        <v>两者都跟住</v>
      </c>
      <c r="L301" s="45" t="n">
        <f aca="false">F301-G301</f>
        <v>0.036238259561574</v>
      </c>
      <c r="M301" s="46" t="n">
        <v>0.1779007</v>
      </c>
      <c r="N301" s="46" t="n">
        <v>0.1178079</v>
      </c>
      <c r="O301" s="46" t="n">
        <v>0.2408143</v>
      </c>
      <c r="P301" s="46" t="n">
        <v>0.6059315</v>
      </c>
      <c r="Q301" s="46" t="n">
        <v>4.0404805</v>
      </c>
      <c r="R301" s="46" t="n">
        <v>0.7876846</v>
      </c>
      <c r="S301" s="47" t="n">
        <f aca="false">M301+N301+O301</f>
        <v>0.5365229</v>
      </c>
      <c r="T301" s="47" t="n">
        <f aca="false">M301+P301</f>
        <v>0.7838322</v>
      </c>
    </row>
    <row r="302" customFormat="false" ht="15" hidden="false" customHeight="false" outlineLevel="0" collapsed="false">
      <c r="A302" s="42" t="s">
        <v>44</v>
      </c>
      <c r="B302" s="42" t="n">
        <v>-14</v>
      </c>
      <c r="C302" s="42" t="n">
        <v>1</v>
      </c>
      <c r="D302" s="42" t="n">
        <v>74270916</v>
      </c>
      <c r="E302" s="43" t="n">
        <v>0.900677170388245</v>
      </c>
      <c r="F302" s="43" t="n">
        <v>0.980357523277852</v>
      </c>
      <c r="G302" s="43" t="n">
        <v>0.971462685110389</v>
      </c>
      <c r="H302" s="43" t="n">
        <v>0.977630818041137</v>
      </c>
      <c r="I302" s="42" t="n">
        <v>1</v>
      </c>
      <c r="J302" s="42" t="n">
        <v>1</v>
      </c>
      <c r="K302" s="44" t="str">
        <f aca="false">IF(AND(I302=1,J302=1),"两者都跟住",IF(AND(I302=0,J302=1),"仅 PC-TBD 跟住",IF(AND(I302=1,J302=0),"仅 VIT-LPS 跟住","都没跟住")))</f>
        <v>两者都跟住</v>
      </c>
      <c r="L302" s="45" t="n">
        <f aca="false">F302-G302</f>
        <v>0.00889483816746295</v>
      </c>
      <c r="M302" s="46" t="n">
        <v>0.8167655</v>
      </c>
      <c r="N302" s="46" t="n">
        <v>0.3604373</v>
      </c>
      <c r="O302" s="46" t="n">
        <v>3.5187119</v>
      </c>
      <c r="P302" s="46" t="n">
        <v>1.1869566</v>
      </c>
      <c r="Q302" s="46" t="n">
        <v>4.0897796</v>
      </c>
      <c r="R302" s="46" t="n">
        <v>6.1328579</v>
      </c>
      <c r="S302" s="47" t="n">
        <f aca="false">M302+N302+O302</f>
        <v>4.6959147</v>
      </c>
      <c r="T302" s="47" t="n">
        <f aca="false">M302+P302</f>
        <v>2.0037221</v>
      </c>
    </row>
    <row r="303" customFormat="false" ht="15" hidden="false" customHeight="false" outlineLevel="0" collapsed="false">
      <c r="A303" s="42" t="s">
        <v>44</v>
      </c>
      <c r="B303" s="42" t="n">
        <v>-14</v>
      </c>
      <c r="C303" s="42" t="n">
        <v>2</v>
      </c>
      <c r="D303" s="42" t="n">
        <v>74270917</v>
      </c>
      <c r="E303" s="43" t="n">
        <v>0.874100168353038</v>
      </c>
      <c r="F303" s="43" t="n">
        <v>0.940677898678371</v>
      </c>
      <c r="G303" s="43" t="n">
        <v>0.943650142933791</v>
      </c>
      <c r="H303" s="43" t="n">
        <v>0.935365942580117</v>
      </c>
      <c r="I303" s="42" t="n">
        <v>1</v>
      </c>
      <c r="J303" s="42" t="n">
        <v>1</v>
      </c>
      <c r="K303" s="44" t="str">
        <f aca="false">IF(AND(I303=1,J303=1),"两者都跟住",IF(AND(I303=0,J303=1),"仅 PC-TBD 跟住",IF(AND(I303=1,J303=0),"仅 VIT-LPS 跟住","都没跟住")))</f>
        <v>两者都跟住</v>
      </c>
      <c r="L303" s="45" t="n">
        <f aca="false">F303-G303</f>
        <v>-0.00297224425541998</v>
      </c>
      <c r="M303" s="46" t="n">
        <v>0.7942993</v>
      </c>
      <c r="N303" s="46" t="n">
        <v>0.3701958</v>
      </c>
      <c r="O303" s="46" t="n">
        <v>3.6864707</v>
      </c>
      <c r="P303" s="46" t="n">
        <v>0.9796013</v>
      </c>
      <c r="Q303" s="46" t="n">
        <v>3.8783912</v>
      </c>
      <c r="R303" s="46" t="n">
        <v>5.5219692</v>
      </c>
      <c r="S303" s="47" t="n">
        <f aca="false">M303+N303+O303</f>
        <v>4.8509658</v>
      </c>
      <c r="T303" s="47" t="n">
        <f aca="false">M303+P303</f>
        <v>1.7739006</v>
      </c>
    </row>
    <row r="304" customFormat="false" ht="15" hidden="false" customHeight="false" outlineLevel="0" collapsed="false">
      <c r="A304" s="42" t="s">
        <v>44</v>
      </c>
      <c r="B304" s="42" t="n">
        <v>-14</v>
      </c>
      <c r="C304" s="42" t="n">
        <v>3</v>
      </c>
      <c r="D304" s="42" t="n">
        <v>74270918</v>
      </c>
      <c r="E304" s="43" t="n">
        <v>0.860425859946652</v>
      </c>
      <c r="F304" s="43" t="n">
        <v>0.939831250559217</v>
      </c>
      <c r="G304" s="43" t="n">
        <v>0.938245704555489</v>
      </c>
      <c r="H304" s="43" t="n">
        <v>0.935024153109045</v>
      </c>
      <c r="I304" s="42" t="n">
        <v>1</v>
      </c>
      <c r="J304" s="42" t="n">
        <v>1</v>
      </c>
      <c r="K304" s="44" t="str">
        <f aca="false">IF(AND(I304=1,J304=1),"两者都跟住",IF(AND(I304=0,J304=1),"仅 PC-TBD 跟住",IF(AND(I304=1,J304=0),"仅 VIT-LPS 跟住","都没跟住")))</f>
        <v>两者都跟住</v>
      </c>
      <c r="L304" s="45" t="n">
        <f aca="false">F304-G304</f>
        <v>0.00158554600372807</v>
      </c>
      <c r="M304" s="46" t="n">
        <v>0.8051051</v>
      </c>
      <c r="N304" s="46" t="n">
        <v>0.365846</v>
      </c>
      <c r="O304" s="46" t="n">
        <v>3.5967118</v>
      </c>
      <c r="P304" s="46" t="n">
        <v>1.2175126</v>
      </c>
      <c r="Q304" s="46" t="n">
        <v>3.743253</v>
      </c>
      <c r="R304" s="46" t="n">
        <v>3.4407487</v>
      </c>
      <c r="S304" s="47" t="n">
        <f aca="false">M304+N304+O304</f>
        <v>4.7676629</v>
      </c>
      <c r="T304" s="47" t="n">
        <f aca="false">M304+P304</f>
        <v>2.0226177</v>
      </c>
    </row>
    <row r="305" customFormat="false" ht="15" hidden="false" customHeight="false" outlineLevel="0" collapsed="false">
      <c r="A305" s="42" t="s">
        <v>44</v>
      </c>
      <c r="B305" s="42" t="n">
        <v>-14</v>
      </c>
      <c r="C305" s="42" t="n">
        <v>4</v>
      </c>
      <c r="D305" s="42" t="n">
        <v>74270919</v>
      </c>
      <c r="E305" s="43" t="n">
        <v>0.956364864042058</v>
      </c>
      <c r="F305" s="43" t="n">
        <v>0.965825248730648</v>
      </c>
      <c r="G305" s="43" t="n">
        <v>0.94257310716647</v>
      </c>
      <c r="H305" s="43" t="n">
        <v>0.950456175631622</v>
      </c>
      <c r="I305" s="42" t="n">
        <v>1</v>
      </c>
      <c r="J305" s="42" t="n">
        <v>1</v>
      </c>
      <c r="K305" s="44" t="str">
        <f aca="false">IF(AND(I305=1,J305=1),"两者都跟住",IF(AND(I305=0,J305=1),"仅 PC-TBD 跟住",IF(AND(I305=1,J305=0),"仅 VIT-LPS 跟住","都没跟住")))</f>
        <v>两者都跟住</v>
      </c>
      <c r="L305" s="45" t="n">
        <f aca="false">F305-G305</f>
        <v>0.023252141564178</v>
      </c>
      <c r="M305" s="46" t="n">
        <v>0.8190736</v>
      </c>
      <c r="N305" s="46" t="n">
        <v>0.4019833</v>
      </c>
      <c r="O305" s="46" t="n">
        <v>3.5999707</v>
      </c>
      <c r="P305" s="46" t="n">
        <v>1.0651723</v>
      </c>
      <c r="Q305" s="46" t="n">
        <v>3.6380923</v>
      </c>
      <c r="R305" s="46" t="n">
        <v>3.2149829</v>
      </c>
      <c r="S305" s="47" t="n">
        <f aca="false">M305+N305+O305</f>
        <v>4.8210276</v>
      </c>
      <c r="T305" s="47" t="n">
        <f aca="false">M305+P305</f>
        <v>1.8842459</v>
      </c>
    </row>
    <row r="306" customFormat="false" ht="15" hidden="false" customHeight="false" outlineLevel="0" collapsed="false">
      <c r="A306" s="42" t="s">
        <v>44</v>
      </c>
      <c r="B306" s="42" t="n">
        <v>-14</v>
      </c>
      <c r="C306" s="42" t="n">
        <v>5</v>
      </c>
      <c r="D306" s="42" t="n">
        <v>74270920</v>
      </c>
      <c r="E306" s="43" t="n">
        <v>0.931754927462655</v>
      </c>
      <c r="F306" s="43" t="n">
        <v>0.969778340152023</v>
      </c>
      <c r="G306" s="43" t="n">
        <v>0.95646502615776</v>
      </c>
      <c r="H306" s="43" t="n">
        <v>0.965531475846134</v>
      </c>
      <c r="I306" s="42" t="n">
        <v>1</v>
      </c>
      <c r="J306" s="42" t="n">
        <v>1</v>
      </c>
      <c r="K306" s="44" t="str">
        <f aca="false">IF(AND(I306=1,J306=1),"两者都跟住",IF(AND(I306=0,J306=1),"仅 PC-TBD 跟住",IF(AND(I306=1,J306=0),"仅 VIT-LPS 跟住","都没跟住")))</f>
        <v>两者都跟住</v>
      </c>
      <c r="L306" s="45" t="n">
        <f aca="false">F306-G306</f>
        <v>0.0133133139942631</v>
      </c>
      <c r="M306" s="46" t="n">
        <v>0.8106464</v>
      </c>
      <c r="N306" s="46" t="n">
        <v>0.4093006</v>
      </c>
      <c r="O306" s="46" t="n">
        <v>3.5497057</v>
      </c>
      <c r="P306" s="46" t="n">
        <v>0.9675013</v>
      </c>
      <c r="Q306" s="46" t="n">
        <v>3.7229248</v>
      </c>
      <c r="R306" s="46" t="n">
        <v>2.7320689</v>
      </c>
      <c r="S306" s="47" t="n">
        <f aca="false">M306+N306+O306</f>
        <v>4.7696527</v>
      </c>
      <c r="T306" s="47" t="n">
        <f aca="false">M306+P306</f>
        <v>1.7781477</v>
      </c>
    </row>
    <row r="307" customFormat="false" ht="15" hidden="false" customHeight="false" outlineLevel="0" collapsed="false">
      <c r="A307" s="42" t="s">
        <v>44</v>
      </c>
      <c r="B307" s="42" t="n">
        <v>-14</v>
      </c>
      <c r="C307" s="42" t="n">
        <v>6</v>
      </c>
      <c r="D307" s="42" t="n">
        <v>74270921</v>
      </c>
      <c r="E307" s="43" t="n">
        <v>0.613602357331273</v>
      </c>
      <c r="F307" s="43" t="n">
        <v>0.96879824620276</v>
      </c>
      <c r="G307" s="43" t="n">
        <v>0.968797606058272</v>
      </c>
      <c r="H307" s="43" t="n">
        <v>0.968281909306509</v>
      </c>
      <c r="I307" s="42" t="n">
        <v>1</v>
      </c>
      <c r="J307" s="42" t="n">
        <v>1</v>
      </c>
      <c r="K307" s="44" t="str">
        <f aca="false">IF(AND(I307=1,J307=1),"两者都跟住",IF(AND(I307=0,J307=1),"仅 PC-TBD 跟住",IF(AND(I307=1,J307=0),"仅 VIT-LPS 跟住","都没跟住")))</f>
        <v>两者都跟住</v>
      </c>
      <c r="L307" s="45" t="n">
        <f aca="false">F307-G307</f>
        <v>6.40144487973338E-007</v>
      </c>
      <c r="M307" s="46" t="n">
        <v>0.8185063</v>
      </c>
      <c r="N307" s="46" t="n">
        <v>0.3867467</v>
      </c>
      <c r="O307" s="46" t="n">
        <v>3.623546</v>
      </c>
      <c r="P307" s="46" t="n">
        <v>1.1262064</v>
      </c>
      <c r="Q307" s="46" t="n">
        <v>3.9324736</v>
      </c>
      <c r="R307" s="46" t="n">
        <v>6.2793237</v>
      </c>
      <c r="S307" s="47" t="n">
        <f aca="false">M307+N307+O307</f>
        <v>4.828799</v>
      </c>
      <c r="T307" s="47" t="n">
        <f aca="false">M307+P307</f>
        <v>1.9447127</v>
      </c>
    </row>
    <row r="308" customFormat="false" ht="15" hidden="false" customHeight="false" outlineLevel="0" collapsed="false">
      <c r="A308" s="42" t="s">
        <v>44</v>
      </c>
      <c r="B308" s="42" t="n">
        <v>-14</v>
      </c>
      <c r="C308" s="42" t="n">
        <v>7</v>
      </c>
      <c r="D308" s="42" t="n">
        <v>74270922</v>
      </c>
      <c r="E308" s="43" t="n">
        <v>0.952335094477656</v>
      </c>
      <c r="F308" s="43" t="n">
        <v>0.973124480330678</v>
      </c>
      <c r="G308" s="43" t="n">
        <v>0.978490245126241</v>
      </c>
      <c r="H308" s="43" t="n">
        <v>0.972235983077481</v>
      </c>
      <c r="I308" s="42" t="n">
        <v>1</v>
      </c>
      <c r="J308" s="42" t="n">
        <v>1</v>
      </c>
      <c r="K308" s="44" t="str">
        <f aca="false">IF(AND(I308=1,J308=1),"两者都跟住",IF(AND(I308=0,J308=1),"仅 PC-TBD 跟住",IF(AND(I308=1,J308=0),"仅 VIT-LPS 跟住","都没跟住")))</f>
        <v>两者都跟住</v>
      </c>
      <c r="L308" s="45" t="n">
        <f aca="false">F308-G308</f>
        <v>-0.00536576479556306</v>
      </c>
      <c r="M308" s="46" t="n">
        <v>0.279203</v>
      </c>
      <c r="N308" s="46" t="n">
        <v>0.1911507</v>
      </c>
      <c r="O308" s="46" t="n">
        <v>0.777715</v>
      </c>
      <c r="P308" s="46" t="n">
        <v>1.2168597</v>
      </c>
      <c r="Q308" s="46" t="n">
        <v>4.2438706</v>
      </c>
      <c r="R308" s="46" t="n">
        <v>1.8705421</v>
      </c>
      <c r="S308" s="47" t="n">
        <f aca="false">M308+N308+O308</f>
        <v>1.2480687</v>
      </c>
      <c r="T308" s="47" t="n">
        <f aca="false">M308+P308</f>
        <v>1.4960627</v>
      </c>
    </row>
    <row r="309" customFormat="false" ht="15" hidden="false" customHeight="false" outlineLevel="0" collapsed="false">
      <c r="A309" s="42" t="s">
        <v>44</v>
      </c>
      <c r="B309" s="42" t="n">
        <v>-14</v>
      </c>
      <c r="C309" s="42" t="n">
        <v>8</v>
      </c>
      <c r="D309" s="42" t="n">
        <v>74270923</v>
      </c>
      <c r="E309" s="43" t="n">
        <v>0.919500241240224</v>
      </c>
      <c r="F309" s="43" t="n">
        <v>0.956887781793206</v>
      </c>
      <c r="G309" s="43" t="n">
        <v>0.936685576594794</v>
      </c>
      <c r="H309" s="43" t="n">
        <v>0.946860855013319</v>
      </c>
      <c r="I309" s="42" t="n">
        <v>1</v>
      </c>
      <c r="J309" s="42" t="n">
        <v>1</v>
      </c>
      <c r="K309" s="44" t="str">
        <f aca="false">IF(AND(I309=1,J309=1),"两者都跟住",IF(AND(I309=0,J309=1),"仅 PC-TBD 跟住",IF(AND(I309=1,J309=0),"仅 VIT-LPS 跟住","都没跟住")))</f>
        <v>两者都跟住</v>
      </c>
      <c r="L309" s="45" t="n">
        <f aca="false">F309-G309</f>
        <v>0.020202205198412</v>
      </c>
      <c r="M309" s="46" t="n">
        <v>0.2736254</v>
      </c>
      <c r="N309" s="46" t="n">
        <v>0.1701917</v>
      </c>
      <c r="O309" s="46" t="n">
        <v>0.5238679</v>
      </c>
      <c r="P309" s="46" t="n">
        <v>0.9305084</v>
      </c>
      <c r="Q309" s="46" t="n">
        <v>3.8667125</v>
      </c>
      <c r="R309" s="46" t="n">
        <v>2.4378984</v>
      </c>
      <c r="S309" s="47" t="n">
        <f aca="false">M309+N309+O309</f>
        <v>0.967685</v>
      </c>
      <c r="T309" s="47" t="n">
        <f aca="false">M309+P309</f>
        <v>1.2041338</v>
      </c>
    </row>
    <row r="310" customFormat="false" ht="15" hidden="false" customHeight="false" outlineLevel="0" collapsed="false">
      <c r="A310" s="42" t="s">
        <v>44</v>
      </c>
      <c r="B310" s="42" t="n">
        <v>-14</v>
      </c>
      <c r="C310" s="42" t="n">
        <v>9</v>
      </c>
      <c r="D310" s="42" t="n">
        <v>74270924</v>
      </c>
      <c r="E310" s="43" t="n">
        <v>0.894052388901585</v>
      </c>
      <c r="F310" s="43" t="n">
        <v>0.961377249002654</v>
      </c>
      <c r="G310" s="43" t="n">
        <v>0.964807650386503</v>
      </c>
      <c r="H310" s="43" t="n">
        <v>0.964475286976267</v>
      </c>
      <c r="I310" s="42" t="n">
        <v>1</v>
      </c>
      <c r="J310" s="42" t="n">
        <v>1</v>
      </c>
      <c r="K310" s="44" t="str">
        <f aca="false">IF(AND(I310=1,J310=1),"两者都跟住",IF(AND(I310=0,J310=1),"仅 PC-TBD 跟住",IF(AND(I310=1,J310=0),"仅 VIT-LPS 跟住","都没跟住")))</f>
        <v>两者都跟住</v>
      </c>
      <c r="L310" s="45" t="n">
        <f aca="false">F310-G310</f>
        <v>-0.00343040138384898</v>
      </c>
      <c r="M310" s="46" t="n">
        <v>0.5093225</v>
      </c>
      <c r="N310" s="46" t="n">
        <v>0.2253488</v>
      </c>
      <c r="O310" s="46" t="n">
        <v>0.9917193</v>
      </c>
      <c r="P310" s="46" t="n">
        <v>1.2955452</v>
      </c>
      <c r="Q310" s="46" t="n">
        <v>3.4235603</v>
      </c>
      <c r="R310" s="46" t="n">
        <v>2.699514</v>
      </c>
      <c r="S310" s="47" t="n">
        <f aca="false">M310+N310+O310</f>
        <v>1.7263906</v>
      </c>
      <c r="T310" s="47" t="n">
        <f aca="false">M310+P310</f>
        <v>1.8048677</v>
      </c>
    </row>
    <row r="311" customFormat="false" ht="15" hidden="false" customHeight="false" outlineLevel="0" collapsed="false">
      <c r="A311" s="42" t="s">
        <v>44</v>
      </c>
      <c r="B311" s="42" t="n">
        <v>-14</v>
      </c>
      <c r="C311" s="42" t="n">
        <v>10</v>
      </c>
      <c r="D311" s="42" t="n">
        <v>74270925</v>
      </c>
      <c r="E311" s="43" t="n">
        <v>0.873627090935156</v>
      </c>
      <c r="F311" s="43" t="n">
        <v>0.953563463959655</v>
      </c>
      <c r="G311" s="43" t="n">
        <v>0.951082633805914</v>
      </c>
      <c r="H311" s="43" t="n">
        <v>0.945755996269807</v>
      </c>
      <c r="I311" s="42" t="n">
        <v>1</v>
      </c>
      <c r="J311" s="42" t="n">
        <v>1</v>
      </c>
      <c r="K311" s="44" t="str">
        <f aca="false">IF(AND(I311=1,J311=1),"两者都跟住",IF(AND(I311=0,J311=1),"仅 PC-TBD 跟住",IF(AND(I311=1,J311=0),"仅 VIT-LPS 跟住","都没跟住")))</f>
        <v>两者都跟住</v>
      </c>
      <c r="L311" s="45" t="n">
        <f aca="false">F311-G311</f>
        <v>0.00248083015374101</v>
      </c>
      <c r="M311" s="46" t="n">
        <v>0.4064727</v>
      </c>
      <c r="N311" s="46" t="n">
        <v>0.2064224</v>
      </c>
      <c r="O311" s="46" t="n">
        <v>0.6096436</v>
      </c>
      <c r="P311" s="46" t="n">
        <v>1.5591097</v>
      </c>
      <c r="Q311" s="46" t="n">
        <v>3.7150269</v>
      </c>
      <c r="R311" s="46" t="n">
        <v>3.7643302</v>
      </c>
      <c r="S311" s="47" t="n">
        <f aca="false">M311+N311+O311</f>
        <v>1.2225387</v>
      </c>
      <c r="T311" s="47" t="n">
        <f aca="false">M311+P311</f>
        <v>1.9655824</v>
      </c>
    </row>
    <row r="312" customFormat="false" ht="15" hidden="false" customHeight="false" outlineLevel="0" collapsed="false">
      <c r="A312" s="42" t="s">
        <v>44</v>
      </c>
      <c r="B312" s="42" t="n">
        <v>-14</v>
      </c>
      <c r="C312" s="42" t="n">
        <v>11</v>
      </c>
      <c r="D312" s="42" t="n">
        <v>74270926</v>
      </c>
      <c r="E312" s="43" t="n">
        <v>0.408240680372234</v>
      </c>
      <c r="F312" s="43" t="n">
        <v>0.957208181629474</v>
      </c>
      <c r="G312" s="43" t="n">
        <v>0.870429815651352</v>
      </c>
      <c r="H312" s="43" t="n">
        <v>0.868802266536219</v>
      </c>
      <c r="I312" s="42" t="n">
        <v>1</v>
      </c>
      <c r="J312" s="42" t="n">
        <v>1</v>
      </c>
      <c r="K312" s="44" t="str">
        <f aca="false">IF(AND(I312=1,J312=1),"两者都跟住",IF(AND(I312=0,J312=1),"仅 PC-TBD 跟住",IF(AND(I312=1,J312=0),"仅 VIT-LPS 跟住","都没跟住")))</f>
        <v>两者都跟住</v>
      </c>
      <c r="L312" s="45" t="n">
        <f aca="false">F312-G312</f>
        <v>0.0867783659781219</v>
      </c>
      <c r="M312" s="46" t="n">
        <v>0.3738563</v>
      </c>
      <c r="N312" s="46" t="n">
        <v>0.1539688</v>
      </c>
      <c r="O312" s="46" t="n">
        <v>0.3420088</v>
      </c>
      <c r="P312" s="46" t="n">
        <v>1.2838259</v>
      </c>
      <c r="Q312" s="46" t="n">
        <v>2.9902751</v>
      </c>
      <c r="R312" s="46" t="n">
        <v>2.24009</v>
      </c>
      <c r="S312" s="47" t="n">
        <f aca="false">M312+N312+O312</f>
        <v>0.8698339</v>
      </c>
      <c r="T312" s="47" t="n">
        <f aca="false">M312+P312</f>
        <v>1.6576822</v>
      </c>
    </row>
    <row r="313" customFormat="false" ht="15" hidden="false" customHeight="false" outlineLevel="0" collapsed="false">
      <c r="A313" s="42" t="s">
        <v>44</v>
      </c>
      <c r="B313" s="42" t="n">
        <v>-14</v>
      </c>
      <c r="C313" s="42" t="n">
        <v>12</v>
      </c>
      <c r="D313" s="42" t="n">
        <v>74270927</v>
      </c>
      <c r="E313" s="43" t="n">
        <v>0.83614047677416</v>
      </c>
      <c r="F313" s="43" t="n">
        <v>0.973389428827858</v>
      </c>
      <c r="G313" s="43" t="n">
        <v>0.964298304794128</v>
      </c>
      <c r="H313" s="43" t="n">
        <v>0.973843157065773</v>
      </c>
      <c r="I313" s="42" t="n">
        <v>1</v>
      </c>
      <c r="J313" s="42" t="n">
        <v>1</v>
      </c>
      <c r="K313" s="44" t="str">
        <f aca="false">IF(AND(I313=1,J313=1),"两者都跟住",IF(AND(I313=0,J313=1),"仅 PC-TBD 跟住",IF(AND(I313=1,J313=0),"仅 VIT-LPS 跟住","都没跟住")))</f>
        <v>两者都跟住</v>
      </c>
      <c r="L313" s="45" t="n">
        <f aca="false">F313-G313</f>
        <v>0.00909112403372991</v>
      </c>
      <c r="M313" s="46" t="n">
        <v>0.3613834</v>
      </c>
      <c r="N313" s="46" t="n">
        <v>0.1566958</v>
      </c>
      <c r="O313" s="46" t="n">
        <v>0.3395067</v>
      </c>
      <c r="P313" s="46" t="n">
        <v>0.9400822</v>
      </c>
      <c r="Q313" s="46" t="n">
        <v>2.5934827</v>
      </c>
      <c r="R313" s="46" t="n">
        <v>2.2610168</v>
      </c>
      <c r="S313" s="47" t="n">
        <f aca="false">M313+N313+O313</f>
        <v>0.8575859</v>
      </c>
      <c r="T313" s="47" t="n">
        <f aca="false">M313+P313</f>
        <v>1.3014656</v>
      </c>
    </row>
    <row r="314" customFormat="false" ht="15" hidden="false" customHeight="false" outlineLevel="0" collapsed="false">
      <c r="A314" s="42" t="s">
        <v>44</v>
      </c>
      <c r="B314" s="42" t="n">
        <v>-14</v>
      </c>
      <c r="C314" s="42" t="n">
        <v>13</v>
      </c>
      <c r="D314" s="42" t="n">
        <v>74270928</v>
      </c>
      <c r="E314" s="43" t="n">
        <v>0.90819526445286</v>
      </c>
      <c r="F314" s="43" t="n">
        <v>0.956735153334554</v>
      </c>
      <c r="G314" s="43" t="n">
        <v>0.848087007375078</v>
      </c>
      <c r="H314" s="43" t="n">
        <v>0.854880786723693</v>
      </c>
      <c r="I314" s="42" t="n">
        <v>1</v>
      </c>
      <c r="J314" s="42" t="n">
        <v>1</v>
      </c>
      <c r="K314" s="44" t="str">
        <f aca="false">IF(AND(I314=1,J314=1),"两者都跟住",IF(AND(I314=0,J314=1),"仅 PC-TBD 跟住",IF(AND(I314=1,J314=0),"仅 VIT-LPS 跟住","都没跟住")))</f>
        <v>两者都跟住</v>
      </c>
      <c r="L314" s="45" t="n">
        <f aca="false">F314-G314</f>
        <v>0.108648145959476</v>
      </c>
      <c r="M314" s="46" t="n">
        <v>0.3821718</v>
      </c>
      <c r="N314" s="46" t="n">
        <v>0.1609699</v>
      </c>
      <c r="O314" s="46" t="n">
        <v>0.3899165</v>
      </c>
      <c r="P314" s="46" t="n">
        <v>1.1760625</v>
      </c>
      <c r="Q314" s="46" t="n">
        <v>2.490784</v>
      </c>
      <c r="R314" s="46" t="n">
        <v>2.8333452</v>
      </c>
      <c r="S314" s="47" t="n">
        <f aca="false">M314+N314+O314</f>
        <v>0.9330582</v>
      </c>
      <c r="T314" s="47" t="n">
        <f aca="false">M314+P314</f>
        <v>1.5582343</v>
      </c>
    </row>
    <row r="315" customFormat="false" ht="15" hidden="false" customHeight="false" outlineLevel="0" collapsed="false">
      <c r="A315" s="42" t="s">
        <v>44</v>
      </c>
      <c r="B315" s="42" t="n">
        <v>-14</v>
      </c>
      <c r="C315" s="42" t="n">
        <v>14</v>
      </c>
      <c r="D315" s="42" t="n">
        <v>74270929</v>
      </c>
      <c r="E315" s="43" t="n">
        <v>0.93893948960589</v>
      </c>
      <c r="F315" s="43" t="n">
        <v>0.975395161712416</v>
      </c>
      <c r="G315" s="43" t="n">
        <v>0.973045038890747</v>
      </c>
      <c r="H315" s="43" t="n">
        <v>0.970592396359777</v>
      </c>
      <c r="I315" s="42" t="n">
        <v>1</v>
      </c>
      <c r="J315" s="42" t="n">
        <v>1</v>
      </c>
      <c r="K315" s="44" t="str">
        <f aca="false">IF(AND(I315=1,J315=1),"两者都跟住",IF(AND(I315=0,J315=1),"仅 PC-TBD 跟住",IF(AND(I315=1,J315=0),"仅 VIT-LPS 跟住","都没跟住")))</f>
        <v>两者都跟住</v>
      </c>
      <c r="L315" s="45" t="n">
        <f aca="false">F315-G315</f>
        <v>0.00235012282166902</v>
      </c>
      <c r="M315" s="46" t="n">
        <v>0.3775379</v>
      </c>
      <c r="N315" s="46" t="n">
        <v>0.1824254</v>
      </c>
      <c r="O315" s="46" t="n">
        <v>0.3177609</v>
      </c>
      <c r="P315" s="46" t="n">
        <v>0.8321366</v>
      </c>
      <c r="Q315" s="46" t="n">
        <v>3.1840597</v>
      </c>
      <c r="R315" s="46" t="n">
        <v>1.9022745</v>
      </c>
      <c r="S315" s="47" t="n">
        <f aca="false">M315+N315+O315</f>
        <v>0.8777242</v>
      </c>
      <c r="T315" s="47" t="n">
        <f aca="false">M315+P315</f>
        <v>1.2096745</v>
      </c>
    </row>
    <row r="316" customFormat="false" ht="15" hidden="false" customHeight="false" outlineLevel="0" collapsed="false">
      <c r="A316" s="42" t="s">
        <v>44</v>
      </c>
      <c r="B316" s="42" t="n">
        <v>-14</v>
      </c>
      <c r="C316" s="42" t="n">
        <v>15</v>
      </c>
      <c r="D316" s="42" t="n">
        <v>74270930</v>
      </c>
      <c r="E316" s="43" t="n">
        <v>0.948367305171097</v>
      </c>
      <c r="F316" s="43" t="n">
        <v>0.972829154189079</v>
      </c>
      <c r="G316" s="43" t="n">
        <v>0.959981064039066</v>
      </c>
      <c r="H316" s="43" t="n">
        <v>0.966714551767404</v>
      </c>
      <c r="I316" s="42" t="n">
        <v>1</v>
      </c>
      <c r="J316" s="42" t="n">
        <v>1</v>
      </c>
      <c r="K316" s="44" t="str">
        <f aca="false">IF(AND(I316=1,J316=1),"两者都跟住",IF(AND(I316=0,J316=1),"仅 PC-TBD 跟住",IF(AND(I316=1,J316=0),"仅 VIT-LPS 跟住","都没跟住")))</f>
        <v>两者都跟住</v>
      </c>
      <c r="L316" s="45" t="n">
        <f aca="false">F316-G316</f>
        <v>0.012848090150013</v>
      </c>
      <c r="M316" s="46" t="n">
        <v>0.3544658</v>
      </c>
      <c r="N316" s="46" t="n">
        <v>0.1972686</v>
      </c>
      <c r="O316" s="46" t="n">
        <v>0.508948</v>
      </c>
      <c r="P316" s="46" t="n">
        <v>1.0782494</v>
      </c>
      <c r="Q316" s="46" t="n">
        <v>3.1886761</v>
      </c>
      <c r="R316" s="46" t="n">
        <v>2.2021128</v>
      </c>
      <c r="S316" s="47" t="n">
        <f aca="false">M316+N316+O316</f>
        <v>1.0606824</v>
      </c>
      <c r="T316" s="47" t="n">
        <f aca="false">M316+P316</f>
        <v>1.4327152</v>
      </c>
    </row>
    <row r="317" customFormat="false" ht="15" hidden="false" customHeight="false" outlineLevel="0" collapsed="false">
      <c r="A317" s="42" t="s">
        <v>44</v>
      </c>
      <c r="B317" s="42" t="n">
        <v>-14</v>
      </c>
      <c r="C317" s="42" t="n">
        <v>16</v>
      </c>
      <c r="D317" s="42" t="n">
        <v>74270931</v>
      </c>
      <c r="E317" s="43" t="n">
        <v>0.928809342927671</v>
      </c>
      <c r="F317" s="43" t="n">
        <v>0.957764521787581</v>
      </c>
      <c r="G317" s="43" t="n">
        <v>0.963989651234617</v>
      </c>
      <c r="H317" s="43" t="n">
        <v>0.955210384018938</v>
      </c>
      <c r="I317" s="42" t="n">
        <v>1</v>
      </c>
      <c r="J317" s="42" t="n">
        <v>1</v>
      </c>
      <c r="K317" s="44" t="str">
        <f aca="false">IF(AND(I317=1,J317=1),"两者都跟住",IF(AND(I317=0,J317=1),"仅 PC-TBD 跟住",IF(AND(I317=1,J317=0),"仅 VIT-LPS 跟住","都没跟住")))</f>
        <v>两者都跟住</v>
      </c>
      <c r="L317" s="45" t="n">
        <f aca="false">F317-G317</f>
        <v>-0.00622512944703602</v>
      </c>
      <c r="M317" s="46" t="n">
        <v>0.3561188</v>
      </c>
      <c r="N317" s="46" t="n">
        <v>0.1872378</v>
      </c>
      <c r="O317" s="46" t="n">
        <v>0.4228104</v>
      </c>
      <c r="P317" s="46" t="n">
        <v>0.8521439</v>
      </c>
      <c r="Q317" s="46" t="n">
        <v>2.606359</v>
      </c>
      <c r="R317" s="46" t="n">
        <v>2.4308572</v>
      </c>
      <c r="S317" s="47" t="n">
        <f aca="false">M317+N317+O317</f>
        <v>0.966167</v>
      </c>
      <c r="T317" s="47" t="n">
        <f aca="false">M317+P317</f>
        <v>1.2082627</v>
      </c>
    </row>
    <row r="318" customFormat="false" ht="15" hidden="false" customHeight="false" outlineLevel="0" collapsed="false">
      <c r="A318" s="42" t="s">
        <v>44</v>
      </c>
      <c r="B318" s="42" t="n">
        <v>-14</v>
      </c>
      <c r="C318" s="42" t="n">
        <v>17</v>
      </c>
      <c r="D318" s="42" t="n">
        <v>74270932</v>
      </c>
      <c r="E318" s="43" t="n">
        <v>0.916152495258323</v>
      </c>
      <c r="F318" s="43" t="n">
        <v>0.972232210030139</v>
      </c>
      <c r="G318" s="43" t="n">
        <v>0.965003402081376</v>
      </c>
      <c r="H318" s="43" t="n">
        <v>0.967859278150376</v>
      </c>
      <c r="I318" s="42" t="n">
        <v>1</v>
      </c>
      <c r="J318" s="42" t="n">
        <v>1</v>
      </c>
      <c r="K318" s="44" t="str">
        <f aca="false">IF(AND(I318=1,J318=1),"两者都跟住",IF(AND(I318=0,J318=1),"仅 PC-TBD 跟住",IF(AND(I318=1,J318=0),"仅 VIT-LPS 跟住","都没跟住")))</f>
        <v>两者都跟住</v>
      </c>
      <c r="L318" s="45" t="n">
        <f aca="false">F318-G318</f>
        <v>0.00722880794876302</v>
      </c>
      <c r="M318" s="46" t="n">
        <v>0.1960661</v>
      </c>
      <c r="N318" s="46" t="n">
        <v>0.1237999</v>
      </c>
      <c r="O318" s="46" t="n">
        <v>0.2774646</v>
      </c>
      <c r="P318" s="46" t="n">
        <v>0.6453155</v>
      </c>
      <c r="Q318" s="46" t="n">
        <v>1.8434276</v>
      </c>
      <c r="R318" s="46" t="n">
        <v>1.2437911</v>
      </c>
      <c r="S318" s="47" t="n">
        <f aca="false">M318+N318+O318</f>
        <v>0.5973306</v>
      </c>
      <c r="T318" s="47" t="n">
        <f aca="false">M318+P318</f>
        <v>0.8413816</v>
      </c>
    </row>
    <row r="319" customFormat="false" ht="15" hidden="false" customHeight="false" outlineLevel="0" collapsed="false">
      <c r="A319" s="42" t="s">
        <v>44</v>
      </c>
      <c r="B319" s="42" t="n">
        <v>-14</v>
      </c>
      <c r="C319" s="42" t="n">
        <v>18</v>
      </c>
      <c r="D319" s="42" t="n">
        <v>74270933</v>
      </c>
      <c r="E319" s="43" t="n">
        <v>0.906603902525705</v>
      </c>
      <c r="F319" s="43" t="n">
        <v>0.963931929064213</v>
      </c>
      <c r="G319" s="43" t="n">
        <v>0.954128170244651</v>
      </c>
      <c r="H319" s="43" t="n">
        <v>0.954928809021568</v>
      </c>
      <c r="I319" s="42" t="n">
        <v>1</v>
      </c>
      <c r="J319" s="42" t="n">
        <v>1</v>
      </c>
      <c r="K319" s="44" t="str">
        <f aca="false">IF(AND(I319=1,J319=1),"两者都跟住",IF(AND(I319=0,J319=1),"仅 PC-TBD 跟住",IF(AND(I319=1,J319=0),"仅 VIT-LPS 跟住","都没跟住")))</f>
        <v>两者都跟住</v>
      </c>
      <c r="L319" s="45" t="n">
        <f aca="false">F319-G319</f>
        <v>0.00980375881956197</v>
      </c>
      <c r="M319" s="46" t="n">
        <v>0.1810017</v>
      </c>
      <c r="N319" s="46" t="n">
        <v>0.1283391</v>
      </c>
      <c r="O319" s="46" t="n">
        <v>0.2513169</v>
      </c>
      <c r="P319" s="46" t="n">
        <v>0.627123</v>
      </c>
      <c r="Q319" s="46" t="n">
        <v>1.9387225</v>
      </c>
      <c r="R319" s="46" t="n">
        <v>1.8165813</v>
      </c>
      <c r="S319" s="47" t="n">
        <f aca="false">M319+N319+O319</f>
        <v>0.5606577</v>
      </c>
      <c r="T319" s="47" t="n">
        <f aca="false">M319+P319</f>
        <v>0.8081247</v>
      </c>
    </row>
    <row r="320" customFormat="false" ht="15" hidden="false" customHeight="false" outlineLevel="0" collapsed="false">
      <c r="A320" s="42" t="s">
        <v>44</v>
      </c>
      <c r="B320" s="42" t="n">
        <v>-14</v>
      </c>
      <c r="C320" s="42" t="n">
        <v>19</v>
      </c>
      <c r="D320" s="42" t="n">
        <v>74270934</v>
      </c>
      <c r="E320" s="43" t="n">
        <v>0.956622549668121</v>
      </c>
      <c r="F320" s="43" t="n">
        <v>0.965865474645149</v>
      </c>
      <c r="G320" s="43" t="n">
        <v>0.959577162893302</v>
      </c>
      <c r="H320" s="43" t="n">
        <v>0.9575895293656</v>
      </c>
      <c r="I320" s="42" t="n">
        <v>1</v>
      </c>
      <c r="J320" s="42" t="n">
        <v>1</v>
      </c>
      <c r="K320" s="44" t="str">
        <f aca="false">IF(AND(I320=1,J320=1),"两者都跟住",IF(AND(I320=0,J320=1),"仅 PC-TBD 跟住",IF(AND(I320=1,J320=0),"仅 VIT-LPS 跟住","都没跟住")))</f>
        <v>两者都跟住</v>
      </c>
      <c r="L320" s="45" t="n">
        <f aca="false">F320-G320</f>
        <v>0.00628831175184708</v>
      </c>
      <c r="M320" s="46" t="n">
        <v>0.1893999</v>
      </c>
      <c r="N320" s="46" t="n">
        <v>0.1099318</v>
      </c>
      <c r="O320" s="46" t="n">
        <v>0.3021033</v>
      </c>
      <c r="P320" s="46" t="n">
        <v>0.6507158</v>
      </c>
      <c r="Q320" s="46" t="n">
        <v>2.2516134</v>
      </c>
      <c r="R320" s="46" t="n">
        <v>1.545406</v>
      </c>
      <c r="S320" s="47" t="n">
        <f aca="false">M320+N320+O320</f>
        <v>0.601435</v>
      </c>
      <c r="T320" s="47" t="n">
        <f aca="false">M320+P320</f>
        <v>0.8401157</v>
      </c>
    </row>
    <row r="321" customFormat="false" ht="15" hidden="false" customHeight="false" outlineLevel="0" collapsed="false">
      <c r="A321" s="42" t="s">
        <v>44</v>
      </c>
      <c r="B321" s="42" t="n">
        <v>-14</v>
      </c>
      <c r="C321" s="42" t="n">
        <v>20</v>
      </c>
      <c r="D321" s="42" t="n">
        <v>74270935</v>
      </c>
      <c r="E321" s="43" t="n">
        <v>0.911105339019556</v>
      </c>
      <c r="F321" s="43" t="n">
        <v>0.968855140117912</v>
      </c>
      <c r="G321" s="43" t="n">
        <v>0.964080610777769</v>
      </c>
      <c r="H321" s="43" t="n">
        <v>0.968357115947206</v>
      </c>
      <c r="I321" s="42" t="n">
        <v>1</v>
      </c>
      <c r="J321" s="42" t="n">
        <v>1</v>
      </c>
      <c r="K321" s="44" t="str">
        <f aca="false">IF(AND(I321=1,J321=1),"两者都跟住",IF(AND(I321=0,J321=1),"仅 PC-TBD 跟住",IF(AND(I321=1,J321=0),"仅 VIT-LPS 跟住","都没跟住")))</f>
        <v>两者都跟住</v>
      </c>
      <c r="L321" s="45" t="n">
        <f aca="false">F321-G321</f>
        <v>0.004774529340143</v>
      </c>
      <c r="M321" s="46" t="n">
        <v>0.2137889</v>
      </c>
      <c r="N321" s="46" t="n">
        <v>0.1288307</v>
      </c>
      <c r="O321" s="46" t="n">
        <v>0.1951026</v>
      </c>
      <c r="P321" s="46" t="n">
        <v>0.5688315</v>
      </c>
      <c r="Q321" s="46" t="n">
        <v>1.6507784</v>
      </c>
      <c r="R321" s="46" t="n">
        <v>0.8759846</v>
      </c>
      <c r="S321" s="47" t="n">
        <f aca="false">M321+N321+O321</f>
        <v>0.5377222</v>
      </c>
      <c r="T321" s="47" t="n">
        <f aca="false">M321+P321</f>
        <v>0.7826204</v>
      </c>
    </row>
    <row r="322" customFormat="false" ht="15" hidden="false" customHeight="false" outlineLevel="0" collapsed="false">
      <c r="A322" s="42" t="s">
        <v>44</v>
      </c>
      <c r="B322" s="42" t="n">
        <v>-14</v>
      </c>
      <c r="C322" s="42" t="n">
        <v>21</v>
      </c>
      <c r="D322" s="42" t="n">
        <v>74270936</v>
      </c>
      <c r="E322" s="43" t="n">
        <v>0.825075325963028</v>
      </c>
      <c r="F322" s="43" t="n">
        <v>0.950876718196532</v>
      </c>
      <c r="G322" s="43" t="n">
        <v>0.932836101410622</v>
      </c>
      <c r="H322" s="43" t="n">
        <v>0.943932862656601</v>
      </c>
      <c r="I322" s="42" t="n">
        <v>1</v>
      </c>
      <c r="J322" s="42" t="n">
        <v>1</v>
      </c>
      <c r="K322" s="44" t="str">
        <f aca="false">IF(AND(I322=1,J322=1),"两者都跟住",IF(AND(I322=0,J322=1),"仅 PC-TBD 跟住",IF(AND(I322=1,J322=0),"仅 VIT-LPS 跟住","都没跟住")))</f>
        <v>两者都跟住</v>
      </c>
      <c r="L322" s="45" t="n">
        <f aca="false">F322-G322</f>
        <v>0.01804061678591</v>
      </c>
      <c r="M322" s="46" t="n">
        <v>0.3024342</v>
      </c>
      <c r="N322" s="46" t="n">
        <v>0.1245791</v>
      </c>
      <c r="O322" s="46" t="n">
        <v>0.6175326</v>
      </c>
      <c r="P322" s="46" t="n">
        <v>0.7671153</v>
      </c>
      <c r="Q322" s="46" t="n">
        <v>2.3990846</v>
      </c>
      <c r="R322" s="46" t="n">
        <v>2.0621283</v>
      </c>
      <c r="S322" s="47" t="n">
        <f aca="false">M322+N322+O322</f>
        <v>1.0445459</v>
      </c>
      <c r="T322" s="47" t="n">
        <f aca="false">M322+P322</f>
        <v>1.0695495</v>
      </c>
    </row>
    <row r="323" customFormat="false" ht="15" hidden="false" customHeight="false" outlineLevel="0" collapsed="false">
      <c r="A323" s="42" t="s">
        <v>44</v>
      </c>
      <c r="B323" s="42" t="n">
        <v>-14</v>
      </c>
      <c r="C323" s="42" t="n">
        <v>22</v>
      </c>
      <c r="D323" s="42" t="n">
        <v>74270937</v>
      </c>
      <c r="E323" s="43" t="n">
        <v>0.89515503208323</v>
      </c>
      <c r="F323" s="43" t="n">
        <v>0.955654536610795</v>
      </c>
      <c r="G323" s="43" t="n">
        <v>0.948826093859913</v>
      </c>
      <c r="H323" s="43" t="n">
        <v>0.946750696213479</v>
      </c>
      <c r="I323" s="42" t="n">
        <v>1</v>
      </c>
      <c r="J323" s="42" t="n">
        <v>1</v>
      </c>
      <c r="K323" s="44" t="str">
        <f aca="false">IF(AND(I323=1,J323=1),"两者都跟住",IF(AND(I323=0,J323=1),"仅 PC-TBD 跟住",IF(AND(I323=1,J323=0),"仅 VIT-LPS 跟住","都没跟住")))</f>
        <v>两者都跟住</v>
      </c>
      <c r="L323" s="45" t="n">
        <f aca="false">F323-G323</f>
        <v>0.00682844275088201</v>
      </c>
      <c r="M323" s="46" t="n">
        <v>0.3191584</v>
      </c>
      <c r="N323" s="46" t="n">
        <v>0.137064</v>
      </c>
      <c r="O323" s="46" t="n">
        <v>0.4924846</v>
      </c>
      <c r="P323" s="46" t="n">
        <v>0.8725228</v>
      </c>
      <c r="Q323" s="46" t="n">
        <v>2.6551893</v>
      </c>
      <c r="R323" s="46" t="n">
        <v>2.1068252</v>
      </c>
      <c r="S323" s="47" t="n">
        <f aca="false">M323+N323+O323</f>
        <v>0.948707</v>
      </c>
      <c r="T323" s="47" t="n">
        <f aca="false">M323+P323</f>
        <v>1.1916812</v>
      </c>
    </row>
    <row r="324" customFormat="false" ht="15" hidden="false" customHeight="false" outlineLevel="0" collapsed="false">
      <c r="A324" s="42" t="s">
        <v>44</v>
      </c>
      <c r="B324" s="42" t="n">
        <v>-14</v>
      </c>
      <c r="C324" s="42" t="n">
        <v>23</v>
      </c>
      <c r="D324" s="42" t="n">
        <v>74270938</v>
      </c>
      <c r="E324" s="43" t="n">
        <v>0.905979779396688</v>
      </c>
      <c r="F324" s="43" t="n">
        <v>0.933700163556449</v>
      </c>
      <c r="G324" s="43" t="n">
        <v>0.941840392384131</v>
      </c>
      <c r="H324" s="43" t="n">
        <v>0.940200756653059</v>
      </c>
      <c r="I324" s="42" t="n">
        <v>1</v>
      </c>
      <c r="J324" s="42" t="n">
        <v>1</v>
      </c>
      <c r="K324" s="44" t="str">
        <f aca="false">IF(AND(I324=1,J324=1),"两者都跟住",IF(AND(I324=0,J324=1),"仅 PC-TBD 跟住",IF(AND(I324=1,J324=0),"仅 VIT-LPS 跟住","都没跟住")))</f>
        <v>两者都跟住</v>
      </c>
      <c r="L324" s="45" t="n">
        <f aca="false">F324-G324</f>
        <v>-0.00814022882768195</v>
      </c>
      <c r="M324" s="46" t="n">
        <v>0.3154191</v>
      </c>
      <c r="N324" s="46" t="n">
        <v>0.1226094</v>
      </c>
      <c r="O324" s="46" t="n">
        <v>0.6189642</v>
      </c>
      <c r="P324" s="46" t="n">
        <v>0.7190506</v>
      </c>
      <c r="Q324" s="46" t="n">
        <v>2.6357503</v>
      </c>
      <c r="R324" s="46" t="n">
        <v>2.4960677</v>
      </c>
      <c r="S324" s="47" t="n">
        <f aca="false">M324+N324+O324</f>
        <v>1.0569927</v>
      </c>
      <c r="T324" s="47" t="n">
        <f aca="false">M324+P324</f>
        <v>1.0344697</v>
      </c>
    </row>
    <row r="325" customFormat="false" ht="15" hidden="false" customHeight="false" outlineLevel="0" collapsed="false">
      <c r="A325" s="42" t="s">
        <v>44</v>
      </c>
      <c r="B325" s="42" t="n">
        <v>-14</v>
      </c>
      <c r="C325" s="42" t="n">
        <v>24</v>
      </c>
      <c r="D325" s="42" t="n">
        <v>74270939</v>
      </c>
      <c r="E325" s="43" t="n">
        <v>0.461955380204642</v>
      </c>
      <c r="F325" s="43" t="n">
        <v>0.963801080359912</v>
      </c>
      <c r="G325" s="43" t="n">
        <v>0.931108774078254</v>
      </c>
      <c r="H325" s="43" t="n">
        <v>0.951311147356276</v>
      </c>
      <c r="I325" s="42" t="n">
        <v>1</v>
      </c>
      <c r="J325" s="42" t="n">
        <v>1</v>
      </c>
      <c r="K325" s="44" t="str">
        <f aca="false">IF(AND(I325=1,J325=1),"两者都跟住",IF(AND(I325=0,J325=1),"仅 PC-TBD 跟住",IF(AND(I325=1,J325=0),"仅 VIT-LPS 跟住","都没跟住")))</f>
        <v>两者都跟住</v>
      </c>
      <c r="L325" s="45" t="n">
        <f aca="false">F325-G325</f>
        <v>0.032692306281658</v>
      </c>
      <c r="M325" s="46" t="n">
        <v>0.2753268</v>
      </c>
      <c r="N325" s="46" t="n">
        <v>0.1577598</v>
      </c>
      <c r="O325" s="46" t="n">
        <v>0.4760592</v>
      </c>
      <c r="P325" s="46" t="n">
        <v>0.8242165</v>
      </c>
      <c r="Q325" s="46" t="n">
        <v>2.7277067</v>
      </c>
      <c r="R325" s="46" t="n">
        <v>2.1524404</v>
      </c>
      <c r="S325" s="47" t="n">
        <f aca="false">M325+N325+O325</f>
        <v>0.9091458</v>
      </c>
      <c r="T325" s="47" t="n">
        <f aca="false">M325+P325</f>
        <v>1.0995433</v>
      </c>
    </row>
    <row r="326" customFormat="false" ht="15" hidden="false" customHeight="false" outlineLevel="0" collapsed="false">
      <c r="A326" s="42" t="s">
        <v>44</v>
      </c>
      <c r="B326" s="42" t="n">
        <v>-14</v>
      </c>
      <c r="C326" s="42" t="n">
        <v>25</v>
      </c>
      <c r="D326" s="42" t="n">
        <v>74270940</v>
      </c>
      <c r="E326" s="43" t="n">
        <v>0.964027685155506</v>
      </c>
      <c r="F326" s="43" t="n">
        <v>0.964841478981687</v>
      </c>
      <c r="G326" s="43" t="n">
        <v>0.96000102894669</v>
      </c>
      <c r="H326" s="43" t="n">
        <v>0.966043750559094</v>
      </c>
      <c r="I326" s="42" t="n">
        <v>1</v>
      </c>
      <c r="J326" s="42" t="n">
        <v>1</v>
      </c>
      <c r="K326" s="44" t="str">
        <f aca="false">IF(AND(I326=1,J326=1),"两者都跟住",IF(AND(I326=0,J326=1),"仅 PC-TBD 跟住",IF(AND(I326=1,J326=0),"仅 VIT-LPS 跟住","都没跟住")))</f>
        <v>两者都跟住</v>
      </c>
      <c r="L326" s="45" t="n">
        <f aca="false">F326-G326</f>
        <v>0.004840450034997</v>
      </c>
      <c r="M326" s="46" t="n">
        <v>0.3245731</v>
      </c>
      <c r="N326" s="46" t="n">
        <v>0.1153515</v>
      </c>
      <c r="O326" s="46" t="n">
        <v>0.2812906</v>
      </c>
      <c r="P326" s="46" t="n">
        <v>0.8448777</v>
      </c>
      <c r="Q326" s="46" t="n">
        <v>2.950911</v>
      </c>
      <c r="R326" s="46" t="n">
        <v>2.4949504</v>
      </c>
      <c r="S326" s="47" t="n">
        <f aca="false">M326+N326+O326</f>
        <v>0.7212152</v>
      </c>
      <c r="T326" s="47" t="n">
        <f aca="false">M326+P326</f>
        <v>1.1694508</v>
      </c>
    </row>
    <row r="327" customFormat="false" ht="15" hidden="false" customHeight="false" outlineLevel="0" collapsed="false">
      <c r="A327" s="42" t="s">
        <v>44</v>
      </c>
      <c r="B327" s="42" t="n">
        <v>-14</v>
      </c>
      <c r="C327" s="42" t="n">
        <v>26</v>
      </c>
      <c r="D327" s="42" t="n">
        <v>74270941</v>
      </c>
      <c r="E327" s="43" t="n">
        <v>0.503802949269233</v>
      </c>
      <c r="F327" s="43" t="n">
        <v>0.962962819861486</v>
      </c>
      <c r="G327" s="43" t="n">
        <v>0.973086958476643</v>
      </c>
      <c r="H327" s="43" t="n">
        <v>0.968255963011586</v>
      </c>
      <c r="I327" s="42" t="n">
        <v>1</v>
      </c>
      <c r="J327" s="42" t="n">
        <v>1</v>
      </c>
      <c r="K327" s="44" t="str">
        <f aca="false">IF(AND(I327=1,J327=1),"两者都跟住",IF(AND(I327=0,J327=1),"仅 PC-TBD 跟住",IF(AND(I327=1,J327=0),"仅 VIT-LPS 跟住","都没跟住")))</f>
        <v>两者都跟住</v>
      </c>
      <c r="L327" s="45" t="n">
        <f aca="false">F327-G327</f>
        <v>-0.0101241386151569</v>
      </c>
      <c r="M327" s="46" t="n">
        <v>0.3335339</v>
      </c>
      <c r="N327" s="46" t="n">
        <v>0.1160196</v>
      </c>
      <c r="O327" s="46" t="n">
        <v>0.4214161</v>
      </c>
      <c r="P327" s="46" t="n">
        <v>0.9457476</v>
      </c>
      <c r="Q327" s="46" t="n">
        <v>2.7102355</v>
      </c>
      <c r="R327" s="46" t="n">
        <v>2.4160324</v>
      </c>
      <c r="S327" s="47" t="n">
        <f aca="false">M327+N327+O327</f>
        <v>0.8709696</v>
      </c>
      <c r="T327" s="47" t="n">
        <f aca="false">M327+P327</f>
        <v>1.2792815</v>
      </c>
    </row>
    <row r="328" customFormat="false" ht="15" hidden="false" customHeight="false" outlineLevel="0" collapsed="false">
      <c r="A328" s="42" t="s">
        <v>44</v>
      </c>
      <c r="B328" s="42" t="n">
        <v>-14</v>
      </c>
      <c r="C328" s="42" t="n">
        <v>27</v>
      </c>
      <c r="D328" s="42" t="n">
        <v>74270942</v>
      </c>
      <c r="E328" s="43" t="n">
        <v>0.851257359647163</v>
      </c>
      <c r="F328" s="43" t="n">
        <v>0.948974822960943</v>
      </c>
      <c r="G328" s="43" t="n">
        <v>0.950768522668724</v>
      </c>
      <c r="H328" s="43" t="n">
        <v>0.946564152088497</v>
      </c>
      <c r="I328" s="42" t="n">
        <v>1</v>
      </c>
      <c r="J328" s="42" t="n">
        <v>1</v>
      </c>
      <c r="K328" s="44" t="str">
        <f aca="false">IF(AND(I328=1,J328=1),"两者都跟住",IF(AND(I328=0,J328=1),"仅 PC-TBD 跟住",IF(AND(I328=1,J328=0),"仅 VIT-LPS 跟住","都没跟住")))</f>
        <v>两者都跟住</v>
      </c>
      <c r="L328" s="45" t="n">
        <f aca="false">F328-G328</f>
        <v>-0.00179369970778098</v>
      </c>
      <c r="M328" s="46" t="n">
        <v>0.1334815</v>
      </c>
      <c r="N328" s="46" t="n">
        <v>0.0727939</v>
      </c>
      <c r="O328" s="46" t="n">
        <v>0.1801656</v>
      </c>
      <c r="P328" s="46" t="n">
        <v>0.578465</v>
      </c>
      <c r="Q328" s="46" t="n">
        <v>1.9259699</v>
      </c>
      <c r="R328" s="46" t="n">
        <v>1.5480769</v>
      </c>
      <c r="S328" s="47" t="n">
        <f aca="false">M328+N328+O328</f>
        <v>0.386441</v>
      </c>
      <c r="T328" s="47" t="n">
        <f aca="false">M328+P328</f>
        <v>0.7119465</v>
      </c>
    </row>
    <row r="329" customFormat="false" ht="15" hidden="false" customHeight="false" outlineLevel="0" collapsed="false">
      <c r="A329" s="42" t="s">
        <v>44</v>
      </c>
      <c r="B329" s="42" t="n">
        <v>-14</v>
      </c>
      <c r="C329" s="42" t="n">
        <v>28</v>
      </c>
      <c r="D329" s="42" t="n">
        <v>74270943</v>
      </c>
      <c r="E329" s="43" t="n">
        <v>0.868692046592272</v>
      </c>
      <c r="F329" s="43" t="n">
        <v>0.945565581385739</v>
      </c>
      <c r="G329" s="43" t="n">
        <v>0.938487338297044</v>
      </c>
      <c r="H329" s="43" t="n">
        <v>0.942435698307446</v>
      </c>
      <c r="I329" s="42" t="n">
        <v>1</v>
      </c>
      <c r="J329" s="42" t="n">
        <v>1</v>
      </c>
      <c r="K329" s="44" t="str">
        <f aca="false">IF(AND(I329=1,J329=1),"两者都跟住",IF(AND(I329=0,J329=1),"仅 PC-TBD 跟住",IF(AND(I329=1,J329=0),"仅 VIT-LPS 跟住","都没跟住")))</f>
        <v>两者都跟住</v>
      </c>
      <c r="L329" s="45" t="n">
        <f aca="false">F329-G329</f>
        <v>0.00707824308869498</v>
      </c>
      <c r="M329" s="46" t="n">
        <v>0.1792908</v>
      </c>
      <c r="N329" s="46" t="n">
        <v>0.1047036</v>
      </c>
      <c r="O329" s="46" t="n">
        <v>0.182081</v>
      </c>
      <c r="P329" s="46" t="n">
        <v>0.5129533</v>
      </c>
      <c r="Q329" s="46" t="n">
        <v>1.8557701</v>
      </c>
      <c r="R329" s="46" t="n">
        <v>1.7053949</v>
      </c>
      <c r="S329" s="47" t="n">
        <f aca="false">M329+N329+O329</f>
        <v>0.4660754</v>
      </c>
      <c r="T329" s="47" t="n">
        <f aca="false">M329+P329</f>
        <v>0.6922441</v>
      </c>
    </row>
    <row r="330" customFormat="false" ht="15" hidden="false" customHeight="false" outlineLevel="0" collapsed="false">
      <c r="A330" s="42" t="s">
        <v>44</v>
      </c>
      <c r="B330" s="42" t="n">
        <v>-14</v>
      </c>
      <c r="C330" s="42" t="n">
        <v>29</v>
      </c>
      <c r="D330" s="42" t="n">
        <v>74270944</v>
      </c>
      <c r="E330" s="43" t="n">
        <v>0.908404773186301</v>
      </c>
      <c r="F330" s="43" t="n">
        <v>0.950821660656771</v>
      </c>
      <c r="G330" s="43" t="n">
        <v>0.943985140610884</v>
      </c>
      <c r="H330" s="43" t="n">
        <v>0.9429328226332</v>
      </c>
      <c r="I330" s="42" t="n">
        <v>1</v>
      </c>
      <c r="J330" s="42" t="n">
        <v>1</v>
      </c>
      <c r="K330" s="44" t="str">
        <f aca="false">IF(AND(I330=1,J330=1),"两者都跟住",IF(AND(I330=0,J330=1),"仅 PC-TBD 跟住",IF(AND(I330=1,J330=0),"仅 VIT-LPS 跟住","都没跟住")))</f>
        <v>两者都跟住</v>
      </c>
      <c r="L330" s="45" t="n">
        <f aca="false">F330-G330</f>
        <v>0.00683652004588697</v>
      </c>
      <c r="M330" s="46" t="n">
        <v>0.2160338</v>
      </c>
      <c r="N330" s="46" t="n">
        <v>0.0961822</v>
      </c>
      <c r="O330" s="46" t="n">
        <v>0.2640253</v>
      </c>
      <c r="P330" s="46" t="n">
        <v>0.3929755</v>
      </c>
      <c r="Q330" s="46" t="n">
        <v>1.4874108</v>
      </c>
      <c r="R330" s="46" t="n">
        <v>1.4430563</v>
      </c>
      <c r="S330" s="47" t="n">
        <f aca="false">M330+N330+O330</f>
        <v>0.5762413</v>
      </c>
      <c r="T330" s="47" t="n">
        <f aca="false">M330+P330</f>
        <v>0.6090093</v>
      </c>
    </row>
    <row r="331" customFormat="false" ht="15" hidden="false" customHeight="false" outlineLevel="0" collapsed="false">
      <c r="A331" s="42" t="s">
        <v>44</v>
      </c>
      <c r="B331" s="42" t="n">
        <v>-14</v>
      </c>
      <c r="C331" s="42" t="n">
        <v>30</v>
      </c>
      <c r="D331" s="42" t="n">
        <v>74270945</v>
      </c>
      <c r="E331" s="43" t="n">
        <v>0.938839406504426</v>
      </c>
      <c r="F331" s="43" t="n">
        <v>0.972598323476262</v>
      </c>
      <c r="G331" s="43" t="n">
        <v>0.967913222898481</v>
      </c>
      <c r="H331" s="43" t="n">
        <v>0.966303889551779</v>
      </c>
      <c r="I331" s="42" t="n">
        <v>1</v>
      </c>
      <c r="J331" s="42" t="n">
        <v>1</v>
      </c>
      <c r="K331" s="44" t="str">
        <f aca="false">IF(AND(I331=1,J331=1),"两者都跟住",IF(AND(I331=0,J331=1),"仅 PC-TBD 跟住",IF(AND(I331=1,J331=0),"仅 VIT-LPS 跟住","都没跟住")))</f>
        <v>两者都跟住</v>
      </c>
      <c r="L331" s="45" t="n">
        <f aca="false">F331-G331</f>
        <v>0.00468510057778093</v>
      </c>
      <c r="M331" s="46" t="n">
        <v>0.2104811</v>
      </c>
      <c r="N331" s="46" t="n">
        <v>0.1127165</v>
      </c>
      <c r="O331" s="46" t="n">
        <v>0.252647</v>
      </c>
      <c r="P331" s="46" t="n">
        <v>0.456873</v>
      </c>
      <c r="Q331" s="46" t="n">
        <v>1.6658277</v>
      </c>
      <c r="R331" s="46" t="n">
        <v>1.7492303</v>
      </c>
      <c r="S331" s="47" t="n">
        <f aca="false">M331+N331+O331</f>
        <v>0.5758446</v>
      </c>
      <c r="T331" s="47" t="n">
        <f aca="false">M331+P331</f>
        <v>0.6673541</v>
      </c>
    </row>
    <row r="332" customFormat="false" ht="15" hidden="false" customHeight="false" outlineLevel="0" collapsed="false">
      <c r="A332" s="42" t="s">
        <v>44</v>
      </c>
      <c r="B332" s="42" t="n">
        <v>-14</v>
      </c>
      <c r="C332" s="42" t="n">
        <v>31</v>
      </c>
      <c r="D332" s="42" t="n">
        <v>74270946</v>
      </c>
      <c r="E332" s="43" t="n">
        <v>0.853196998506814</v>
      </c>
      <c r="F332" s="43" t="n">
        <v>0.956002230291109</v>
      </c>
      <c r="G332" s="43" t="n">
        <v>0.930238912634513</v>
      </c>
      <c r="H332" s="43" t="n">
        <v>0.950689360683245</v>
      </c>
      <c r="I332" s="42" t="n">
        <v>1</v>
      </c>
      <c r="J332" s="42" t="n">
        <v>1</v>
      </c>
      <c r="K332" s="44" t="str">
        <f aca="false">IF(AND(I332=1,J332=1),"两者都跟住",IF(AND(I332=0,J332=1),"仅 PC-TBD 跟住",IF(AND(I332=1,J332=0),"仅 VIT-LPS 跟住","都没跟住")))</f>
        <v>两者都跟住</v>
      </c>
      <c r="L332" s="45" t="n">
        <f aca="false">F332-G332</f>
        <v>0.025763317656596</v>
      </c>
      <c r="M332" s="46" t="n">
        <v>0.2747399</v>
      </c>
      <c r="N332" s="46" t="n">
        <v>0.1475167</v>
      </c>
      <c r="O332" s="46" t="n">
        <v>0.3758916</v>
      </c>
      <c r="P332" s="46" t="n">
        <v>0.7511622</v>
      </c>
      <c r="Q332" s="46" t="n">
        <v>2.648349</v>
      </c>
      <c r="R332" s="46" t="n">
        <v>1.7262732</v>
      </c>
      <c r="S332" s="47" t="n">
        <f aca="false">M332+N332+O332</f>
        <v>0.7981482</v>
      </c>
      <c r="T332" s="47" t="n">
        <f aca="false">M332+P332</f>
        <v>1.0259021</v>
      </c>
    </row>
    <row r="333" customFormat="false" ht="15" hidden="false" customHeight="false" outlineLevel="0" collapsed="false">
      <c r="A333" s="42" t="s">
        <v>44</v>
      </c>
      <c r="B333" s="42" t="n">
        <v>-14</v>
      </c>
      <c r="C333" s="42" t="n">
        <v>32</v>
      </c>
      <c r="D333" s="42" t="n">
        <v>74270947</v>
      </c>
      <c r="E333" s="43" t="n">
        <v>0.8875639844964</v>
      </c>
      <c r="F333" s="43" t="n">
        <v>0.968090335349267</v>
      </c>
      <c r="G333" s="43" t="n">
        <v>0.970948285832574</v>
      </c>
      <c r="H333" s="43" t="n">
        <v>0.968772024412481</v>
      </c>
      <c r="I333" s="42" t="n">
        <v>1</v>
      </c>
      <c r="J333" s="42" t="n">
        <v>1</v>
      </c>
      <c r="K333" s="44" t="str">
        <f aca="false">IF(AND(I333=1,J333=1),"两者都跟住",IF(AND(I333=0,J333=1),"仅 PC-TBD 跟住",IF(AND(I333=1,J333=0),"仅 VIT-LPS 跟住","都没跟住")))</f>
        <v>两者都跟住</v>
      </c>
      <c r="L333" s="45" t="n">
        <f aca="false">F333-G333</f>
        <v>-0.00285795048330695</v>
      </c>
      <c r="M333" s="46" t="n">
        <v>0.2384441</v>
      </c>
      <c r="N333" s="46" t="n">
        <v>0.1528177</v>
      </c>
      <c r="O333" s="46" t="n">
        <v>0.3266765</v>
      </c>
      <c r="P333" s="46" t="n">
        <v>0.8074367</v>
      </c>
      <c r="Q333" s="46" t="n">
        <v>2.5253904</v>
      </c>
      <c r="R333" s="46" t="n">
        <v>1.7355613</v>
      </c>
      <c r="S333" s="47" t="n">
        <f aca="false">M333+N333+O333</f>
        <v>0.7179383</v>
      </c>
      <c r="T333" s="47" t="n">
        <f aca="false">M333+P333</f>
        <v>1.0458808</v>
      </c>
    </row>
    <row r="334" customFormat="false" ht="15" hidden="false" customHeight="false" outlineLevel="0" collapsed="false">
      <c r="A334" s="42" t="s">
        <v>44</v>
      </c>
      <c r="B334" s="42" t="n">
        <v>-14</v>
      </c>
      <c r="C334" s="42" t="n">
        <v>33</v>
      </c>
      <c r="D334" s="42" t="n">
        <v>74270948</v>
      </c>
      <c r="E334" s="43" t="n">
        <v>0.909651125113382</v>
      </c>
      <c r="F334" s="43" t="n">
        <v>0.971580657537139</v>
      </c>
      <c r="G334" s="43" t="n">
        <v>0.964634658437623</v>
      </c>
      <c r="H334" s="43" t="n">
        <v>0.968128376651578</v>
      </c>
      <c r="I334" s="42" t="n">
        <v>1</v>
      </c>
      <c r="J334" s="42" t="n">
        <v>1</v>
      </c>
      <c r="K334" s="44" t="str">
        <f aca="false">IF(AND(I334=1,J334=1),"两者都跟住",IF(AND(I334=0,J334=1),"仅 PC-TBD 跟住",IF(AND(I334=1,J334=0),"仅 VIT-LPS 跟住","都没跟住")))</f>
        <v>两者都跟住</v>
      </c>
      <c r="L334" s="45" t="n">
        <f aca="false">F334-G334</f>
        <v>0.00694599909951599</v>
      </c>
      <c r="M334" s="46" t="n">
        <v>0.2767584</v>
      </c>
      <c r="N334" s="46" t="n">
        <v>0.1320677</v>
      </c>
      <c r="O334" s="46" t="n">
        <v>0.3826701</v>
      </c>
      <c r="P334" s="46" t="n">
        <v>0.7060127</v>
      </c>
      <c r="Q334" s="46" t="n">
        <v>2.1320709</v>
      </c>
      <c r="R334" s="46" t="n">
        <v>2.1167775</v>
      </c>
      <c r="S334" s="47" t="n">
        <f aca="false">M334+N334+O334</f>
        <v>0.7914962</v>
      </c>
      <c r="T334" s="47" t="n">
        <f aca="false">M334+P334</f>
        <v>0.9827711</v>
      </c>
    </row>
    <row r="335" customFormat="false" ht="15" hidden="false" customHeight="false" outlineLevel="0" collapsed="false">
      <c r="A335" s="42" t="s">
        <v>44</v>
      </c>
      <c r="B335" s="42" t="n">
        <v>-14</v>
      </c>
      <c r="C335" s="42" t="n">
        <v>34</v>
      </c>
      <c r="D335" s="42" t="n">
        <v>74270949</v>
      </c>
      <c r="E335" s="43" t="n">
        <v>0.429839993946801</v>
      </c>
      <c r="F335" s="43" t="n">
        <v>0.940881898761273</v>
      </c>
      <c r="G335" s="43" t="n">
        <v>0.954493678390784</v>
      </c>
      <c r="H335" s="43" t="n">
        <v>0.960214612968364</v>
      </c>
      <c r="I335" s="42" t="n">
        <v>1</v>
      </c>
      <c r="J335" s="42" t="n">
        <v>1</v>
      </c>
      <c r="K335" s="44" t="str">
        <f aca="false">IF(AND(I335=1,J335=1),"两者都跟住",IF(AND(I335=0,J335=1),"仅 PC-TBD 跟住",IF(AND(I335=1,J335=0),"仅 VIT-LPS 跟住","都没跟住")))</f>
        <v>两者都跟住</v>
      </c>
      <c r="L335" s="45" t="n">
        <f aca="false">F335-G335</f>
        <v>-0.013611779629511</v>
      </c>
      <c r="M335" s="46" t="n">
        <v>0.2739563</v>
      </c>
      <c r="N335" s="46" t="n">
        <v>0.170507</v>
      </c>
      <c r="O335" s="46" t="n">
        <v>0.2997015</v>
      </c>
      <c r="P335" s="46" t="n">
        <v>0.7503214</v>
      </c>
      <c r="Q335" s="46" t="n">
        <v>2.5367343</v>
      </c>
      <c r="R335" s="46" t="n">
        <v>2.3137167</v>
      </c>
      <c r="S335" s="47" t="n">
        <f aca="false">M335+N335+O335</f>
        <v>0.7441648</v>
      </c>
      <c r="T335" s="47" t="n">
        <f aca="false">M335+P335</f>
        <v>1.0242777</v>
      </c>
    </row>
    <row r="336" customFormat="false" ht="15" hidden="false" customHeight="false" outlineLevel="0" collapsed="false">
      <c r="A336" s="42" t="s">
        <v>44</v>
      </c>
      <c r="B336" s="42" t="n">
        <v>-14</v>
      </c>
      <c r="C336" s="42" t="n">
        <v>35</v>
      </c>
      <c r="D336" s="42" t="n">
        <v>74270950</v>
      </c>
      <c r="E336" s="43" t="n">
        <v>0.921638505027697</v>
      </c>
      <c r="F336" s="43" t="n">
        <v>0.946815674720447</v>
      </c>
      <c r="G336" s="43" t="n">
        <v>0.92644588406159</v>
      </c>
      <c r="H336" s="43" t="n">
        <v>0.938083247996253</v>
      </c>
      <c r="I336" s="42" t="n">
        <v>1</v>
      </c>
      <c r="J336" s="42" t="n">
        <v>1</v>
      </c>
      <c r="K336" s="44" t="str">
        <f aca="false">IF(AND(I336=1,J336=1),"两者都跟住",IF(AND(I336=0,J336=1),"仅 PC-TBD 跟住",IF(AND(I336=1,J336=0),"仅 VIT-LPS 跟住","都没跟住")))</f>
        <v>两者都跟住</v>
      </c>
      <c r="L336" s="45" t="n">
        <f aca="false">F336-G336</f>
        <v>0.020369790658857</v>
      </c>
      <c r="M336" s="46" t="n">
        <v>0.2663333</v>
      </c>
      <c r="N336" s="46" t="n">
        <v>0.1620685</v>
      </c>
      <c r="O336" s="46" t="n">
        <v>0.3117983</v>
      </c>
      <c r="P336" s="46" t="n">
        <v>0.6981642</v>
      </c>
      <c r="Q336" s="46" t="n">
        <v>1.9449781</v>
      </c>
      <c r="R336" s="46" t="n">
        <v>2.2917485</v>
      </c>
      <c r="S336" s="47" t="n">
        <f aca="false">M336+N336+O336</f>
        <v>0.7402001</v>
      </c>
      <c r="T336" s="47" t="n">
        <f aca="false">M336+P336</f>
        <v>0.9644975</v>
      </c>
    </row>
    <row r="337" customFormat="false" ht="15" hidden="false" customHeight="false" outlineLevel="0" collapsed="false">
      <c r="A337" s="42" t="s">
        <v>44</v>
      </c>
      <c r="B337" s="42" t="n">
        <v>-14</v>
      </c>
      <c r="C337" s="42" t="n">
        <v>36</v>
      </c>
      <c r="D337" s="42" t="n">
        <v>74270951</v>
      </c>
      <c r="E337" s="43" t="n">
        <v>0.932092223746255</v>
      </c>
      <c r="F337" s="43" t="n">
        <v>0.951900581747626</v>
      </c>
      <c r="G337" s="43" t="n">
        <v>0.941084468776462</v>
      </c>
      <c r="H337" s="43" t="n">
        <v>0.937906362069802</v>
      </c>
      <c r="I337" s="42" t="n">
        <v>1</v>
      </c>
      <c r="J337" s="42" t="n">
        <v>1</v>
      </c>
      <c r="K337" s="44" t="str">
        <f aca="false">IF(AND(I337=1,J337=1),"两者都跟住",IF(AND(I337=0,J337=1),"仅 PC-TBD 跟住",IF(AND(I337=1,J337=0),"仅 VIT-LPS 跟住","都没跟住")))</f>
        <v>两者都跟住</v>
      </c>
      <c r="L337" s="45" t="n">
        <f aca="false">F337-G337</f>
        <v>0.010816112971164</v>
      </c>
      <c r="M337" s="46" t="n">
        <v>0.2781693</v>
      </c>
      <c r="N337" s="46" t="n">
        <v>0.17668</v>
      </c>
      <c r="O337" s="46" t="n">
        <v>0.3177624</v>
      </c>
      <c r="P337" s="46" t="n">
        <v>0.7400146</v>
      </c>
      <c r="Q337" s="46" t="n">
        <v>2.6276153</v>
      </c>
      <c r="R337" s="46" t="n">
        <v>2.285573</v>
      </c>
      <c r="S337" s="47" t="n">
        <f aca="false">M337+N337+O337</f>
        <v>0.7726117</v>
      </c>
      <c r="T337" s="47" t="n">
        <f aca="false">M337+P337</f>
        <v>1.0181839</v>
      </c>
    </row>
    <row r="338" customFormat="false" ht="15" hidden="false" customHeight="false" outlineLevel="0" collapsed="false">
      <c r="A338" s="42" t="s">
        <v>44</v>
      </c>
      <c r="B338" s="42" t="n">
        <v>-14</v>
      </c>
      <c r="C338" s="42" t="n">
        <v>37</v>
      </c>
      <c r="D338" s="42" t="n">
        <v>74270952</v>
      </c>
      <c r="E338" s="43" t="n">
        <v>0.957893111187886</v>
      </c>
      <c r="F338" s="43" t="n">
        <v>0.971094528638414</v>
      </c>
      <c r="G338" s="43" t="n">
        <v>0.963461870318647</v>
      </c>
      <c r="H338" s="43" t="n">
        <v>0.97096728275656</v>
      </c>
      <c r="I338" s="42" t="n">
        <v>1</v>
      </c>
      <c r="J338" s="42" t="n">
        <v>1</v>
      </c>
      <c r="K338" s="44" t="str">
        <f aca="false">IF(AND(I338=1,J338=1),"两者都跟住",IF(AND(I338=0,J338=1),"仅 PC-TBD 跟住",IF(AND(I338=1,J338=0),"仅 VIT-LPS 跟住","都没跟住")))</f>
        <v>两者都跟住</v>
      </c>
      <c r="L338" s="45" t="n">
        <f aca="false">F338-G338</f>
        <v>0.00763265831976689</v>
      </c>
      <c r="M338" s="46" t="n">
        <v>0.1558378</v>
      </c>
      <c r="N338" s="46" t="n">
        <v>0.0693611</v>
      </c>
      <c r="O338" s="46" t="n">
        <v>0.1254224</v>
      </c>
      <c r="P338" s="46" t="n">
        <v>0.4612963</v>
      </c>
      <c r="Q338" s="46" t="n">
        <v>1.5330601</v>
      </c>
      <c r="R338" s="46" t="n">
        <v>1.2898763</v>
      </c>
      <c r="S338" s="47" t="n">
        <f aca="false">M338+N338+O338</f>
        <v>0.3506213</v>
      </c>
      <c r="T338" s="47" t="n">
        <f aca="false">M338+P338</f>
        <v>0.6171341</v>
      </c>
    </row>
    <row r="339" customFormat="false" ht="15" hidden="false" customHeight="false" outlineLevel="0" collapsed="false">
      <c r="A339" s="42" t="s">
        <v>44</v>
      </c>
      <c r="B339" s="42" t="n">
        <v>-14</v>
      </c>
      <c r="C339" s="42" t="n">
        <v>38</v>
      </c>
      <c r="D339" s="42" t="n">
        <v>74270953</v>
      </c>
      <c r="E339" s="43" t="n">
        <v>0.82368107744512</v>
      </c>
      <c r="F339" s="43" t="n">
        <v>0.957654203804538</v>
      </c>
      <c r="G339" s="43" t="n">
        <v>0.933954196166251</v>
      </c>
      <c r="H339" s="43" t="n">
        <v>0.937713656207818</v>
      </c>
      <c r="I339" s="42" t="n">
        <v>1</v>
      </c>
      <c r="J339" s="42" t="n">
        <v>1</v>
      </c>
      <c r="K339" s="44" t="str">
        <f aca="false">IF(AND(I339=1,J339=1),"两者都跟住",IF(AND(I339=0,J339=1),"仅 PC-TBD 跟住",IF(AND(I339=1,J339=0),"仅 VIT-LPS 跟住","都没跟住")))</f>
        <v>两者都跟住</v>
      </c>
      <c r="L339" s="45" t="n">
        <f aca="false">F339-G339</f>
        <v>0.0237000076382871</v>
      </c>
      <c r="M339" s="46" t="n">
        <v>0.1748419</v>
      </c>
      <c r="N339" s="46" t="n">
        <v>0.0777962</v>
      </c>
      <c r="O339" s="46" t="n">
        <v>0.1122699</v>
      </c>
      <c r="P339" s="46" t="n">
        <v>0.429619</v>
      </c>
      <c r="Q339" s="46" t="n">
        <v>1.5938458</v>
      </c>
      <c r="R339" s="46" t="n">
        <v>1.0535602</v>
      </c>
      <c r="S339" s="47" t="n">
        <f aca="false">M339+N339+O339</f>
        <v>0.364908</v>
      </c>
      <c r="T339" s="47" t="n">
        <f aca="false">M339+P339</f>
        <v>0.6044609</v>
      </c>
    </row>
    <row r="340" customFormat="false" ht="15" hidden="false" customHeight="false" outlineLevel="0" collapsed="false">
      <c r="A340" s="42" t="s">
        <v>44</v>
      </c>
      <c r="B340" s="42" t="n">
        <v>-14</v>
      </c>
      <c r="C340" s="42" t="n">
        <v>39</v>
      </c>
      <c r="D340" s="42" t="n">
        <v>74270954</v>
      </c>
      <c r="E340" s="43" t="n">
        <v>0.862106041781445</v>
      </c>
      <c r="F340" s="43" t="n">
        <v>0.957758080699623</v>
      </c>
      <c r="G340" s="43" t="n">
        <v>0.937955424743332</v>
      </c>
      <c r="H340" s="43" t="n">
        <v>0.952911232467462</v>
      </c>
      <c r="I340" s="42" t="n">
        <v>1</v>
      </c>
      <c r="J340" s="42" t="n">
        <v>1</v>
      </c>
      <c r="K340" s="44" t="str">
        <f aca="false">IF(AND(I340=1,J340=1),"两者都跟住",IF(AND(I340=0,J340=1),"仅 PC-TBD 跟住",IF(AND(I340=1,J340=0),"仅 VIT-LPS 跟住","都没跟住")))</f>
        <v>两者都跟住</v>
      </c>
      <c r="L340" s="45" t="n">
        <f aca="false">F340-G340</f>
        <v>0.0198026559562909</v>
      </c>
      <c r="M340" s="46" t="n">
        <v>0.1705686</v>
      </c>
      <c r="N340" s="46" t="n">
        <v>0.088846</v>
      </c>
      <c r="O340" s="46" t="n">
        <v>0.1220553</v>
      </c>
      <c r="P340" s="46" t="n">
        <v>0.4897021</v>
      </c>
      <c r="Q340" s="46" t="n">
        <v>1.7294844</v>
      </c>
      <c r="R340" s="46" t="n">
        <v>1.6192726</v>
      </c>
      <c r="S340" s="47" t="n">
        <f aca="false">M340+N340+O340</f>
        <v>0.3814699</v>
      </c>
      <c r="T340" s="47" t="n">
        <f aca="false">M340+P340</f>
        <v>0.6602707</v>
      </c>
    </row>
    <row r="341" customFormat="false" ht="15" hidden="false" customHeight="false" outlineLevel="0" collapsed="false">
      <c r="A341" s="42" t="s">
        <v>44</v>
      </c>
      <c r="B341" s="42" t="n">
        <v>-14</v>
      </c>
      <c r="C341" s="42" t="n">
        <v>40</v>
      </c>
      <c r="D341" s="42" t="n">
        <v>74270955</v>
      </c>
      <c r="E341" s="43" t="n">
        <v>0.922939261408523</v>
      </c>
      <c r="F341" s="43" t="n">
        <v>0.958185189841138</v>
      </c>
      <c r="G341" s="43" t="n">
        <v>0.960260208418347</v>
      </c>
      <c r="H341" s="43" t="n">
        <v>0.957433831204255</v>
      </c>
      <c r="I341" s="42" t="n">
        <v>1</v>
      </c>
      <c r="J341" s="42" t="n">
        <v>1</v>
      </c>
      <c r="K341" s="44" t="str">
        <f aca="false">IF(AND(I341=1,J341=1),"两者都跟住",IF(AND(I341=0,J341=1),"仅 PC-TBD 跟住",IF(AND(I341=1,J341=0),"仅 VIT-LPS 跟住","都没跟住")))</f>
        <v>两者都跟住</v>
      </c>
      <c r="L341" s="45" t="n">
        <f aca="false">F341-G341</f>
        <v>-0.00207501857720904</v>
      </c>
      <c r="M341" s="46" t="n">
        <v>0.1379338</v>
      </c>
      <c r="N341" s="46" t="n">
        <v>0.0853645</v>
      </c>
      <c r="O341" s="46" t="n">
        <v>0.1590663</v>
      </c>
      <c r="P341" s="46" t="n">
        <v>0.419192</v>
      </c>
      <c r="Q341" s="46" t="n">
        <v>1.2869619</v>
      </c>
      <c r="R341" s="46" t="n">
        <v>1.3476981</v>
      </c>
      <c r="S341" s="47" t="n">
        <f aca="false">M341+N341+O341</f>
        <v>0.3823646</v>
      </c>
      <c r="T341" s="47" t="n">
        <f aca="false">M341+P341</f>
        <v>0.5571258</v>
      </c>
    </row>
    <row r="342" customFormat="false" ht="15" hidden="false" customHeight="false" outlineLevel="0" collapsed="false">
      <c r="A342" s="42" t="s">
        <v>44</v>
      </c>
      <c r="B342" s="42" t="n">
        <v>-14</v>
      </c>
      <c r="C342" s="42" t="n">
        <v>41</v>
      </c>
      <c r="D342" s="42" t="n">
        <v>74270956</v>
      </c>
      <c r="E342" s="43" t="n">
        <v>0.894539117255025</v>
      </c>
      <c r="F342" s="43" t="n">
        <v>0.951356535925228</v>
      </c>
      <c r="G342" s="43" t="n">
        <v>0.94441043434249</v>
      </c>
      <c r="H342" s="43" t="n">
        <v>0.942689446241405</v>
      </c>
      <c r="I342" s="42" t="n">
        <v>1</v>
      </c>
      <c r="J342" s="42" t="n">
        <v>1</v>
      </c>
      <c r="K342" s="44" t="str">
        <f aca="false">IF(AND(I342=1,J342=1),"两者都跟住",IF(AND(I342=0,J342=1),"仅 PC-TBD 跟住",IF(AND(I342=1,J342=0),"仅 VIT-LPS 跟住","都没跟住")))</f>
        <v>两者都跟住</v>
      </c>
      <c r="L342" s="45" t="n">
        <f aca="false">F342-G342</f>
        <v>0.00694610158273801</v>
      </c>
      <c r="M342" s="46" t="n">
        <v>0.2037247</v>
      </c>
      <c r="N342" s="46" t="n">
        <v>0.1431295</v>
      </c>
      <c r="O342" s="46" t="n">
        <v>0.1975325</v>
      </c>
      <c r="P342" s="46" t="n">
        <v>0.6597235</v>
      </c>
      <c r="Q342" s="46" t="n">
        <v>2.6043696</v>
      </c>
      <c r="R342" s="46" t="n">
        <v>2.487877</v>
      </c>
      <c r="S342" s="47" t="n">
        <f aca="false">M342+N342+O342</f>
        <v>0.5443867</v>
      </c>
      <c r="T342" s="47" t="n">
        <f aca="false">M342+P342</f>
        <v>0.8634482</v>
      </c>
    </row>
    <row r="343" customFormat="false" ht="15" hidden="false" customHeight="false" outlineLevel="0" collapsed="false">
      <c r="A343" s="42" t="s">
        <v>44</v>
      </c>
      <c r="B343" s="42" t="n">
        <v>-14</v>
      </c>
      <c r="C343" s="42" t="n">
        <v>42</v>
      </c>
      <c r="D343" s="42" t="n">
        <v>74270957</v>
      </c>
      <c r="E343" s="43" t="n">
        <v>0.895853060534128</v>
      </c>
      <c r="F343" s="43" t="n">
        <v>0.959120698856598</v>
      </c>
      <c r="G343" s="43" t="n">
        <v>0.954380804115693</v>
      </c>
      <c r="H343" s="43" t="n">
        <v>0.954282820047566</v>
      </c>
      <c r="I343" s="42" t="n">
        <v>1</v>
      </c>
      <c r="J343" s="42" t="n">
        <v>1</v>
      </c>
      <c r="K343" s="44" t="str">
        <f aca="false">IF(AND(I343=1,J343=1),"两者都跟住",IF(AND(I343=0,J343=1),"仅 PC-TBD 跟住",IF(AND(I343=1,J343=0),"仅 VIT-LPS 跟住","都没跟住")))</f>
        <v>两者都跟住</v>
      </c>
      <c r="L343" s="45" t="n">
        <f aca="false">F343-G343</f>
        <v>0.00473989474090497</v>
      </c>
      <c r="M343" s="46" t="n">
        <v>0.2291679</v>
      </c>
      <c r="N343" s="46" t="n">
        <v>0.1019418</v>
      </c>
      <c r="O343" s="46" t="n">
        <v>0.2147405</v>
      </c>
      <c r="P343" s="46" t="n">
        <v>0.6352311</v>
      </c>
      <c r="Q343" s="46" t="n">
        <v>2.0822384</v>
      </c>
      <c r="R343" s="46" t="n">
        <v>1.9634049</v>
      </c>
      <c r="S343" s="47" t="n">
        <f aca="false">M343+N343+O343</f>
        <v>0.5458502</v>
      </c>
      <c r="T343" s="47" t="n">
        <f aca="false">M343+P343</f>
        <v>0.864399</v>
      </c>
    </row>
    <row r="344" customFormat="false" ht="15" hidden="false" customHeight="false" outlineLevel="0" collapsed="false">
      <c r="A344" s="42" t="s">
        <v>44</v>
      </c>
      <c r="B344" s="42" t="n">
        <v>-14</v>
      </c>
      <c r="C344" s="42" t="n">
        <v>43</v>
      </c>
      <c r="D344" s="42" t="n">
        <v>74270958</v>
      </c>
      <c r="E344" s="43" t="n">
        <v>0.910980044763934</v>
      </c>
      <c r="F344" s="43" t="n">
        <v>0.950021458168087</v>
      </c>
      <c r="G344" s="43" t="n">
        <v>0.930238158622641</v>
      </c>
      <c r="H344" s="43" t="n">
        <v>0.944592737995049</v>
      </c>
      <c r="I344" s="42" t="n">
        <v>1</v>
      </c>
      <c r="J344" s="42" t="n">
        <v>1</v>
      </c>
      <c r="K344" s="44" t="str">
        <f aca="false">IF(AND(I344=1,J344=1),"两者都跟住",IF(AND(I344=0,J344=1),"仅 PC-TBD 跟住",IF(AND(I344=1,J344=0),"仅 VIT-LPS 跟住","都没跟住")))</f>
        <v>两者都跟住</v>
      </c>
      <c r="L344" s="45" t="n">
        <f aca="false">F344-G344</f>
        <v>0.019783299545446</v>
      </c>
      <c r="M344" s="46" t="n">
        <v>0.2076017</v>
      </c>
      <c r="N344" s="46" t="n">
        <v>0.1138468</v>
      </c>
      <c r="O344" s="46" t="n">
        <v>0.2050554</v>
      </c>
      <c r="P344" s="46" t="n">
        <v>0.6649164</v>
      </c>
      <c r="Q344" s="46" t="n">
        <v>2.4356974</v>
      </c>
      <c r="R344" s="46" t="n">
        <v>1.8206416</v>
      </c>
      <c r="S344" s="47" t="n">
        <f aca="false">M344+N344+O344</f>
        <v>0.5265039</v>
      </c>
      <c r="T344" s="47" t="n">
        <f aca="false">M344+P344</f>
        <v>0.8725181</v>
      </c>
    </row>
    <row r="345" customFormat="false" ht="15" hidden="false" customHeight="false" outlineLevel="0" collapsed="false">
      <c r="A345" s="42" t="s">
        <v>44</v>
      </c>
      <c r="B345" s="42" t="n">
        <v>-14</v>
      </c>
      <c r="C345" s="42" t="n">
        <v>44</v>
      </c>
      <c r="D345" s="42" t="n">
        <v>74270959</v>
      </c>
      <c r="E345" s="43" t="n">
        <v>0.930865800285677</v>
      </c>
      <c r="F345" s="43" t="n">
        <v>0.958163045571505</v>
      </c>
      <c r="G345" s="43" t="n">
        <v>0.972209089174935</v>
      </c>
      <c r="H345" s="43" t="n">
        <v>0.962672266821073</v>
      </c>
      <c r="I345" s="42" t="n">
        <v>1</v>
      </c>
      <c r="J345" s="42" t="n">
        <v>1</v>
      </c>
      <c r="K345" s="44" t="str">
        <f aca="false">IF(AND(I345=1,J345=1),"两者都跟住",IF(AND(I345=0,J345=1),"仅 PC-TBD 跟住",IF(AND(I345=1,J345=0),"仅 VIT-LPS 跟住","都没跟住")))</f>
        <v>两者都跟住</v>
      </c>
      <c r="L345" s="45" t="n">
        <f aca="false">F345-G345</f>
        <v>-0.01404604360343</v>
      </c>
      <c r="M345" s="46" t="n">
        <v>0.2378613</v>
      </c>
      <c r="N345" s="46" t="n">
        <v>0.1374261</v>
      </c>
      <c r="O345" s="46" t="n">
        <v>0.2313909</v>
      </c>
      <c r="P345" s="46" t="n">
        <v>0.659386</v>
      </c>
      <c r="Q345" s="46" t="n">
        <v>2.652767</v>
      </c>
      <c r="R345" s="46" t="n">
        <v>2.4039217</v>
      </c>
      <c r="S345" s="47" t="n">
        <f aca="false">M345+N345+O345</f>
        <v>0.6066783</v>
      </c>
      <c r="T345" s="47" t="n">
        <f aca="false">M345+P345</f>
        <v>0.8972473</v>
      </c>
    </row>
    <row r="346" customFormat="false" ht="15" hidden="false" customHeight="false" outlineLevel="0" collapsed="false">
      <c r="A346" s="42" t="s">
        <v>44</v>
      </c>
      <c r="B346" s="42" t="n">
        <v>-14</v>
      </c>
      <c r="C346" s="42" t="n">
        <v>45</v>
      </c>
      <c r="D346" s="42" t="n">
        <v>74270960</v>
      </c>
      <c r="E346" s="43" t="n">
        <v>0.896932220574379</v>
      </c>
      <c r="F346" s="43" t="n">
        <v>0.955613617941381</v>
      </c>
      <c r="G346" s="43" t="n">
        <v>0.956082522047427</v>
      </c>
      <c r="H346" s="43" t="n">
        <v>0.952731063577505</v>
      </c>
      <c r="I346" s="42" t="n">
        <v>1</v>
      </c>
      <c r="J346" s="42" t="n">
        <v>1</v>
      </c>
      <c r="K346" s="44" t="str">
        <f aca="false">IF(AND(I346=1,J346=1),"两者都跟住",IF(AND(I346=0,J346=1),"仅 PC-TBD 跟住",IF(AND(I346=1,J346=0),"仅 VIT-LPS 跟住","都没跟住")))</f>
        <v>两者都跟住</v>
      </c>
      <c r="L346" s="45" t="n">
        <f aca="false">F346-G346</f>
        <v>-0.000468904106046053</v>
      </c>
      <c r="M346" s="46" t="n">
        <v>0.2594612</v>
      </c>
      <c r="N346" s="46" t="n">
        <v>0.1445611</v>
      </c>
      <c r="O346" s="46" t="n">
        <v>0.4381954</v>
      </c>
      <c r="P346" s="46" t="n">
        <v>0.6053767</v>
      </c>
      <c r="Q346" s="46" t="n">
        <v>2.4907342</v>
      </c>
      <c r="R346" s="46" t="n">
        <v>2.4930233</v>
      </c>
      <c r="S346" s="47" t="n">
        <f aca="false">M346+N346+O346</f>
        <v>0.8422177</v>
      </c>
      <c r="T346" s="47" t="n">
        <f aca="false">M346+P346</f>
        <v>0.8648379</v>
      </c>
    </row>
    <row r="347" customFormat="false" ht="15" hidden="false" customHeight="false" outlineLevel="0" collapsed="false">
      <c r="A347" s="42" t="s">
        <v>44</v>
      </c>
      <c r="B347" s="42" t="n">
        <v>-14</v>
      </c>
      <c r="C347" s="42" t="n">
        <v>46</v>
      </c>
      <c r="D347" s="42" t="n">
        <v>74270961</v>
      </c>
      <c r="E347" s="43" t="n">
        <v>0.637343170026961</v>
      </c>
      <c r="F347" s="43" t="n">
        <v>0.953423993943823</v>
      </c>
      <c r="G347" s="43" t="n">
        <v>0.941384675191671</v>
      </c>
      <c r="H347" s="43" t="n">
        <v>0.944273324627078</v>
      </c>
      <c r="I347" s="42" t="n">
        <v>1</v>
      </c>
      <c r="J347" s="42" t="n">
        <v>1</v>
      </c>
      <c r="K347" s="44" t="str">
        <f aca="false">IF(AND(I347=1,J347=1),"两者都跟住",IF(AND(I347=0,J347=1),"仅 PC-TBD 跟住",IF(AND(I347=1,J347=0),"仅 VIT-LPS 跟住","都没跟住")))</f>
        <v>两者都跟住</v>
      </c>
      <c r="L347" s="45" t="n">
        <f aca="false">F347-G347</f>
        <v>0.012039318752152</v>
      </c>
      <c r="M347" s="46" t="n">
        <v>0.263004</v>
      </c>
      <c r="N347" s="46" t="n">
        <v>0.1060394</v>
      </c>
      <c r="O347" s="46" t="n">
        <v>0.4491128</v>
      </c>
      <c r="P347" s="46" t="n">
        <v>0.5741247</v>
      </c>
      <c r="Q347" s="46" t="n">
        <v>2.1576402</v>
      </c>
      <c r="R347" s="46" t="n">
        <v>1.8017398</v>
      </c>
      <c r="S347" s="47" t="n">
        <f aca="false">M347+N347+O347</f>
        <v>0.8181562</v>
      </c>
      <c r="T347" s="47" t="n">
        <f aca="false">M347+P347</f>
        <v>0.8371287</v>
      </c>
    </row>
    <row r="348" customFormat="false" ht="15" hidden="false" customHeight="false" outlineLevel="0" collapsed="false">
      <c r="A348" s="42" t="s">
        <v>44</v>
      </c>
      <c r="B348" s="42" t="n">
        <v>-14</v>
      </c>
      <c r="C348" s="42" t="n">
        <v>47</v>
      </c>
      <c r="D348" s="42" t="n">
        <v>74270962</v>
      </c>
      <c r="E348" s="43" t="n">
        <v>0.89343017744948</v>
      </c>
      <c r="F348" s="43" t="n">
        <v>0.957617636108615</v>
      </c>
      <c r="G348" s="43" t="n">
        <v>0.952144039592192</v>
      </c>
      <c r="H348" s="43" t="n">
        <v>0.953255164971939</v>
      </c>
      <c r="I348" s="42" t="n">
        <v>1</v>
      </c>
      <c r="J348" s="42" t="n">
        <v>1</v>
      </c>
      <c r="K348" s="44" t="str">
        <f aca="false">IF(AND(I348=1,J348=1),"两者都跟住",IF(AND(I348=0,J348=1),"仅 PC-TBD 跟住",IF(AND(I348=1,J348=0),"仅 VIT-LPS 跟住","都没跟住")))</f>
        <v>两者都跟住</v>
      </c>
      <c r="L348" s="45" t="n">
        <f aca="false">F348-G348</f>
        <v>0.00547359651642299</v>
      </c>
      <c r="M348" s="46" t="n">
        <v>0.1459393</v>
      </c>
      <c r="N348" s="46" t="n">
        <v>0.0896628</v>
      </c>
      <c r="O348" s="46" t="n">
        <v>0.1369857</v>
      </c>
      <c r="P348" s="46" t="n">
        <v>0.4201011</v>
      </c>
      <c r="Q348" s="46" t="n">
        <v>1.4000164</v>
      </c>
      <c r="R348" s="46" t="n">
        <v>1.3772063</v>
      </c>
      <c r="S348" s="47" t="n">
        <f aca="false">M348+N348+O348</f>
        <v>0.3725878</v>
      </c>
      <c r="T348" s="47" t="n">
        <f aca="false">M348+P348</f>
        <v>0.5660404</v>
      </c>
    </row>
    <row r="349" customFormat="false" ht="15" hidden="false" customHeight="false" outlineLevel="0" collapsed="false">
      <c r="A349" s="42" t="s">
        <v>44</v>
      </c>
      <c r="B349" s="42" t="n">
        <v>-14</v>
      </c>
      <c r="C349" s="42" t="n">
        <v>48</v>
      </c>
      <c r="D349" s="42" t="n">
        <v>74270963</v>
      </c>
      <c r="E349" s="43" t="n">
        <v>0.969427600686553</v>
      </c>
      <c r="F349" s="43" t="n">
        <v>0.967381369328944</v>
      </c>
      <c r="G349" s="43" t="n">
        <v>0.968776037575037</v>
      </c>
      <c r="H349" s="43" t="n">
        <v>0.964444200145187</v>
      </c>
      <c r="I349" s="42" t="n">
        <v>1</v>
      </c>
      <c r="J349" s="42" t="n">
        <v>1</v>
      </c>
      <c r="K349" s="44" t="str">
        <f aca="false">IF(AND(I349=1,J349=1),"两者都跟住",IF(AND(I349=0,J349=1),"仅 PC-TBD 跟住",IF(AND(I349=1,J349=0),"仅 VIT-LPS 跟住","都没跟住")))</f>
        <v>两者都跟住</v>
      </c>
      <c r="L349" s="45" t="n">
        <f aca="false">F349-G349</f>
        <v>-0.00139466824609302</v>
      </c>
      <c r="M349" s="46" t="n">
        <v>0.1338423</v>
      </c>
      <c r="N349" s="46" t="n">
        <v>0.0751059</v>
      </c>
      <c r="O349" s="46" t="n">
        <v>0.1044228</v>
      </c>
      <c r="P349" s="46" t="n">
        <v>0.3785768</v>
      </c>
      <c r="Q349" s="46" t="n">
        <v>1.7697814</v>
      </c>
      <c r="R349" s="46" t="n">
        <v>1.7184681</v>
      </c>
      <c r="S349" s="47" t="n">
        <f aca="false">M349+N349+O349</f>
        <v>0.313371</v>
      </c>
      <c r="T349" s="47" t="n">
        <f aca="false">M349+P349</f>
        <v>0.5124191</v>
      </c>
    </row>
    <row r="350" customFormat="false" ht="15" hidden="false" customHeight="false" outlineLevel="0" collapsed="false">
      <c r="A350" s="42" t="s">
        <v>44</v>
      </c>
      <c r="B350" s="42" t="n">
        <v>-14</v>
      </c>
      <c r="C350" s="42" t="n">
        <v>49</v>
      </c>
      <c r="D350" s="42" t="n">
        <v>74270964</v>
      </c>
      <c r="E350" s="43" t="n">
        <v>0.911229610139822</v>
      </c>
      <c r="F350" s="43" t="n">
        <v>0.94673706396175</v>
      </c>
      <c r="G350" s="43" t="n">
        <v>0.946142406118849</v>
      </c>
      <c r="H350" s="43" t="n">
        <v>0.945147666144615</v>
      </c>
      <c r="I350" s="42" t="n">
        <v>1</v>
      </c>
      <c r="J350" s="42" t="n">
        <v>1</v>
      </c>
      <c r="K350" s="44" t="str">
        <f aca="false">IF(AND(I350=1,J350=1),"两者都跟住",IF(AND(I350=0,J350=1),"仅 PC-TBD 跟住",IF(AND(I350=1,J350=0),"仅 VIT-LPS 跟住","都没跟住")))</f>
        <v>两者都跟住</v>
      </c>
      <c r="L350" s="45" t="n">
        <f aca="false">F350-G350</f>
        <v>0.000594657842900914</v>
      </c>
      <c r="M350" s="46" t="n">
        <v>0.16684</v>
      </c>
      <c r="N350" s="46" t="n">
        <v>0.0820286</v>
      </c>
      <c r="O350" s="46" t="n">
        <v>0.158497</v>
      </c>
      <c r="P350" s="46" t="n">
        <v>0.4786374</v>
      </c>
      <c r="Q350" s="46" t="n">
        <v>1.8206847</v>
      </c>
      <c r="R350" s="46" t="n">
        <v>1.5186166</v>
      </c>
      <c r="S350" s="47" t="n">
        <f aca="false">M350+N350+O350</f>
        <v>0.4073656</v>
      </c>
      <c r="T350" s="47" t="n">
        <f aca="false">M350+P350</f>
        <v>0.6454774</v>
      </c>
    </row>
    <row r="351" customFormat="false" ht="15" hidden="false" customHeight="false" outlineLevel="0" collapsed="false">
      <c r="A351" s="42" t="s">
        <v>44</v>
      </c>
      <c r="B351" s="42" t="n">
        <v>-14</v>
      </c>
      <c r="C351" s="42" t="n">
        <v>50</v>
      </c>
      <c r="D351" s="42" t="n">
        <v>74270965</v>
      </c>
      <c r="E351" s="43" t="n">
        <v>0.673146816043868</v>
      </c>
      <c r="F351" s="43" t="n">
        <v>0.93003094661226</v>
      </c>
      <c r="G351" s="43" t="n">
        <v>0.854829214427249</v>
      </c>
      <c r="H351" s="43" t="n">
        <v>0.853741401114675</v>
      </c>
      <c r="I351" s="42" t="n">
        <v>1</v>
      </c>
      <c r="J351" s="42" t="n">
        <v>1</v>
      </c>
      <c r="K351" s="44" t="str">
        <f aca="false">IF(AND(I351=1,J351=1),"两者都跟住",IF(AND(I351=0,J351=1),"仅 PC-TBD 跟住",IF(AND(I351=1,J351=0),"仅 VIT-LPS 跟住","都没跟住")))</f>
        <v>两者都跟住</v>
      </c>
      <c r="L351" s="45" t="n">
        <f aca="false">F351-G351</f>
        <v>0.075201732185011</v>
      </c>
      <c r="M351" s="46" t="n">
        <v>0.1347128</v>
      </c>
      <c r="N351" s="46" t="n">
        <v>0.094701</v>
      </c>
      <c r="O351" s="46" t="n">
        <v>0.1545387</v>
      </c>
      <c r="P351" s="46" t="n">
        <v>0.4230293</v>
      </c>
      <c r="Q351" s="46" t="n">
        <v>1.9081278</v>
      </c>
      <c r="R351" s="46" t="n">
        <v>1.6805875</v>
      </c>
      <c r="S351" s="47" t="n">
        <f aca="false">M351+N351+O351</f>
        <v>0.3839525</v>
      </c>
      <c r="T351" s="47" t="n">
        <f aca="false">M351+P351</f>
        <v>0.5577421</v>
      </c>
    </row>
    <row r="352" customFormat="false" ht="15" hidden="false" customHeight="false" outlineLevel="0" collapsed="false">
      <c r="A352" s="42" t="s">
        <v>44</v>
      </c>
      <c r="B352" s="42" t="n">
        <v>-14</v>
      </c>
      <c r="C352" s="42" t="n">
        <v>51</v>
      </c>
      <c r="D352" s="42" t="n">
        <v>74270966</v>
      </c>
      <c r="E352" s="43" t="n">
        <v>0.943176168509362</v>
      </c>
      <c r="F352" s="43" t="n">
        <v>0.97215793328192</v>
      </c>
      <c r="G352" s="43" t="n">
        <v>0.955995799278194</v>
      </c>
      <c r="H352" s="43" t="n">
        <v>0.967257253933082</v>
      </c>
      <c r="I352" s="42" t="n">
        <v>1</v>
      </c>
      <c r="J352" s="42" t="n">
        <v>1</v>
      </c>
      <c r="K352" s="44" t="str">
        <f aca="false">IF(AND(I352=1,J352=1),"两者都跟住",IF(AND(I352=0,J352=1),"仅 PC-TBD 跟住",IF(AND(I352=1,J352=0),"仅 VIT-LPS 跟住","都没跟住")))</f>
        <v>两者都跟住</v>
      </c>
      <c r="L352" s="45" t="n">
        <f aca="false">F352-G352</f>
        <v>0.016162134003726</v>
      </c>
      <c r="M352" s="46" t="n">
        <v>0.2971621</v>
      </c>
      <c r="N352" s="46" t="n">
        <v>0.1355223</v>
      </c>
      <c r="O352" s="46" t="n">
        <v>0.2100744</v>
      </c>
      <c r="P352" s="46" t="n">
        <v>0.5956795</v>
      </c>
      <c r="Q352" s="46" t="n">
        <v>2.4270353</v>
      </c>
      <c r="R352" s="46" t="n">
        <v>2.5721192</v>
      </c>
      <c r="S352" s="47" t="n">
        <f aca="false">M352+N352+O352</f>
        <v>0.6427588</v>
      </c>
      <c r="T352" s="47" t="n">
        <f aca="false">M352+P352</f>
        <v>0.8928416</v>
      </c>
    </row>
    <row r="353" customFormat="false" ht="15" hidden="false" customHeight="false" outlineLevel="0" collapsed="false">
      <c r="A353" s="42" t="s">
        <v>44</v>
      </c>
      <c r="B353" s="42" t="n">
        <v>-14</v>
      </c>
      <c r="C353" s="42" t="n">
        <v>52</v>
      </c>
      <c r="D353" s="42" t="n">
        <v>74270967</v>
      </c>
      <c r="E353" s="43" t="n">
        <v>0.938414416151051</v>
      </c>
      <c r="F353" s="43" t="n">
        <v>0.96397551352331</v>
      </c>
      <c r="G353" s="43" t="n">
        <v>0.95733686572058</v>
      </c>
      <c r="H353" s="43" t="n">
        <v>0.963650697083721</v>
      </c>
      <c r="I353" s="42" t="n">
        <v>1</v>
      </c>
      <c r="J353" s="42" t="n">
        <v>1</v>
      </c>
      <c r="K353" s="44" t="str">
        <f aca="false">IF(AND(I353=1,J353=1),"两者都跟住",IF(AND(I353=0,J353=1),"仅 PC-TBD 跟住",IF(AND(I353=1,J353=0),"仅 VIT-LPS 跟住","都没跟住")))</f>
        <v>两者都跟住</v>
      </c>
      <c r="L353" s="45" t="n">
        <f aca="false">F353-G353</f>
        <v>0.00663864780273005</v>
      </c>
      <c r="M353" s="46" t="n">
        <v>0.2955387</v>
      </c>
      <c r="N353" s="46" t="n">
        <v>0.1039857</v>
      </c>
      <c r="O353" s="46" t="n">
        <v>0.1837753</v>
      </c>
      <c r="P353" s="46" t="n">
        <v>0.5764671</v>
      </c>
      <c r="Q353" s="46" t="n">
        <v>2.338523</v>
      </c>
      <c r="R353" s="46" t="n">
        <v>1.8837792</v>
      </c>
      <c r="S353" s="47" t="n">
        <f aca="false">M353+N353+O353</f>
        <v>0.5832997</v>
      </c>
      <c r="T353" s="47" t="n">
        <f aca="false">M353+P353</f>
        <v>0.8720058</v>
      </c>
    </row>
    <row r="354" customFormat="false" ht="15" hidden="false" customHeight="false" outlineLevel="0" collapsed="false">
      <c r="A354" s="42" t="s">
        <v>44</v>
      </c>
      <c r="B354" s="42" t="n">
        <v>-14</v>
      </c>
      <c r="C354" s="42" t="n">
        <v>53</v>
      </c>
      <c r="D354" s="42" t="n">
        <v>74270968</v>
      </c>
      <c r="E354" s="43" t="n">
        <v>0.929940126187656</v>
      </c>
      <c r="F354" s="43" t="n">
        <v>0.973574911442811</v>
      </c>
      <c r="G354" s="43" t="n">
        <v>0.96620898275004</v>
      </c>
      <c r="H354" s="43" t="n">
        <v>0.972613349052231</v>
      </c>
      <c r="I354" s="42" t="n">
        <v>1</v>
      </c>
      <c r="J354" s="42" t="n">
        <v>1</v>
      </c>
      <c r="K354" s="44" t="str">
        <f aca="false">IF(AND(I354=1,J354=1),"两者都跟住",IF(AND(I354=0,J354=1),"仅 PC-TBD 跟住",IF(AND(I354=1,J354=0),"仅 VIT-LPS 跟住","都没跟住")))</f>
        <v>两者都跟住</v>
      </c>
      <c r="L354" s="45" t="n">
        <f aca="false">F354-G354</f>
        <v>0.00736592869277108</v>
      </c>
      <c r="M354" s="46" t="n">
        <v>0.270149</v>
      </c>
      <c r="N354" s="46" t="n">
        <v>0.1348291</v>
      </c>
      <c r="O354" s="46" t="n">
        <v>0.1908286</v>
      </c>
      <c r="P354" s="46" t="n">
        <v>0.5267249</v>
      </c>
      <c r="Q354" s="46" t="n">
        <v>2.2015742</v>
      </c>
      <c r="R354" s="46" t="n">
        <v>2.2980264</v>
      </c>
      <c r="S354" s="47" t="n">
        <f aca="false">M354+N354+O354</f>
        <v>0.5958067</v>
      </c>
      <c r="T354" s="47" t="n">
        <f aca="false">M354+P354</f>
        <v>0.7968739</v>
      </c>
    </row>
    <row r="355" customFormat="false" ht="15" hidden="false" customHeight="false" outlineLevel="0" collapsed="false">
      <c r="A355" s="42" t="s">
        <v>44</v>
      </c>
      <c r="B355" s="42" t="n">
        <v>-14</v>
      </c>
      <c r="C355" s="42" t="n">
        <v>54</v>
      </c>
      <c r="D355" s="42" t="n">
        <v>74270969</v>
      </c>
      <c r="E355" s="43" t="n">
        <v>0.889127569189223</v>
      </c>
      <c r="F355" s="43" t="n">
        <v>0.974972575061377</v>
      </c>
      <c r="G355" s="43" t="n">
        <v>0.962107522416939</v>
      </c>
      <c r="H355" s="43" t="n">
        <v>0.97103687021575</v>
      </c>
      <c r="I355" s="42" t="n">
        <v>1</v>
      </c>
      <c r="J355" s="42" t="n">
        <v>1</v>
      </c>
      <c r="K355" s="44" t="str">
        <f aca="false">IF(AND(I355=1,J355=1),"两者都跟住",IF(AND(I355=0,J355=1),"仅 PC-TBD 跟住",IF(AND(I355=1,J355=0),"仅 VIT-LPS 跟住","都没跟住")))</f>
        <v>两者都跟住</v>
      </c>
      <c r="L355" s="45" t="n">
        <f aca="false">F355-G355</f>
        <v>0.012865052644438</v>
      </c>
      <c r="M355" s="46" t="n">
        <v>0.2498364</v>
      </c>
      <c r="N355" s="46" t="n">
        <v>0.1221224</v>
      </c>
      <c r="O355" s="46" t="n">
        <v>0.223133</v>
      </c>
      <c r="P355" s="46" t="n">
        <v>0.5211433</v>
      </c>
      <c r="Q355" s="46" t="n">
        <v>2.3584283</v>
      </c>
      <c r="R355" s="46" t="n">
        <v>2.4767502</v>
      </c>
      <c r="S355" s="47" t="n">
        <f aca="false">M355+N355+O355</f>
        <v>0.5950918</v>
      </c>
      <c r="T355" s="47" t="n">
        <f aca="false">M355+P355</f>
        <v>0.7709797</v>
      </c>
    </row>
    <row r="356" customFormat="false" ht="15" hidden="false" customHeight="false" outlineLevel="0" collapsed="false">
      <c r="A356" s="42" t="s">
        <v>44</v>
      </c>
      <c r="B356" s="42" t="n">
        <v>-14</v>
      </c>
      <c r="C356" s="42" t="n">
        <v>55</v>
      </c>
      <c r="D356" s="42" t="n">
        <v>74270970</v>
      </c>
      <c r="E356" s="43" t="n">
        <v>0.855076239471077</v>
      </c>
      <c r="F356" s="43" t="n">
        <v>0.954601655545005</v>
      </c>
      <c r="G356" s="43" t="n">
        <v>0.844650052306992</v>
      </c>
      <c r="H356" s="43" t="n">
        <v>0.849850092991817</v>
      </c>
      <c r="I356" s="42" t="n">
        <v>1</v>
      </c>
      <c r="J356" s="42" t="n">
        <v>1</v>
      </c>
      <c r="K356" s="44" t="str">
        <f aca="false">IF(AND(I356=1,J356=1),"两者都跟住",IF(AND(I356=0,J356=1),"仅 PC-TBD 跟住",IF(AND(I356=1,J356=0),"仅 VIT-LPS 跟住","都没跟住")))</f>
        <v>两者都跟住</v>
      </c>
      <c r="L356" s="45" t="n">
        <f aca="false">F356-G356</f>
        <v>0.109951603238013</v>
      </c>
      <c r="M356" s="46" t="n">
        <v>0.28232</v>
      </c>
      <c r="N356" s="46" t="n">
        <v>0.1219135</v>
      </c>
      <c r="O356" s="46" t="n">
        <v>0.2111816</v>
      </c>
      <c r="P356" s="46" t="n">
        <v>0.5198991</v>
      </c>
      <c r="Q356" s="46" t="n">
        <v>2.588059</v>
      </c>
      <c r="R356" s="46" t="n">
        <v>2.3613839</v>
      </c>
      <c r="S356" s="47" t="n">
        <f aca="false">M356+N356+O356</f>
        <v>0.6154151</v>
      </c>
      <c r="T356" s="47" t="n">
        <f aca="false">M356+P356</f>
        <v>0.8022191</v>
      </c>
    </row>
    <row r="357" customFormat="false" ht="15" hidden="false" customHeight="false" outlineLevel="0" collapsed="false">
      <c r="A357" s="42" t="s">
        <v>44</v>
      </c>
      <c r="B357" s="42" t="n">
        <v>-14</v>
      </c>
      <c r="C357" s="42" t="n">
        <v>56</v>
      </c>
      <c r="D357" s="42" t="n">
        <v>74270971</v>
      </c>
      <c r="E357" s="43" t="n">
        <v>0.922194173326547</v>
      </c>
      <c r="F357" s="43" t="n">
        <v>0.937022983534979</v>
      </c>
      <c r="G357" s="43" t="n">
        <v>0.941106471410282</v>
      </c>
      <c r="H357" s="43" t="n">
        <v>0.931603843146024</v>
      </c>
      <c r="I357" s="42" t="n">
        <v>1</v>
      </c>
      <c r="J357" s="42" t="n">
        <v>1</v>
      </c>
      <c r="K357" s="44" t="str">
        <f aca="false">IF(AND(I357=1,J357=1),"两者都跟住",IF(AND(I357=0,J357=1),"仅 PC-TBD 跟住",IF(AND(I357=1,J357=0),"仅 VIT-LPS 跟住","都没跟住")))</f>
        <v>两者都跟住</v>
      </c>
      <c r="L357" s="45" t="n">
        <f aca="false">F357-G357</f>
        <v>-0.00408348787530299</v>
      </c>
      <c r="M357" s="46" t="n">
        <v>0.2971009</v>
      </c>
      <c r="N357" s="46" t="n">
        <v>0.122612</v>
      </c>
      <c r="O357" s="46" t="n">
        <v>0.2218475</v>
      </c>
      <c r="P357" s="46" t="n">
        <v>0.6058091</v>
      </c>
      <c r="Q357" s="46" t="n">
        <v>2.3780497</v>
      </c>
      <c r="R357" s="46" t="n">
        <v>1.8419697</v>
      </c>
      <c r="S357" s="47" t="n">
        <f aca="false">M357+N357+O357</f>
        <v>0.6415604</v>
      </c>
      <c r="T357" s="47" t="n">
        <f aca="false">M357+P357</f>
        <v>0.90291</v>
      </c>
    </row>
    <row r="358" customFormat="false" ht="15" hidden="false" customHeight="false" outlineLevel="0" collapsed="false">
      <c r="A358" s="42" t="s">
        <v>44</v>
      </c>
      <c r="B358" s="42" t="n">
        <v>-14</v>
      </c>
      <c r="C358" s="42" t="n">
        <v>57</v>
      </c>
      <c r="D358" s="42" t="n">
        <v>74270972</v>
      </c>
      <c r="E358" s="43" t="n">
        <v>0.873991190796339</v>
      </c>
      <c r="F358" s="43" t="n">
        <v>0.981213217874227</v>
      </c>
      <c r="G358" s="43" t="n">
        <v>0.965599654393772</v>
      </c>
      <c r="H358" s="43" t="n">
        <v>0.964145821490325</v>
      </c>
      <c r="I358" s="42" t="n">
        <v>1</v>
      </c>
      <c r="J358" s="42" t="n">
        <v>1</v>
      </c>
      <c r="K358" s="44" t="str">
        <f aca="false">IF(AND(I358=1,J358=1),"两者都跟住",IF(AND(I358=0,J358=1),"仅 PC-TBD 跟住",IF(AND(I358=1,J358=0),"仅 VIT-LPS 跟住","都没跟住")))</f>
        <v>两者都跟住</v>
      </c>
      <c r="L358" s="45" t="n">
        <f aca="false">F358-G358</f>
        <v>0.015613563480455</v>
      </c>
      <c r="M358" s="46" t="n">
        <v>0.1210124</v>
      </c>
      <c r="N358" s="46" t="n">
        <v>0.0694774</v>
      </c>
      <c r="O358" s="46" t="n">
        <v>0.1483162</v>
      </c>
      <c r="P358" s="46" t="n">
        <v>0.5176034</v>
      </c>
      <c r="Q358" s="46" t="n">
        <v>1.3879268</v>
      </c>
      <c r="R358" s="46" t="n">
        <v>1.5160119</v>
      </c>
      <c r="S358" s="47" t="n">
        <f aca="false">M358+N358+O358</f>
        <v>0.338806</v>
      </c>
      <c r="T358" s="47" t="n">
        <f aca="false">M358+P358</f>
        <v>0.6386158</v>
      </c>
    </row>
    <row r="359" customFormat="false" ht="15" hidden="false" customHeight="false" outlineLevel="0" collapsed="false">
      <c r="A359" s="42" t="s">
        <v>44</v>
      </c>
      <c r="B359" s="42" t="n">
        <v>-14</v>
      </c>
      <c r="C359" s="42" t="n">
        <v>58</v>
      </c>
      <c r="D359" s="42" t="n">
        <v>74270973</v>
      </c>
      <c r="E359" s="43" t="n">
        <v>0.938210573889521</v>
      </c>
      <c r="F359" s="43" t="n">
        <v>0.949258341703991</v>
      </c>
      <c r="G359" s="43" t="n">
        <v>0.949336197591891</v>
      </c>
      <c r="H359" s="43" t="n">
        <v>0.940226054828925</v>
      </c>
      <c r="I359" s="42" t="n">
        <v>1</v>
      </c>
      <c r="J359" s="42" t="n">
        <v>1</v>
      </c>
      <c r="K359" s="44" t="str">
        <f aca="false">IF(AND(I359=1,J359=1),"两者都跟住",IF(AND(I359=0,J359=1),"仅 PC-TBD 跟住",IF(AND(I359=1,J359=0),"仅 VIT-LPS 跟住","都没跟住")))</f>
        <v>两者都跟住</v>
      </c>
      <c r="L359" s="45" t="n">
        <f aca="false">F359-G359</f>
        <v>-7.78558878999913E-005</v>
      </c>
      <c r="M359" s="46" t="n">
        <v>0.1693971</v>
      </c>
      <c r="N359" s="46" t="n">
        <v>0.0870059</v>
      </c>
      <c r="O359" s="46" t="n">
        <v>0.1579854</v>
      </c>
      <c r="P359" s="46" t="n">
        <v>0.4389982</v>
      </c>
      <c r="Q359" s="46" t="n">
        <v>1.7332094</v>
      </c>
      <c r="R359" s="46" t="n">
        <v>1.4832828</v>
      </c>
      <c r="S359" s="47" t="n">
        <f aca="false">M359+N359+O359</f>
        <v>0.4143884</v>
      </c>
      <c r="T359" s="47" t="n">
        <f aca="false">M359+P359</f>
        <v>0.6083953</v>
      </c>
    </row>
    <row r="360" customFormat="false" ht="15" hidden="false" customHeight="false" outlineLevel="0" collapsed="false">
      <c r="A360" s="42" t="s">
        <v>44</v>
      </c>
      <c r="B360" s="42" t="n">
        <v>-14</v>
      </c>
      <c r="C360" s="42" t="n">
        <v>59</v>
      </c>
      <c r="D360" s="42" t="n">
        <v>74270974</v>
      </c>
      <c r="E360" s="43" t="n">
        <v>0.667098597001839</v>
      </c>
      <c r="F360" s="43" t="n">
        <v>0.972828124855598</v>
      </c>
      <c r="G360" s="43" t="n">
        <v>0.9505545279362</v>
      </c>
      <c r="H360" s="43" t="n">
        <v>0.958622829516763</v>
      </c>
      <c r="I360" s="42" t="n">
        <v>1</v>
      </c>
      <c r="J360" s="42" t="n">
        <v>1</v>
      </c>
      <c r="K360" s="44" t="str">
        <f aca="false">IF(AND(I360=1,J360=1),"两者都跟住",IF(AND(I360=0,J360=1),"仅 PC-TBD 跟住",IF(AND(I360=1,J360=0),"仅 VIT-LPS 跟住","都没跟住")))</f>
        <v>两者都跟住</v>
      </c>
      <c r="L360" s="45" t="n">
        <f aca="false">F360-G360</f>
        <v>0.022273596919398</v>
      </c>
      <c r="M360" s="46" t="n">
        <v>0.1450814</v>
      </c>
      <c r="N360" s="46" t="n">
        <v>0.0838261</v>
      </c>
      <c r="O360" s="46" t="n">
        <v>0.1734606</v>
      </c>
      <c r="P360" s="46" t="n">
        <v>0.3809147</v>
      </c>
      <c r="Q360" s="46" t="n">
        <v>1.6952529</v>
      </c>
      <c r="R360" s="46" t="n">
        <v>1.5072608</v>
      </c>
      <c r="S360" s="47" t="n">
        <f aca="false">M360+N360+O360</f>
        <v>0.4023681</v>
      </c>
      <c r="T360" s="47" t="n">
        <f aca="false">M360+P360</f>
        <v>0.5259961</v>
      </c>
    </row>
    <row r="361" customFormat="false" ht="15" hidden="false" customHeight="false" outlineLevel="0" collapsed="false">
      <c r="A361" s="42" t="s">
        <v>44</v>
      </c>
      <c r="B361" s="42" t="n">
        <v>-14</v>
      </c>
      <c r="C361" s="42" t="n">
        <v>60</v>
      </c>
      <c r="D361" s="42" t="n">
        <v>74270975</v>
      </c>
      <c r="E361" s="43" t="n">
        <v>0.903438650514336</v>
      </c>
      <c r="F361" s="43" t="n">
        <v>0.941934435875301</v>
      </c>
      <c r="G361" s="43" t="n">
        <v>0.92763616214615</v>
      </c>
      <c r="H361" s="43" t="n">
        <v>0.939316858875037</v>
      </c>
      <c r="I361" s="42" t="n">
        <v>1</v>
      </c>
      <c r="J361" s="42" t="n">
        <v>1</v>
      </c>
      <c r="K361" s="44" t="str">
        <f aca="false">IF(AND(I361=1,J361=1),"两者都跟住",IF(AND(I361=0,J361=1),"仅 PC-TBD 跟住",IF(AND(I361=1,J361=0),"仅 VIT-LPS 跟住","都没跟住")))</f>
        <v>两者都跟住</v>
      </c>
      <c r="L361" s="45" t="n">
        <f aca="false">F361-G361</f>
        <v>0.014298273729151</v>
      </c>
      <c r="M361" s="46" t="n">
        <v>0.1248085</v>
      </c>
      <c r="N361" s="46" t="n">
        <v>0.0717966</v>
      </c>
      <c r="O361" s="46" t="n">
        <v>0.1624506</v>
      </c>
      <c r="P361" s="46" t="n">
        <v>0.4033193</v>
      </c>
      <c r="Q361" s="46" t="n">
        <v>1.5938096</v>
      </c>
      <c r="R361" s="46" t="n">
        <v>0.9053102</v>
      </c>
      <c r="S361" s="47" t="n">
        <f aca="false">M361+N361+O361</f>
        <v>0.3590557</v>
      </c>
      <c r="T361" s="47" t="n">
        <f aca="false">M361+P361</f>
        <v>0.5281278</v>
      </c>
    </row>
    <row r="362" customFormat="false" ht="15" hidden="false" customHeight="false" outlineLevel="0" collapsed="false">
      <c r="A362" s="42" t="s">
        <v>44</v>
      </c>
      <c r="B362" s="42" t="n">
        <v>-14</v>
      </c>
      <c r="C362" s="42" t="n">
        <v>61</v>
      </c>
      <c r="D362" s="42" t="n">
        <v>74270976</v>
      </c>
      <c r="E362" s="43" t="n">
        <v>0.90794676116698</v>
      </c>
      <c r="F362" s="43" t="n">
        <v>0.96421267101235</v>
      </c>
      <c r="G362" s="43" t="n">
        <v>0.964564416629095</v>
      </c>
      <c r="H362" s="43" t="n">
        <v>0.959888262108786</v>
      </c>
      <c r="I362" s="42" t="n">
        <v>1</v>
      </c>
      <c r="J362" s="42" t="n">
        <v>1</v>
      </c>
      <c r="K362" s="44" t="str">
        <f aca="false">IF(AND(I362=1,J362=1),"两者都跟住",IF(AND(I362=0,J362=1),"仅 PC-TBD 跟住",IF(AND(I362=1,J362=0),"仅 VIT-LPS 跟住","都没跟住")))</f>
        <v>两者都跟住</v>
      </c>
      <c r="L362" s="45" t="n">
        <f aca="false">F362-G362</f>
        <v>-0.000351745616745003</v>
      </c>
      <c r="M362" s="46" t="n">
        <v>0.2104409</v>
      </c>
      <c r="N362" s="46" t="n">
        <v>0.1500912</v>
      </c>
      <c r="O362" s="46" t="n">
        <v>0.1780083</v>
      </c>
      <c r="P362" s="46" t="n">
        <v>0.5714583</v>
      </c>
      <c r="Q362" s="46" t="n">
        <v>2.1937229</v>
      </c>
      <c r="R362" s="46" t="n">
        <v>2.2161921</v>
      </c>
      <c r="S362" s="47" t="n">
        <f aca="false">M362+N362+O362</f>
        <v>0.5385404</v>
      </c>
      <c r="T362" s="47" t="n">
        <f aca="false">M362+P362</f>
        <v>0.7818992</v>
      </c>
    </row>
    <row r="363" customFormat="false" ht="15" hidden="false" customHeight="false" outlineLevel="0" collapsed="false">
      <c r="A363" s="42" t="s">
        <v>44</v>
      </c>
      <c r="B363" s="42" t="n">
        <v>-14</v>
      </c>
      <c r="C363" s="42" t="n">
        <v>62</v>
      </c>
      <c r="D363" s="42" t="n">
        <v>74270977</v>
      </c>
      <c r="E363" s="43" t="n">
        <v>0.901173074161942</v>
      </c>
      <c r="F363" s="43" t="n">
        <v>0.952478594808825</v>
      </c>
      <c r="G363" s="43" t="n">
        <v>0.953623208441183</v>
      </c>
      <c r="H363" s="43" t="n">
        <v>0.950572430645614</v>
      </c>
      <c r="I363" s="42" t="n">
        <v>1</v>
      </c>
      <c r="J363" s="42" t="n">
        <v>1</v>
      </c>
      <c r="K363" s="44" t="str">
        <f aca="false">IF(AND(I363=1,J363=1),"两者都跟住",IF(AND(I363=0,J363=1),"仅 PC-TBD 跟住",IF(AND(I363=1,J363=0),"仅 VIT-LPS 跟住","都没跟住")))</f>
        <v>两者都跟住</v>
      </c>
      <c r="L363" s="45" t="n">
        <f aca="false">F363-G363</f>
        <v>-0.00114461363235796</v>
      </c>
      <c r="M363" s="46" t="n">
        <v>0.2358476</v>
      </c>
      <c r="N363" s="46" t="n">
        <v>0.1249359</v>
      </c>
      <c r="O363" s="46" t="n">
        <v>0.2013539</v>
      </c>
      <c r="P363" s="46" t="n">
        <v>0.5825933</v>
      </c>
      <c r="Q363" s="46" t="n">
        <v>2.3552778</v>
      </c>
      <c r="R363" s="46" t="n">
        <v>2.187034</v>
      </c>
      <c r="S363" s="47" t="n">
        <f aca="false">M363+N363+O363</f>
        <v>0.5621374</v>
      </c>
      <c r="T363" s="47" t="n">
        <f aca="false">M363+P363</f>
        <v>0.8184409</v>
      </c>
    </row>
    <row r="364" customFormat="false" ht="15" hidden="false" customHeight="false" outlineLevel="0" collapsed="false">
      <c r="A364" s="42" t="s">
        <v>44</v>
      </c>
      <c r="B364" s="42" t="n">
        <v>-14</v>
      </c>
      <c r="C364" s="42" t="n">
        <v>63</v>
      </c>
      <c r="D364" s="42" t="n">
        <v>74270978</v>
      </c>
      <c r="E364" s="43" t="n">
        <v>0.941418454019908</v>
      </c>
      <c r="F364" s="43" t="n">
        <v>0.970759835402141</v>
      </c>
      <c r="G364" s="43" t="n">
        <v>0.972154653315742</v>
      </c>
      <c r="H364" s="43" t="n">
        <v>0.971696422775395</v>
      </c>
      <c r="I364" s="42" t="n">
        <v>1</v>
      </c>
      <c r="J364" s="42" t="n">
        <v>1</v>
      </c>
      <c r="K364" s="44" t="str">
        <f aca="false">IF(AND(I364=1,J364=1),"两者都跟住",IF(AND(I364=0,J364=1),"仅 PC-TBD 跟住",IF(AND(I364=1,J364=0),"仅 VIT-LPS 跟住","都没跟住")))</f>
        <v>两者都跟住</v>
      </c>
      <c r="L364" s="45" t="n">
        <f aca="false">F364-G364</f>
        <v>-0.00139481791360108</v>
      </c>
      <c r="M364" s="46" t="n">
        <v>0.2443059</v>
      </c>
      <c r="N364" s="46" t="n">
        <v>0.0945714</v>
      </c>
      <c r="O364" s="46" t="n">
        <v>0.2378855</v>
      </c>
      <c r="P364" s="46" t="n">
        <v>0.5170603</v>
      </c>
      <c r="Q364" s="46" t="n">
        <v>2.3088491</v>
      </c>
      <c r="R364" s="46" t="n">
        <v>2.1709615</v>
      </c>
      <c r="S364" s="47" t="n">
        <f aca="false">M364+N364+O364</f>
        <v>0.5767628</v>
      </c>
      <c r="T364" s="47" t="n">
        <f aca="false">M364+P364</f>
        <v>0.7613662</v>
      </c>
    </row>
    <row r="365" customFormat="false" ht="15" hidden="false" customHeight="false" outlineLevel="0" collapsed="false">
      <c r="A365" s="42" t="s">
        <v>44</v>
      </c>
      <c r="B365" s="42" t="n">
        <v>-14</v>
      </c>
      <c r="C365" s="42" t="n">
        <v>64</v>
      </c>
      <c r="D365" s="42" t="n">
        <v>74270979</v>
      </c>
      <c r="E365" s="43" t="n">
        <v>0.857371336103115</v>
      </c>
      <c r="F365" s="43" t="n">
        <v>0.951516476534978</v>
      </c>
      <c r="G365" s="43" t="n">
        <v>0.923326403670389</v>
      </c>
      <c r="H365" s="43" t="n">
        <v>0.940091224937555</v>
      </c>
      <c r="I365" s="42" t="n">
        <v>1</v>
      </c>
      <c r="J365" s="42" t="n">
        <v>1</v>
      </c>
      <c r="K365" s="44" t="str">
        <f aca="false">IF(AND(I365=1,J365=1),"两者都跟住",IF(AND(I365=0,J365=1),"仅 PC-TBD 跟住",IF(AND(I365=1,J365=0),"仅 VIT-LPS 跟住","都没跟住")))</f>
        <v>两者都跟住</v>
      </c>
      <c r="L365" s="45" t="n">
        <f aca="false">F365-G365</f>
        <v>0.028190072864589</v>
      </c>
      <c r="M365" s="46" t="n">
        <v>0.217731</v>
      </c>
      <c r="N365" s="46" t="n">
        <v>0.1327548</v>
      </c>
      <c r="O365" s="46" t="n">
        <v>0.2234314</v>
      </c>
      <c r="P365" s="46" t="n">
        <v>0.56438</v>
      </c>
      <c r="Q365" s="46" t="n">
        <v>2.664364</v>
      </c>
      <c r="R365" s="46" t="n">
        <v>1.8554172</v>
      </c>
      <c r="S365" s="47" t="n">
        <f aca="false">M365+N365+O365</f>
        <v>0.5739172</v>
      </c>
      <c r="T365" s="47" t="n">
        <f aca="false">M365+P365</f>
        <v>0.782111</v>
      </c>
    </row>
    <row r="366" customFormat="false" ht="15" hidden="false" customHeight="false" outlineLevel="0" collapsed="false">
      <c r="A366" s="42" t="s">
        <v>44</v>
      </c>
      <c r="B366" s="42" t="n">
        <v>-14</v>
      </c>
      <c r="C366" s="42" t="n">
        <v>65</v>
      </c>
      <c r="D366" s="42" t="n">
        <v>74270980</v>
      </c>
      <c r="E366" s="43" t="n">
        <v>0.855533396483662</v>
      </c>
      <c r="F366" s="43" t="n">
        <v>0.961964801747563</v>
      </c>
      <c r="G366" s="43" t="n">
        <v>0.957740401543763</v>
      </c>
      <c r="H366" s="43" t="n">
        <v>0.965107677836549</v>
      </c>
      <c r="I366" s="42" t="n">
        <v>1</v>
      </c>
      <c r="J366" s="42" t="n">
        <v>1</v>
      </c>
      <c r="K366" s="44" t="str">
        <f aca="false">IF(AND(I366=1,J366=1),"两者都跟住",IF(AND(I366=0,J366=1),"仅 PC-TBD 跟住",IF(AND(I366=1,J366=0),"仅 VIT-LPS 跟住","都没跟住")))</f>
        <v>两者都跟住</v>
      </c>
      <c r="L366" s="45" t="n">
        <f aca="false">F366-G366</f>
        <v>0.00422440020379999</v>
      </c>
      <c r="M366" s="46" t="n">
        <v>0.2656695</v>
      </c>
      <c r="N366" s="46" t="n">
        <v>0.1367059</v>
      </c>
      <c r="O366" s="46" t="n">
        <v>0.1988207</v>
      </c>
      <c r="P366" s="46" t="n">
        <v>0.6243366</v>
      </c>
      <c r="Q366" s="46" t="n">
        <v>2.5851669</v>
      </c>
      <c r="R366" s="46" t="n">
        <v>2.1016685</v>
      </c>
      <c r="S366" s="47" t="n">
        <f aca="false">M366+N366+O366</f>
        <v>0.6011961</v>
      </c>
      <c r="T366" s="47" t="n">
        <f aca="false">M366+P366</f>
        <v>0.8900061</v>
      </c>
    </row>
    <row r="367" customFormat="false" ht="15" hidden="false" customHeight="false" outlineLevel="0" collapsed="false">
      <c r="A367" s="42" t="s">
        <v>44</v>
      </c>
      <c r="B367" s="42" t="n">
        <v>-14</v>
      </c>
      <c r="C367" s="42" t="n">
        <v>66</v>
      </c>
      <c r="D367" s="42" t="n">
        <v>74270981</v>
      </c>
      <c r="E367" s="43" t="n">
        <v>0.905491821436078</v>
      </c>
      <c r="F367" s="43" t="n">
        <v>0.978669682055948</v>
      </c>
      <c r="G367" s="43" t="n">
        <v>0.961905050791603</v>
      </c>
      <c r="H367" s="43" t="n">
        <v>0.970354469138043</v>
      </c>
      <c r="I367" s="42" t="n">
        <v>1</v>
      </c>
      <c r="J367" s="42" t="n">
        <v>1</v>
      </c>
      <c r="K367" s="44" t="str">
        <f aca="false">IF(AND(I367=1,J367=1),"两者都跟住",IF(AND(I367=0,J367=1),"仅 PC-TBD 跟住",IF(AND(I367=1,J367=0),"仅 VIT-LPS 跟住","都没跟住")))</f>
        <v>两者都跟住</v>
      </c>
      <c r="L367" s="45" t="n">
        <f aca="false">F367-G367</f>
        <v>0.0167646312643449</v>
      </c>
      <c r="M367" s="46" t="n">
        <v>0.2459915</v>
      </c>
      <c r="N367" s="46" t="n">
        <v>0.1275298</v>
      </c>
      <c r="O367" s="46" t="n">
        <v>0.2124589</v>
      </c>
      <c r="P367" s="46" t="n">
        <v>0.5599778</v>
      </c>
      <c r="Q367" s="46" t="n">
        <v>2.8410477</v>
      </c>
      <c r="R367" s="46" t="n">
        <v>2.6606801</v>
      </c>
      <c r="S367" s="47" t="n">
        <f aca="false">M367+N367+O367</f>
        <v>0.5859802</v>
      </c>
      <c r="T367" s="47" t="n">
        <f aca="false">M367+P367</f>
        <v>0.8059693</v>
      </c>
    </row>
    <row r="368" customFormat="false" ht="15" hidden="false" customHeight="false" outlineLevel="0" collapsed="false">
      <c r="A368" s="42" t="s">
        <v>44</v>
      </c>
      <c r="B368" s="42" t="n">
        <v>-14</v>
      </c>
      <c r="C368" s="42" t="n">
        <v>67</v>
      </c>
      <c r="D368" s="42" t="n">
        <v>74270982</v>
      </c>
      <c r="E368" s="43" t="n">
        <v>0.825415943451613</v>
      </c>
      <c r="F368" s="43" t="n">
        <v>0.955786280463816</v>
      </c>
      <c r="G368" s="43" t="n">
        <v>0.924498663119675</v>
      </c>
      <c r="H368" s="43" t="n">
        <v>0.94873747056724</v>
      </c>
      <c r="I368" s="42" t="n">
        <v>1</v>
      </c>
      <c r="J368" s="42" t="n">
        <v>1</v>
      </c>
      <c r="K368" s="44" t="str">
        <f aca="false">IF(AND(I368=1,J368=1),"两者都跟住",IF(AND(I368=0,J368=1),"仅 PC-TBD 跟住",IF(AND(I368=1,J368=0),"仅 VIT-LPS 跟住","都没跟住")))</f>
        <v>两者都跟住</v>
      </c>
      <c r="L368" s="45" t="n">
        <f aca="false">F368-G368</f>
        <v>0.031287617344141</v>
      </c>
      <c r="M368" s="46" t="n">
        <v>0.1617681</v>
      </c>
      <c r="N368" s="46" t="n">
        <v>0.0930874</v>
      </c>
      <c r="O368" s="46" t="n">
        <v>0.1968173</v>
      </c>
      <c r="P368" s="46" t="n">
        <v>0.4222536</v>
      </c>
      <c r="Q368" s="46" t="n">
        <v>1.7263797</v>
      </c>
      <c r="R368" s="46" t="n">
        <v>1.2773479</v>
      </c>
      <c r="S368" s="47" t="n">
        <f aca="false">M368+N368+O368</f>
        <v>0.4516728</v>
      </c>
      <c r="T368" s="47" t="n">
        <f aca="false">M368+P368</f>
        <v>0.5840217</v>
      </c>
    </row>
    <row r="369" customFormat="false" ht="15" hidden="false" customHeight="false" outlineLevel="0" collapsed="false">
      <c r="A369" s="42" t="s">
        <v>44</v>
      </c>
      <c r="B369" s="42" t="n">
        <v>-14</v>
      </c>
      <c r="C369" s="42" t="n">
        <v>68</v>
      </c>
      <c r="D369" s="42" t="n">
        <v>74270983</v>
      </c>
      <c r="E369" s="43" t="n">
        <v>0.929091282443764</v>
      </c>
      <c r="F369" s="43" t="n">
        <v>0.924668986294108</v>
      </c>
      <c r="G369" s="43" t="n">
        <v>0.930556333357798</v>
      </c>
      <c r="H369" s="43" t="n">
        <v>0.916046120018934</v>
      </c>
      <c r="I369" s="42" t="n">
        <v>1</v>
      </c>
      <c r="J369" s="42" t="n">
        <v>1</v>
      </c>
      <c r="K369" s="44" t="str">
        <f aca="false">IF(AND(I369=1,J369=1),"两者都跟住",IF(AND(I369=0,J369=1),"仅 PC-TBD 跟住",IF(AND(I369=1,J369=0),"仅 VIT-LPS 跟住","都没跟住")))</f>
        <v>两者都跟住</v>
      </c>
      <c r="L369" s="45" t="n">
        <f aca="false">F369-G369</f>
        <v>-0.00588734706368999</v>
      </c>
      <c r="M369" s="46" t="n">
        <v>0.1821306</v>
      </c>
      <c r="N369" s="46" t="n">
        <v>0.1281303</v>
      </c>
      <c r="O369" s="46" t="n">
        <v>0.141872</v>
      </c>
      <c r="P369" s="46" t="n">
        <v>0.5689675</v>
      </c>
      <c r="Q369" s="46" t="n">
        <v>1.6528267</v>
      </c>
      <c r="R369" s="46" t="n">
        <v>1.3959395</v>
      </c>
      <c r="S369" s="47" t="n">
        <f aca="false">M369+N369+O369</f>
        <v>0.4521329</v>
      </c>
      <c r="T369" s="47" t="n">
        <f aca="false">M369+P369</f>
        <v>0.7510981</v>
      </c>
    </row>
    <row r="370" customFormat="false" ht="15" hidden="false" customHeight="false" outlineLevel="0" collapsed="false">
      <c r="A370" s="42" t="s">
        <v>44</v>
      </c>
      <c r="B370" s="42" t="n">
        <v>-14</v>
      </c>
      <c r="C370" s="42" t="n">
        <v>69</v>
      </c>
      <c r="D370" s="42" t="n">
        <v>74270984</v>
      </c>
      <c r="E370" s="43" t="n">
        <v>0.918791588207598</v>
      </c>
      <c r="F370" s="43" t="n">
        <v>0.967530842231619</v>
      </c>
      <c r="G370" s="43" t="n">
        <v>0.967151708361659</v>
      </c>
      <c r="H370" s="43" t="n">
        <v>0.965613707099818</v>
      </c>
      <c r="I370" s="42" t="n">
        <v>1</v>
      </c>
      <c r="J370" s="42" t="n">
        <v>1</v>
      </c>
      <c r="K370" s="44" t="str">
        <f aca="false">IF(AND(I370=1,J370=1),"两者都跟住",IF(AND(I370=0,J370=1),"仅 PC-TBD 跟住",IF(AND(I370=1,J370=0),"仅 VIT-LPS 跟住","都没跟住")))</f>
        <v>两者都跟住</v>
      </c>
      <c r="L370" s="45" t="n">
        <f aca="false">F370-G370</f>
        <v>0.000379133869960024</v>
      </c>
      <c r="M370" s="46" t="n">
        <v>0.1526334</v>
      </c>
      <c r="N370" s="46" t="n">
        <v>0.0804912</v>
      </c>
      <c r="O370" s="46" t="n">
        <v>0.1585693</v>
      </c>
      <c r="P370" s="46" t="n">
        <v>0.4098148</v>
      </c>
      <c r="Q370" s="46" t="n">
        <v>1.8018444</v>
      </c>
      <c r="R370" s="46" t="n">
        <v>1.1622619</v>
      </c>
      <c r="S370" s="47" t="n">
        <f aca="false">M370+N370+O370</f>
        <v>0.3916939</v>
      </c>
      <c r="T370" s="47" t="n">
        <f aca="false">M370+P370</f>
        <v>0.5624482</v>
      </c>
    </row>
    <row r="371" customFormat="false" ht="15" hidden="false" customHeight="false" outlineLevel="0" collapsed="false">
      <c r="A371" s="42" t="s">
        <v>44</v>
      </c>
      <c r="B371" s="42" t="n">
        <v>-14</v>
      </c>
      <c r="C371" s="42" t="n">
        <v>70</v>
      </c>
      <c r="D371" s="42" t="n">
        <v>74270985</v>
      </c>
      <c r="E371" s="43" t="n">
        <v>0.865549464743642</v>
      </c>
      <c r="F371" s="43" t="n">
        <v>0.942040877341426</v>
      </c>
      <c r="G371" s="43" t="n">
        <v>0.927267781109418</v>
      </c>
      <c r="H371" s="43" t="n">
        <v>0.93695530567465</v>
      </c>
      <c r="I371" s="42" t="n">
        <v>1</v>
      </c>
      <c r="J371" s="42" t="n">
        <v>1</v>
      </c>
      <c r="K371" s="44" t="str">
        <f aca="false">IF(AND(I371=1,J371=1),"两者都跟住",IF(AND(I371=0,J371=1),"仅 PC-TBD 跟住",IF(AND(I371=1,J371=0),"仅 VIT-LPS 跟住","都没跟住")))</f>
        <v>两者都跟住</v>
      </c>
      <c r="L371" s="45" t="n">
        <f aca="false">F371-G371</f>
        <v>0.0147730962320081</v>
      </c>
      <c r="M371" s="46" t="n">
        <v>0.1435117</v>
      </c>
      <c r="N371" s="46" t="n">
        <v>0.0984941</v>
      </c>
      <c r="O371" s="46" t="n">
        <v>0.1232887</v>
      </c>
      <c r="P371" s="46" t="n">
        <v>0.3955833</v>
      </c>
      <c r="Q371" s="46" t="n">
        <v>1.4132746</v>
      </c>
      <c r="R371" s="46" t="n">
        <v>1.164073</v>
      </c>
      <c r="S371" s="47" t="n">
        <f aca="false">M371+N371+O371</f>
        <v>0.3652945</v>
      </c>
      <c r="T371" s="47" t="n">
        <f aca="false">M371+P371</f>
        <v>0.539095</v>
      </c>
    </row>
    <row r="372" customFormat="false" ht="15" hidden="false" customHeight="false" outlineLevel="0" collapsed="false">
      <c r="A372" s="42" t="s">
        <v>44</v>
      </c>
      <c r="B372" s="42" t="n">
        <v>-14</v>
      </c>
      <c r="C372" s="42" t="n">
        <v>71</v>
      </c>
      <c r="D372" s="42" t="n">
        <v>74270986</v>
      </c>
      <c r="E372" s="43" t="n">
        <v>0.864862517085529</v>
      </c>
      <c r="F372" s="43" t="n">
        <v>0.965309916967558</v>
      </c>
      <c r="G372" s="43" t="n">
        <v>0.95821341760865</v>
      </c>
      <c r="H372" s="43" t="n">
        <v>0.958426189640403</v>
      </c>
      <c r="I372" s="42" t="n">
        <v>1</v>
      </c>
      <c r="J372" s="42" t="n">
        <v>1</v>
      </c>
      <c r="K372" s="44" t="str">
        <f aca="false">IF(AND(I372=1,J372=1),"两者都跟住",IF(AND(I372=0,J372=1),"仅 PC-TBD 跟住",IF(AND(I372=1,J372=0),"仅 VIT-LPS 跟住","都没跟住")))</f>
        <v>两者都跟住</v>
      </c>
      <c r="L372" s="45" t="n">
        <f aca="false">F372-G372</f>
        <v>0.00709649935890799</v>
      </c>
      <c r="M372" s="46" t="n">
        <v>0.2216979</v>
      </c>
      <c r="N372" s="46" t="n">
        <v>0.1239421</v>
      </c>
      <c r="O372" s="46" t="n">
        <v>0.1937573</v>
      </c>
      <c r="P372" s="46" t="n">
        <v>0.521039</v>
      </c>
      <c r="Q372" s="46" t="n">
        <v>3.0535953</v>
      </c>
      <c r="R372" s="46" t="n">
        <v>2.4053016</v>
      </c>
      <c r="S372" s="47" t="n">
        <f aca="false">M372+N372+O372</f>
        <v>0.5393973</v>
      </c>
      <c r="T372" s="47" t="n">
        <f aca="false">M372+P372</f>
        <v>0.7427369</v>
      </c>
    </row>
    <row r="373" customFormat="false" ht="15" hidden="false" customHeight="false" outlineLevel="0" collapsed="false">
      <c r="A373" s="42" t="s">
        <v>44</v>
      </c>
      <c r="B373" s="42" t="n">
        <v>-14</v>
      </c>
      <c r="C373" s="42" t="n">
        <v>72</v>
      </c>
      <c r="D373" s="42" t="n">
        <v>74270987</v>
      </c>
      <c r="E373" s="43" t="n">
        <v>0.870806787025188</v>
      </c>
      <c r="F373" s="43" t="n">
        <v>0.95995030322397</v>
      </c>
      <c r="G373" s="43" t="n">
        <v>0.942647565960362</v>
      </c>
      <c r="H373" s="43" t="n">
        <v>0.953377954296783</v>
      </c>
      <c r="I373" s="42" t="n">
        <v>1</v>
      </c>
      <c r="J373" s="42" t="n">
        <v>1</v>
      </c>
      <c r="K373" s="44" t="str">
        <f aca="false">IF(AND(I373=1,J373=1),"两者都跟住",IF(AND(I373=0,J373=1),"仅 PC-TBD 跟住",IF(AND(I373=1,J373=0),"仅 VIT-LPS 跟住","都没跟住")))</f>
        <v>两者都跟住</v>
      </c>
      <c r="L373" s="45" t="n">
        <f aca="false">F373-G373</f>
        <v>0.017302737263608</v>
      </c>
      <c r="M373" s="46" t="n">
        <v>0.2231954</v>
      </c>
      <c r="N373" s="46" t="n">
        <v>0.0994568</v>
      </c>
      <c r="O373" s="46" t="n">
        <v>0.2155201</v>
      </c>
      <c r="P373" s="46" t="n">
        <v>0.5094763</v>
      </c>
      <c r="Q373" s="46" t="n">
        <v>2.4156953</v>
      </c>
      <c r="R373" s="46" t="n">
        <v>2.138614</v>
      </c>
      <c r="S373" s="47" t="n">
        <f aca="false">M373+N373+O373</f>
        <v>0.5381723</v>
      </c>
      <c r="T373" s="47" t="n">
        <f aca="false">M373+P373</f>
        <v>0.7326717</v>
      </c>
    </row>
    <row r="374" customFormat="false" ht="15" hidden="false" customHeight="false" outlineLevel="0" collapsed="false">
      <c r="A374" s="42" t="s">
        <v>44</v>
      </c>
      <c r="B374" s="42" t="n">
        <v>-14</v>
      </c>
      <c r="C374" s="42" t="n">
        <v>73</v>
      </c>
      <c r="D374" s="42" t="n">
        <v>74270988</v>
      </c>
      <c r="E374" s="43" t="n">
        <v>0.943092473507245</v>
      </c>
      <c r="F374" s="43" t="n">
        <v>0.952234863469897</v>
      </c>
      <c r="G374" s="43" t="n">
        <v>0.928238016293695</v>
      </c>
      <c r="H374" s="43" t="n">
        <v>0.936288707554653</v>
      </c>
      <c r="I374" s="42" t="n">
        <v>1</v>
      </c>
      <c r="J374" s="42" t="n">
        <v>1</v>
      </c>
      <c r="K374" s="44" t="str">
        <f aca="false">IF(AND(I374=1,J374=1),"两者都跟住",IF(AND(I374=0,J374=1),"仅 PC-TBD 跟住",IF(AND(I374=1,J374=0),"仅 VIT-LPS 跟住","都没跟住")))</f>
        <v>两者都跟住</v>
      </c>
      <c r="L374" s="45" t="n">
        <f aca="false">F374-G374</f>
        <v>0.0239968471762021</v>
      </c>
      <c r="M374" s="46" t="n">
        <v>0.2461673</v>
      </c>
      <c r="N374" s="46" t="n">
        <v>0.1204256</v>
      </c>
      <c r="O374" s="46" t="n">
        <v>0.2032568</v>
      </c>
      <c r="P374" s="46" t="n">
        <v>0.5525463</v>
      </c>
      <c r="Q374" s="46" t="n">
        <v>3.1605657</v>
      </c>
      <c r="R374" s="46" t="n">
        <v>2.5021516</v>
      </c>
      <c r="S374" s="47" t="n">
        <f aca="false">M374+N374+O374</f>
        <v>0.5698497</v>
      </c>
      <c r="T374" s="47" t="n">
        <f aca="false">M374+P374</f>
        <v>0.7987136</v>
      </c>
    </row>
    <row r="375" customFormat="false" ht="15" hidden="false" customHeight="false" outlineLevel="0" collapsed="false">
      <c r="A375" s="42" t="s">
        <v>44</v>
      </c>
      <c r="B375" s="42" t="n">
        <v>-14</v>
      </c>
      <c r="C375" s="42" t="n">
        <v>74</v>
      </c>
      <c r="D375" s="42" t="n">
        <v>74270989</v>
      </c>
      <c r="E375" s="43" t="n">
        <v>0.88427790770338</v>
      </c>
      <c r="F375" s="43" t="n">
        <v>0.972278561249107</v>
      </c>
      <c r="G375" s="43" t="n">
        <v>0.937916511548287</v>
      </c>
      <c r="H375" s="43" t="n">
        <v>0.969150069573655</v>
      </c>
      <c r="I375" s="42" t="n">
        <v>1</v>
      </c>
      <c r="J375" s="42" t="n">
        <v>1</v>
      </c>
      <c r="K375" s="44" t="str">
        <f aca="false">IF(AND(I375=1,J375=1),"两者都跟住",IF(AND(I375=0,J375=1),"仅 PC-TBD 跟住",IF(AND(I375=1,J375=0),"仅 VIT-LPS 跟住","都没跟住")))</f>
        <v>两者都跟住</v>
      </c>
      <c r="L375" s="45" t="n">
        <f aca="false">F375-G375</f>
        <v>0.03436204970082</v>
      </c>
      <c r="M375" s="46" t="n">
        <v>0.226326</v>
      </c>
      <c r="N375" s="46" t="n">
        <v>0.1238635</v>
      </c>
      <c r="O375" s="46" t="n">
        <v>0.1607877</v>
      </c>
      <c r="P375" s="46" t="n">
        <v>0.4876845</v>
      </c>
      <c r="Q375" s="46" t="n">
        <v>2.6730301</v>
      </c>
      <c r="R375" s="46" t="n">
        <v>1.6647377</v>
      </c>
      <c r="S375" s="47" t="n">
        <f aca="false">M375+N375+O375</f>
        <v>0.5109772</v>
      </c>
      <c r="T375" s="47" t="n">
        <f aca="false">M375+P375</f>
        <v>0.7140105</v>
      </c>
    </row>
    <row r="376" customFormat="false" ht="15" hidden="false" customHeight="false" outlineLevel="0" collapsed="false">
      <c r="A376" s="42" t="s">
        <v>44</v>
      </c>
      <c r="B376" s="42" t="n">
        <v>-14</v>
      </c>
      <c r="C376" s="42" t="n">
        <v>75</v>
      </c>
      <c r="D376" s="42" t="n">
        <v>74270990</v>
      </c>
      <c r="E376" s="43" t="n">
        <v>0.90678203593852</v>
      </c>
      <c r="F376" s="43" t="n">
        <v>0.966928459094517</v>
      </c>
      <c r="G376" s="43" t="n">
        <v>0.951131498148815</v>
      </c>
      <c r="H376" s="43" t="n">
        <v>0.957599654368421</v>
      </c>
      <c r="I376" s="42" t="n">
        <v>1</v>
      </c>
      <c r="J376" s="42" t="n">
        <v>1</v>
      </c>
      <c r="K376" s="44" t="str">
        <f aca="false">IF(AND(I376=1,J376=1),"两者都跟住",IF(AND(I376=0,J376=1),"仅 PC-TBD 跟住",IF(AND(I376=1,J376=0),"仅 VIT-LPS 跟住","都没跟住")))</f>
        <v>两者都跟住</v>
      </c>
      <c r="L376" s="45" t="n">
        <f aca="false">F376-G376</f>
        <v>0.0157969609457019</v>
      </c>
      <c r="M376" s="46" t="n">
        <v>0.2205925</v>
      </c>
      <c r="N376" s="46" t="n">
        <v>0.1302302</v>
      </c>
      <c r="O376" s="46" t="n">
        <v>0.20188</v>
      </c>
      <c r="P376" s="46" t="n">
        <v>0.5194168</v>
      </c>
      <c r="Q376" s="46" t="n">
        <v>2.8539562</v>
      </c>
      <c r="R376" s="46" t="n">
        <v>2.4148047</v>
      </c>
      <c r="S376" s="47" t="n">
        <f aca="false">M376+N376+O376</f>
        <v>0.5527027</v>
      </c>
      <c r="T376" s="47" t="n">
        <f aca="false">M376+P376</f>
        <v>0.7400093</v>
      </c>
    </row>
    <row r="377" customFormat="false" ht="15" hidden="false" customHeight="false" outlineLevel="0" collapsed="false">
      <c r="A377" s="42" t="s">
        <v>44</v>
      </c>
      <c r="B377" s="42" t="n">
        <v>-14</v>
      </c>
      <c r="C377" s="42" t="n">
        <v>76</v>
      </c>
      <c r="D377" s="42" t="n">
        <v>74270991</v>
      </c>
      <c r="E377" s="43" t="n">
        <v>0.949905242185576</v>
      </c>
      <c r="F377" s="43" t="n">
        <v>0.965135556368303</v>
      </c>
      <c r="G377" s="43" t="n">
        <v>0.925216018171899</v>
      </c>
      <c r="H377" s="43" t="n">
        <v>0.951091247712853</v>
      </c>
      <c r="I377" s="42" t="n">
        <v>1</v>
      </c>
      <c r="J377" s="42" t="n">
        <v>1</v>
      </c>
      <c r="K377" s="44" t="str">
        <f aca="false">IF(AND(I377=1,J377=1),"两者都跟住",IF(AND(I377=0,J377=1),"仅 PC-TBD 跟住",IF(AND(I377=1,J377=0),"仅 VIT-LPS 跟住","都没跟住")))</f>
        <v>两者都跟住</v>
      </c>
      <c r="L377" s="45" t="n">
        <f aca="false">F377-G377</f>
        <v>0.0399195381964039</v>
      </c>
      <c r="M377" s="46" t="n">
        <v>0.2363092</v>
      </c>
      <c r="N377" s="46" t="n">
        <v>0.1136237</v>
      </c>
      <c r="O377" s="46" t="n">
        <v>0.226271</v>
      </c>
      <c r="P377" s="46" t="n">
        <v>0.5403823</v>
      </c>
      <c r="Q377" s="46" t="n">
        <v>2.9895297</v>
      </c>
      <c r="R377" s="46" t="n">
        <v>2.3124902</v>
      </c>
      <c r="S377" s="47" t="n">
        <f aca="false">M377+N377+O377</f>
        <v>0.5762039</v>
      </c>
      <c r="T377" s="47" t="n">
        <f aca="false">M377+P377</f>
        <v>0.7766915</v>
      </c>
    </row>
    <row r="378" customFormat="false" ht="15" hidden="false" customHeight="false" outlineLevel="0" collapsed="false">
      <c r="A378" s="42" t="s">
        <v>44</v>
      </c>
      <c r="B378" s="42" t="n">
        <v>-14</v>
      </c>
      <c r="C378" s="42" t="n">
        <v>77</v>
      </c>
      <c r="D378" s="42" t="n">
        <v>74270992</v>
      </c>
      <c r="E378" s="43" t="n">
        <v>0.583177844292382</v>
      </c>
      <c r="F378" s="43" t="n">
        <v>0.972348142209436</v>
      </c>
      <c r="G378" s="43" t="n">
        <v>0.863093845753049</v>
      </c>
      <c r="H378" s="43" t="n">
        <v>0.944646741380853</v>
      </c>
      <c r="I378" s="42" t="n">
        <v>1</v>
      </c>
      <c r="J378" s="42" t="n">
        <v>1</v>
      </c>
      <c r="K378" s="44" t="str">
        <f aca="false">IF(AND(I378=1,J378=1),"两者都跟住",IF(AND(I378=0,J378=1),"仅 PC-TBD 跟住",IF(AND(I378=1,J378=0),"仅 VIT-LPS 跟住","都没跟住")))</f>
        <v>两者都跟住</v>
      </c>
      <c r="L378" s="45" t="n">
        <f aca="false">F378-G378</f>
        <v>0.109254296456387</v>
      </c>
      <c r="M378" s="46" t="n">
        <v>0.1716371</v>
      </c>
      <c r="N378" s="46" t="n">
        <v>0.0978871</v>
      </c>
      <c r="O378" s="46" t="n">
        <v>0.1235431</v>
      </c>
      <c r="P378" s="46" t="n">
        <v>0.5609674</v>
      </c>
      <c r="Q378" s="46" t="n">
        <v>1.6836996</v>
      </c>
      <c r="R378" s="46" t="n">
        <v>1.2250827</v>
      </c>
      <c r="S378" s="47" t="n">
        <f aca="false">M378+N378+O378</f>
        <v>0.3930673</v>
      </c>
      <c r="T378" s="47" t="n">
        <f aca="false">M378+P378</f>
        <v>0.7326045</v>
      </c>
    </row>
    <row r="379" customFormat="false" ht="15" hidden="false" customHeight="false" outlineLevel="0" collapsed="false">
      <c r="A379" s="42" t="s">
        <v>44</v>
      </c>
      <c r="B379" s="42" t="n">
        <v>-14</v>
      </c>
      <c r="C379" s="42" t="n">
        <v>78</v>
      </c>
      <c r="D379" s="42" t="n">
        <v>74270993</v>
      </c>
      <c r="E379" s="43" t="n">
        <v>0.925877983172761</v>
      </c>
      <c r="F379" s="43" t="n">
        <v>0.93613344115923</v>
      </c>
      <c r="G379" s="43" t="n">
        <v>0.939967855754099</v>
      </c>
      <c r="H379" s="43" t="n">
        <v>0.934918143648878</v>
      </c>
      <c r="I379" s="42" t="n">
        <v>1</v>
      </c>
      <c r="J379" s="42" t="n">
        <v>1</v>
      </c>
      <c r="K379" s="44" t="str">
        <f aca="false">IF(AND(I379=1,J379=1),"两者都跟住",IF(AND(I379=0,J379=1),"仅 PC-TBD 跟住",IF(AND(I379=1,J379=0),"仅 VIT-LPS 跟住","都没跟住")))</f>
        <v>两者都跟住</v>
      </c>
      <c r="L379" s="45" t="n">
        <f aca="false">F379-G379</f>
        <v>-0.003834414594869</v>
      </c>
      <c r="M379" s="46" t="n">
        <v>0.1700651</v>
      </c>
      <c r="N379" s="46" t="n">
        <v>0.1017956</v>
      </c>
      <c r="O379" s="46" t="n">
        <v>0.2213924</v>
      </c>
      <c r="P379" s="46" t="n">
        <v>0.5105066</v>
      </c>
      <c r="Q379" s="46" t="n">
        <v>1.6808006</v>
      </c>
      <c r="R379" s="46" t="n">
        <v>1.5629658</v>
      </c>
      <c r="S379" s="47" t="n">
        <f aca="false">M379+N379+O379</f>
        <v>0.4932531</v>
      </c>
      <c r="T379" s="47" t="n">
        <f aca="false">M379+P379</f>
        <v>0.6805717</v>
      </c>
    </row>
    <row r="380" customFormat="false" ht="15" hidden="false" customHeight="false" outlineLevel="0" collapsed="false">
      <c r="A380" s="42" t="s">
        <v>44</v>
      </c>
      <c r="B380" s="42" t="n">
        <v>-14</v>
      </c>
      <c r="C380" s="42" t="n">
        <v>79</v>
      </c>
      <c r="D380" s="42" t="n">
        <v>74270994</v>
      </c>
      <c r="E380" s="43" t="n">
        <v>0.942403351052948</v>
      </c>
      <c r="F380" s="43" t="n">
        <v>0.971661156525609</v>
      </c>
      <c r="G380" s="43" t="n">
        <v>0.958009093742304</v>
      </c>
      <c r="H380" s="43" t="n">
        <v>0.96631724267538</v>
      </c>
      <c r="I380" s="42" t="n">
        <v>1</v>
      </c>
      <c r="J380" s="42" t="n">
        <v>1</v>
      </c>
      <c r="K380" s="44" t="str">
        <f aca="false">IF(AND(I380=1,J380=1),"两者都跟住",IF(AND(I380=0,J380=1),"仅 PC-TBD 跟住",IF(AND(I380=1,J380=0),"仅 VIT-LPS 跟住","都没跟住")))</f>
        <v>两者都跟住</v>
      </c>
      <c r="L380" s="45" t="n">
        <f aca="false">F380-G380</f>
        <v>0.013652062783305</v>
      </c>
      <c r="M380" s="46" t="n">
        <v>0.1873508</v>
      </c>
      <c r="N380" s="46" t="n">
        <v>0.087256</v>
      </c>
      <c r="O380" s="46" t="n">
        <v>0.1787723</v>
      </c>
      <c r="P380" s="46" t="n">
        <v>0.5619801</v>
      </c>
      <c r="Q380" s="46" t="n">
        <v>1.6354427</v>
      </c>
      <c r="R380" s="46" t="n">
        <v>1.41035</v>
      </c>
      <c r="S380" s="47" t="n">
        <f aca="false">M380+N380+O380</f>
        <v>0.4533791</v>
      </c>
      <c r="T380" s="47" t="n">
        <f aca="false">M380+P380</f>
        <v>0.7493309</v>
      </c>
    </row>
    <row r="381" customFormat="false" ht="15" hidden="false" customHeight="false" outlineLevel="0" collapsed="false">
      <c r="A381" s="42" t="s">
        <v>44</v>
      </c>
      <c r="B381" s="42" t="n">
        <v>-14</v>
      </c>
      <c r="C381" s="42" t="n">
        <v>80</v>
      </c>
      <c r="D381" s="42" t="n">
        <v>74270995</v>
      </c>
      <c r="E381" s="43" t="n">
        <v>0.949092362746241</v>
      </c>
      <c r="F381" s="43" t="n">
        <v>0.956307797874205</v>
      </c>
      <c r="G381" s="43" t="n">
        <v>0.936927027183626</v>
      </c>
      <c r="H381" s="43" t="n">
        <v>0.950198266461047</v>
      </c>
      <c r="I381" s="42" t="n">
        <v>1</v>
      </c>
      <c r="J381" s="42" t="n">
        <v>1</v>
      </c>
      <c r="K381" s="44" t="str">
        <f aca="false">IF(AND(I381=1,J381=1),"两者都跟住",IF(AND(I381=0,J381=1),"仅 PC-TBD 跟住",IF(AND(I381=1,J381=0),"仅 VIT-LPS 跟住","都没跟住")))</f>
        <v>两者都跟住</v>
      </c>
      <c r="L381" s="45" t="n">
        <f aca="false">F381-G381</f>
        <v>0.019380770690579</v>
      </c>
      <c r="M381" s="46" t="n">
        <v>0.2082075</v>
      </c>
      <c r="N381" s="46" t="n">
        <v>0.1360749</v>
      </c>
      <c r="O381" s="46" t="n">
        <v>0.1385426</v>
      </c>
      <c r="P381" s="46" t="n">
        <v>0.5377396</v>
      </c>
      <c r="Q381" s="46" t="n">
        <v>1.9315579</v>
      </c>
      <c r="R381" s="46" t="n">
        <v>1.6205195</v>
      </c>
      <c r="S381" s="47" t="n">
        <f aca="false">M381+N381+O381</f>
        <v>0.482825</v>
      </c>
      <c r="T381" s="47" t="n">
        <f aca="false">M381+P381</f>
        <v>0.7459471</v>
      </c>
    </row>
    <row r="382" customFormat="false" ht="15" hidden="false" customHeight="false" outlineLevel="0" collapsed="false">
      <c r="A382" s="42" t="s">
        <v>44</v>
      </c>
      <c r="B382" s="42" t="n">
        <v>-14</v>
      </c>
      <c r="C382" s="42" t="n">
        <v>81</v>
      </c>
      <c r="D382" s="42" t="n">
        <v>74270996</v>
      </c>
      <c r="E382" s="43" t="n">
        <v>0.909236258426963</v>
      </c>
      <c r="F382" s="43" t="n">
        <v>0.967022705940442</v>
      </c>
      <c r="G382" s="43" t="n">
        <v>0.969383917989773</v>
      </c>
      <c r="H382" s="43" t="n">
        <v>0.963880188647414</v>
      </c>
      <c r="I382" s="42" t="n">
        <v>1</v>
      </c>
      <c r="J382" s="42" t="n">
        <v>1</v>
      </c>
      <c r="K382" s="44" t="str">
        <f aca="false">IF(AND(I382=1,J382=1),"两者都跟住",IF(AND(I382=0,J382=1),"仅 PC-TBD 跟住",IF(AND(I382=1,J382=0),"仅 VIT-LPS 跟住","都没跟住")))</f>
        <v>两者都跟住</v>
      </c>
      <c r="L382" s="45" t="n">
        <f aca="false">F382-G382</f>
        <v>-0.00236121204933093</v>
      </c>
      <c r="M382" s="46" t="n">
        <v>0.2748297</v>
      </c>
      <c r="N382" s="46" t="n">
        <v>0.1435799</v>
      </c>
      <c r="O382" s="46" t="n">
        <v>0.222606</v>
      </c>
      <c r="P382" s="46" t="n">
        <v>0.5131886</v>
      </c>
      <c r="Q382" s="46" t="n">
        <v>2.1523309</v>
      </c>
      <c r="R382" s="46" t="n">
        <v>1.85287</v>
      </c>
      <c r="S382" s="47" t="n">
        <f aca="false">M382+N382+O382</f>
        <v>0.6410156</v>
      </c>
      <c r="T382" s="47" t="n">
        <f aca="false">M382+P382</f>
        <v>0.7880183</v>
      </c>
    </row>
    <row r="383" customFormat="false" ht="15" hidden="false" customHeight="false" outlineLevel="0" collapsed="false">
      <c r="A383" s="42" t="s">
        <v>44</v>
      </c>
      <c r="B383" s="42" t="n">
        <v>-14</v>
      </c>
      <c r="C383" s="42" t="n">
        <v>82</v>
      </c>
      <c r="D383" s="42" t="n">
        <v>74270997</v>
      </c>
      <c r="E383" s="43" t="n">
        <v>0.793501190882267</v>
      </c>
      <c r="F383" s="43" t="n">
        <v>0.965807384745021</v>
      </c>
      <c r="G383" s="43" t="n">
        <v>0.96466624788029</v>
      </c>
      <c r="H383" s="43" t="n">
        <v>0.959400742693836</v>
      </c>
      <c r="I383" s="42" t="n">
        <v>1</v>
      </c>
      <c r="J383" s="42" t="n">
        <v>1</v>
      </c>
      <c r="K383" s="44" t="str">
        <f aca="false">IF(AND(I383=1,J383=1),"两者都跟住",IF(AND(I383=0,J383=1),"仅 PC-TBD 跟住",IF(AND(I383=1,J383=0),"仅 VIT-LPS 跟住","都没跟住")))</f>
        <v>两者都跟住</v>
      </c>
      <c r="L383" s="45" t="n">
        <f aca="false">F383-G383</f>
        <v>0.00114113686473105</v>
      </c>
      <c r="M383" s="46" t="n">
        <v>0.2485079</v>
      </c>
      <c r="N383" s="46" t="n">
        <v>0.1135915</v>
      </c>
      <c r="O383" s="46" t="n">
        <v>0.2010579</v>
      </c>
      <c r="P383" s="46" t="n">
        <v>0.5687377</v>
      </c>
      <c r="Q383" s="46" t="n">
        <v>2.5817059</v>
      </c>
      <c r="R383" s="46" t="n">
        <v>1.8669621</v>
      </c>
      <c r="S383" s="47" t="n">
        <f aca="false">M383+N383+O383</f>
        <v>0.5631573</v>
      </c>
      <c r="T383" s="47" t="n">
        <f aca="false">M383+P383</f>
        <v>0.8172456</v>
      </c>
    </row>
    <row r="384" customFormat="false" ht="15" hidden="false" customHeight="false" outlineLevel="0" collapsed="false">
      <c r="A384" s="42" t="s">
        <v>44</v>
      </c>
      <c r="B384" s="42" t="n">
        <v>-14</v>
      </c>
      <c r="C384" s="42" t="n">
        <v>83</v>
      </c>
      <c r="D384" s="42" t="n">
        <v>74270998</v>
      </c>
      <c r="E384" s="43" t="n">
        <v>0.970691389760897</v>
      </c>
      <c r="F384" s="43" t="n">
        <v>0.967468847092438</v>
      </c>
      <c r="G384" s="43" t="n">
        <v>0.964531221506821</v>
      </c>
      <c r="H384" s="43" t="n">
        <v>0.968888091592158</v>
      </c>
      <c r="I384" s="42" t="n">
        <v>1</v>
      </c>
      <c r="J384" s="42" t="n">
        <v>1</v>
      </c>
      <c r="K384" s="44" t="str">
        <f aca="false">IF(AND(I384=1,J384=1),"两者都跟住",IF(AND(I384=0,J384=1),"仅 PC-TBD 跟住",IF(AND(I384=1,J384=0),"仅 VIT-LPS 跟住","都没跟住")))</f>
        <v>两者都跟住</v>
      </c>
      <c r="L384" s="45" t="n">
        <f aca="false">F384-G384</f>
        <v>0.00293762558561694</v>
      </c>
      <c r="M384" s="46" t="n">
        <v>0.2361834</v>
      </c>
      <c r="N384" s="46" t="n">
        <v>0.1293632</v>
      </c>
      <c r="O384" s="46" t="n">
        <v>0.2209204</v>
      </c>
      <c r="P384" s="46" t="n">
        <v>0.5994272</v>
      </c>
      <c r="Q384" s="46" t="n">
        <v>2.1675079</v>
      </c>
      <c r="R384" s="46" t="n">
        <v>1.8521853</v>
      </c>
      <c r="S384" s="47" t="n">
        <f aca="false">M384+N384+O384</f>
        <v>0.586467</v>
      </c>
      <c r="T384" s="47" t="n">
        <f aca="false">M384+P384</f>
        <v>0.8356106</v>
      </c>
    </row>
    <row r="385" customFormat="false" ht="15" hidden="false" customHeight="false" outlineLevel="0" collapsed="false">
      <c r="A385" s="42" t="s">
        <v>44</v>
      </c>
      <c r="B385" s="42" t="n">
        <v>-14</v>
      </c>
      <c r="C385" s="42" t="n">
        <v>84</v>
      </c>
      <c r="D385" s="42" t="n">
        <v>74270999</v>
      </c>
      <c r="E385" s="43" t="n">
        <v>0.950900395657561</v>
      </c>
      <c r="F385" s="43" t="n">
        <v>0.97517807529335</v>
      </c>
      <c r="G385" s="43" t="n">
        <v>0.967979569086807</v>
      </c>
      <c r="H385" s="43" t="n">
        <v>0.966896458170154</v>
      </c>
      <c r="I385" s="42" t="n">
        <v>1</v>
      </c>
      <c r="J385" s="42" t="n">
        <v>1</v>
      </c>
      <c r="K385" s="44" t="str">
        <f aca="false">IF(AND(I385=1,J385=1),"两者都跟住",IF(AND(I385=0,J385=1),"仅 PC-TBD 跟住",IF(AND(I385=1,J385=0),"仅 VIT-LPS 跟住","都没跟住")))</f>
        <v>两者都跟住</v>
      </c>
      <c r="L385" s="45" t="n">
        <f aca="false">F385-G385</f>
        <v>0.00719850620654294</v>
      </c>
      <c r="M385" s="46" t="n">
        <v>0.2768737</v>
      </c>
      <c r="N385" s="46" t="n">
        <v>0.142953</v>
      </c>
      <c r="O385" s="46" t="n">
        <v>0.2036706</v>
      </c>
      <c r="P385" s="46" t="n">
        <v>0.6073139</v>
      </c>
      <c r="Q385" s="46" t="n">
        <v>2.5949821</v>
      </c>
      <c r="R385" s="46" t="n">
        <v>2.3542894</v>
      </c>
      <c r="S385" s="47" t="n">
        <f aca="false">M385+N385+O385</f>
        <v>0.6234973</v>
      </c>
      <c r="T385" s="47" t="n">
        <f aca="false">M385+P385</f>
        <v>0.8841876</v>
      </c>
    </row>
    <row r="386" customFormat="false" ht="15" hidden="false" customHeight="false" outlineLevel="0" collapsed="false">
      <c r="A386" s="42" t="s">
        <v>44</v>
      </c>
      <c r="B386" s="42" t="n">
        <v>-14</v>
      </c>
      <c r="C386" s="42" t="n">
        <v>85</v>
      </c>
      <c r="D386" s="42" t="n">
        <v>74271000</v>
      </c>
      <c r="E386" s="43" t="n">
        <v>0.931591586568266</v>
      </c>
      <c r="F386" s="43" t="n">
        <v>0.970976807962937</v>
      </c>
      <c r="G386" s="43" t="n">
        <v>0.974197992643947</v>
      </c>
      <c r="H386" s="43" t="n">
        <v>0.969822406992941</v>
      </c>
      <c r="I386" s="42" t="n">
        <v>1</v>
      </c>
      <c r="J386" s="42" t="n">
        <v>1</v>
      </c>
      <c r="K386" s="44" t="str">
        <f aca="false">IF(AND(I386=1,J386=1),"两者都跟住",IF(AND(I386=0,J386=1),"仅 PC-TBD 跟住",IF(AND(I386=1,J386=0),"仅 VIT-LPS 跟住","都没跟住")))</f>
        <v>两者都跟住</v>
      </c>
      <c r="L386" s="45" t="n">
        <f aca="false">F386-G386</f>
        <v>-0.00322118468101007</v>
      </c>
      <c r="M386" s="46" t="n">
        <v>0.2476326</v>
      </c>
      <c r="N386" s="46" t="n">
        <v>0.1352968</v>
      </c>
      <c r="O386" s="46" t="n">
        <v>0.2403626</v>
      </c>
      <c r="P386" s="46" t="n">
        <v>0.5707496</v>
      </c>
      <c r="Q386" s="46" t="n">
        <v>2.4602716</v>
      </c>
      <c r="R386" s="46" t="n">
        <v>2.3269341</v>
      </c>
      <c r="S386" s="47" t="n">
        <f aca="false">M386+N386+O386</f>
        <v>0.623292</v>
      </c>
      <c r="T386" s="47" t="n">
        <f aca="false">M386+P386</f>
        <v>0.8183822</v>
      </c>
    </row>
    <row r="387" customFormat="false" ht="15" hidden="false" customHeight="false" outlineLevel="0" collapsed="false">
      <c r="A387" s="42" t="s">
        <v>44</v>
      </c>
      <c r="B387" s="42" t="n">
        <v>-14</v>
      </c>
      <c r="C387" s="42" t="n">
        <v>86</v>
      </c>
      <c r="D387" s="42" t="n">
        <v>74271001</v>
      </c>
      <c r="E387" s="43" t="n">
        <v>0.930960365127399</v>
      </c>
      <c r="F387" s="43" t="n">
        <v>0.959228960760908</v>
      </c>
      <c r="G387" s="43" t="n">
        <v>0.971175241348155</v>
      </c>
      <c r="H387" s="43" t="n">
        <v>0.954029085629621</v>
      </c>
      <c r="I387" s="42" t="n">
        <v>1</v>
      </c>
      <c r="J387" s="42" t="n">
        <v>1</v>
      </c>
      <c r="K387" s="44" t="str">
        <f aca="false">IF(AND(I387=1,J387=1),"两者都跟住",IF(AND(I387=0,J387=1),"仅 PC-TBD 跟住",IF(AND(I387=1,J387=0),"仅 VIT-LPS 跟住","都没跟住")))</f>
        <v>两者都跟住</v>
      </c>
      <c r="L387" s="45" t="n">
        <f aca="false">F387-G387</f>
        <v>-0.011946280587247</v>
      </c>
      <c r="M387" s="46" t="n">
        <v>0.2748984</v>
      </c>
      <c r="N387" s="46" t="n">
        <v>0.1389199</v>
      </c>
      <c r="O387" s="46" t="n">
        <v>0.1955008</v>
      </c>
      <c r="P387" s="46" t="n">
        <v>0.5537907</v>
      </c>
      <c r="Q387" s="46" t="n">
        <v>1.8057471</v>
      </c>
      <c r="R387" s="46" t="n">
        <v>1.8787841</v>
      </c>
      <c r="S387" s="47" t="n">
        <f aca="false">M387+N387+O387</f>
        <v>0.6093191</v>
      </c>
      <c r="T387" s="47" t="n">
        <f aca="false">M387+P387</f>
        <v>0.8286891</v>
      </c>
    </row>
    <row r="388" customFormat="false" ht="15" hidden="false" customHeight="false" outlineLevel="0" collapsed="false">
      <c r="A388" s="42" t="s">
        <v>44</v>
      </c>
      <c r="B388" s="42" t="n">
        <v>-14</v>
      </c>
      <c r="C388" s="42" t="n">
        <v>87</v>
      </c>
      <c r="D388" s="42" t="n">
        <v>74271002</v>
      </c>
      <c r="E388" s="43" t="n">
        <v>0.96801852187664</v>
      </c>
      <c r="F388" s="43" t="n">
        <v>0.968283375277221</v>
      </c>
      <c r="G388" s="43" t="n">
        <v>0.960986676800182</v>
      </c>
      <c r="H388" s="43" t="n">
        <v>0.963843489158842</v>
      </c>
      <c r="I388" s="42" t="n">
        <v>1</v>
      </c>
      <c r="J388" s="42" t="n">
        <v>1</v>
      </c>
      <c r="K388" s="44" t="str">
        <f aca="false">IF(AND(I388=1,J388=1),"两者都跟住",IF(AND(I388=0,J388=1),"仅 PC-TBD 跟住",IF(AND(I388=1,J388=0),"仅 VIT-LPS 跟住","都没跟住")))</f>
        <v>两者都跟住</v>
      </c>
      <c r="L388" s="45" t="n">
        <f aca="false">F388-G388</f>
        <v>0.00729669847703895</v>
      </c>
      <c r="M388" s="46" t="n">
        <v>0.1410779</v>
      </c>
      <c r="N388" s="46" t="n">
        <v>0.1077341</v>
      </c>
      <c r="O388" s="46" t="n">
        <v>0.1253067</v>
      </c>
      <c r="P388" s="46" t="n">
        <v>0.4353614</v>
      </c>
      <c r="Q388" s="46" t="n">
        <v>1.696265</v>
      </c>
      <c r="R388" s="46" t="n">
        <v>1.0275056</v>
      </c>
      <c r="S388" s="47" t="n">
        <f aca="false">M388+N388+O388</f>
        <v>0.3741187</v>
      </c>
      <c r="T388" s="47" t="n">
        <f aca="false">M388+P388</f>
        <v>0.5764393</v>
      </c>
    </row>
    <row r="389" customFormat="false" ht="15" hidden="false" customHeight="false" outlineLevel="0" collapsed="false">
      <c r="A389" s="42" t="s">
        <v>44</v>
      </c>
      <c r="B389" s="42" t="n">
        <v>-14</v>
      </c>
      <c r="C389" s="42" t="n">
        <v>88</v>
      </c>
      <c r="D389" s="42" t="n">
        <v>74271003</v>
      </c>
      <c r="E389" s="43" t="n">
        <v>0.928322290167107</v>
      </c>
      <c r="F389" s="43" t="n">
        <v>0.958213276827954</v>
      </c>
      <c r="G389" s="43" t="n">
        <v>0.79636025662182</v>
      </c>
      <c r="H389" s="43" t="n">
        <v>0.787977834733436</v>
      </c>
      <c r="I389" s="42" t="n">
        <v>1</v>
      </c>
      <c r="J389" s="42" t="n">
        <v>1</v>
      </c>
      <c r="K389" s="44" t="str">
        <f aca="false">IF(AND(I389=1,J389=1),"两者都跟住",IF(AND(I389=0,J389=1),"仅 PC-TBD 跟住",IF(AND(I389=1,J389=0),"仅 VIT-LPS 跟住","都没跟住")))</f>
        <v>两者都跟住</v>
      </c>
      <c r="L389" s="45" t="n">
        <f aca="false">F389-G389</f>
        <v>0.161853020206134</v>
      </c>
      <c r="M389" s="46" t="n">
        <v>0.1734666</v>
      </c>
      <c r="N389" s="46" t="n">
        <v>0.1155502</v>
      </c>
      <c r="O389" s="46" t="n">
        <v>0.1294255</v>
      </c>
      <c r="P389" s="46" t="n">
        <v>0.4495163</v>
      </c>
      <c r="Q389" s="46" t="n">
        <v>1.5813091</v>
      </c>
      <c r="R389" s="46" t="n">
        <v>1.4785124</v>
      </c>
      <c r="S389" s="47" t="n">
        <f aca="false">M389+N389+O389</f>
        <v>0.4184423</v>
      </c>
      <c r="T389" s="47" t="n">
        <f aca="false">M389+P389</f>
        <v>0.6229829</v>
      </c>
    </row>
    <row r="390" customFormat="false" ht="15" hidden="false" customHeight="false" outlineLevel="0" collapsed="false">
      <c r="A390" s="42" t="s">
        <v>44</v>
      </c>
      <c r="B390" s="42" t="n">
        <v>-14</v>
      </c>
      <c r="C390" s="42" t="n">
        <v>89</v>
      </c>
      <c r="D390" s="42" t="n">
        <v>74271004</v>
      </c>
      <c r="E390" s="43" t="n">
        <v>0.699782098543102</v>
      </c>
      <c r="F390" s="43" t="n">
        <v>0.831099579811351</v>
      </c>
      <c r="G390" s="43" t="n">
        <v>0.839637746358438</v>
      </c>
      <c r="H390" s="43" t="n">
        <v>0.855699444470011</v>
      </c>
      <c r="I390" s="42" t="n">
        <v>1</v>
      </c>
      <c r="J390" s="42" t="n">
        <v>1</v>
      </c>
      <c r="K390" s="44" t="str">
        <f aca="false">IF(AND(I390=1,J390=1),"两者都跟住",IF(AND(I390=0,J390=1),"仅 PC-TBD 跟住",IF(AND(I390=1,J390=0),"仅 VIT-LPS 跟住","都没跟住")))</f>
        <v>两者都跟住</v>
      </c>
      <c r="L390" s="45" t="n">
        <f aca="false">F390-G390</f>
        <v>-0.00853816654708706</v>
      </c>
      <c r="M390" s="46" t="n">
        <v>0.1370207</v>
      </c>
      <c r="N390" s="46" t="n">
        <v>0.0732385</v>
      </c>
      <c r="O390" s="46" t="n">
        <v>0.217431</v>
      </c>
      <c r="P390" s="46" t="n">
        <v>0.4520146</v>
      </c>
      <c r="Q390" s="46" t="n">
        <v>1.7639404</v>
      </c>
      <c r="R390" s="46" t="n">
        <v>1.2170672</v>
      </c>
      <c r="S390" s="47" t="n">
        <f aca="false">M390+N390+O390</f>
        <v>0.4276902</v>
      </c>
      <c r="T390" s="47" t="n">
        <f aca="false">M390+P390</f>
        <v>0.5890353</v>
      </c>
    </row>
    <row r="391" customFormat="false" ht="15" hidden="false" customHeight="false" outlineLevel="0" collapsed="false">
      <c r="A391" s="42" t="s">
        <v>44</v>
      </c>
      <c r="B391" s="42" t="n">
        <v>-14</v>
      </c>
      <c r="C391" s="42" t="n">
        <v>90</v>
      </c>
      <c r="D391" s="42" t="n">
        <v>74271005</v>
      </c>
      <c r="E391" s="43" t="n">
        <v>0.965850777400428</v>
      </c>
      <c r="F391" s="43" t="n">
        <v>0.969248261302768</v>
      </c>
      <c r="G391" s="43" t="n">
        <v>0.949382395587211</v>
      </c>
      <c r="H391" s="43" t="n">
        <v>0.958278612417584</v>
      </c>
      <c r="I391" s="42" t="n">
        <v>1</v>
      </c>
      <c r="J391" s="42" t="n">
        <v>1</v>
      </c>
      <c r="K391" s="44" t="str">
        <f aca="false">IF(AND(I391=1,J391=1),"两者都跟住",IF(AND(I391=0,J391=1),"仅 PC-TBD 跟住",IF(AND(I391=1,J391=0),"仅 VIT-LPS 跟住","都没跟住")))</f>
        <v>两者都跟住</v>
      </c>
      <c r="L391" s="45" t="n">
        <f aca="false">F391-G391</f>
        <v>0.0198658657155569</v>
      </c>
      <c r="M391" s="46" t="n">
        <v>0.1465108</v>
      </c>
      <c r="N391" s="46" t="n">
        <v>0.0946589</v>
      </c>
      <c r="O391" s="46" t="n">
        <v>0.1577633</v>
      </c>
      <c r="P391" s="46" t="n">
        <v>0.4209852</v>
      </c>
      <c r="Q391" s="46" t="n">
        <v>1.5546805</v>
      </c>
      <c r="R391" s="46" t="n">
        <v>1.122881</v>
      </c>
      <c r="S391" s="47" t="n">
        <f aca="false">M391+N391+O391</f>
        <v>0.398933</v>
      </c>
      <c r="T391" s="47" t="n">
        <f aca="false">M391+P391</f>
        <v>0.567496</v>
      </c>
    </row>
    <row r="392" customFormat="false" ht="15" hidden="false" customHeight="false" outlineLevel="0" collapsed="false">
      <c r="A392" s="42" t="s">
        <v>44</v>
      </c>
      <c r="B392" s="42" t="n">
        <v>-14</v>
      </c>
      <c r="C392" s="42" t="n">
        <v>91</v>
      </c>
      <c r="D392" s="42" t="n">
        <v>74271006</v>
      </c>
      <c r="E392" s="43" t="n">
        <v>0.878526333491942</v>
      </c>
      <c r="F392" s="43" t="n">
        <v>0.930208372103753</v>
      </c>
      <c r="G392" s="43" t="n">
        <v>0.940861031047762</v>
      </c>
      <c r="H392" s="43" t="n">
        <v>0.929891298925438</v>
      </c>
      <c r="I392" s="42" t="n">
        <v>1</v>
      </c>
      <c r="J392" s="42" t="n">
        <v>1</v>
      </c>
      <c r="K392" s="44" t="str">
        <f aca="false">IF(AND(I392=1,J392=1),"两者都跟住",IF(AND(I392=0,J392=1),"仅 PC-TBD 跟住",IF(AND(I392=1,J392=0),"仅 VIT-LPS 跟住","都没跟住")))</f>
        <v>两者都跟住</v>
      </c>
      <c r="L392" s="45" t="n">
        <f aca="false">F392-G392</f>
        <v>-0.010652658944009</v>
      </c>
      <c r="M392" s="46" t="n">
        <v>0.294138</v>
      </c>
      <c r="N392" s="46" t="n">
        <v>0.1280409</v>
      </c>
      <c r="O392" s="46" t="n">
        <v>0.1789466</v>
      </c>
      <c r="P392" s="46" t="n">
        <v>0.5120999</v>
      </c>
      <c r="Q392" s="46" t="n">
        <v>3.0153358</v>
      </c>
      <c r="R392" s="46" t="n">
        <v>2.3996089</v>
      </c>
      <c r="S392" s="47" t="n">
        <f aca="false">M392+N392+O392</f>
        <v>0.6011255</v>
      </c>
      <c r="T392" s="47" t="n">
        <f aca="false">M392+P392</f>
        <v>0.8062379</v>
      </c>
    </row>
    <row r="393" customFormat="false" ht="15" hidden="false" customHeight="false" outlineLevel="0" collapsed="false">
      <c r="A393" s="42" t="s">
        <v>44</v>
      </c>
      <c r="B393" s="42" t="n">
        <v>-14</v>
      </c>
      <c r="C393" s="42" t="n">
        <v>92</v>
      </c>
      <c r="D393" s="42" t="n">
        <v>74271007</v>
      </c>
      <c r="E393" s="43" t="n">
        <v>0.857801646593677</v>
      </c>
      <c r="F393" s="43" t="n">
        <v>0.954369966724001</v>
      </c>
      <c r="G393" s="43" t="n">
        <v>0.937932525530502</v>
      </c>
      <c r="H393" s="43" t="n">
        <v>0.939271770298622</v>
      </c>
      <c r="I393" s="42" t="n">
        <v>1</v>
      </c>
      <c r="J393" s="42" t="n">
        <v>1</v>
      </c>
      <c r="K393" s="44" t="str">
        <f aca="false">IF(AND(I393=1,J393=1),"两者都跟住",IF(AND(I393=0,J393=1),"仅 PC-TBD 跟住",IF(AND(I393=1,J393=0),"仅 VIT-LPS 跟住","都没跟住")))</f>
        <v>两者都跟住</v>
      </c>
      <c r="L393" s="45" t="n">
        <f aca="false">F393-G393</f>
        <v>0.016437441193499</v>
      </c>
      <c r="M393" s="46" t="n">
        <v>0.2846002</v>
      </c>
      <c r="N393" s="46" t="n">
        <v>0.1078019</v>
      </c>
      <c r="O393" s="46" t="n">
        <v>0.194467</v>
      </c>
      <c r="P393" s="46" t="n">
        <v>0.5374756</v>
      </c>
      <c r="Q393" s="46" t="n">
        <v>2.5068572</v>
      </c>
      <c r="R393" s="46" t="n">
        <v>2.1755107</v>
      </c>
      <c r="S393" s="47" t="n">
        <f aca="false">M393+N393+O393</f>
        <v>0.5868691</v>
      </c>
      <c r="T393" s="47" t="n">
        <f aca="false">M393+P393</f>
        <v>0.8220758</v>
      </c>
    </row>
    <row r="394" customFormat="false" ht="15" hidden="false" customHeight="false" outlineLevel="0" collapsed="false">
      <c r="A394" s="42" t="s">
        <v>44</v>
      </c>
      <c r="B394" s="42" t="n">
        <v>-14</v>
      </c>
      <c r="C394" s="42" t="n">
        <v>93</v>
      </c>
      <c r="D394" s="42" t="n">
        <v>74271008</v>
      </c>
      <c r="E394" s="43" t="n">
        <v>0.90893828637925</v>
      </c>
      <c r="F394" s="43" t="n">
        <v>0.947097884078319</v>
      </c>
      <c r="G394" s="43" t="n">
        <v>0.959993373603466</v>
      </c>
      <c r="H394" s="43" t="n">
        <v>0.944100091370914</v>
      </c>
      <c r="I394" s="42" t="n">
        <v>1</v>
      </c>
      <c r="J394" s="42" t="n">
        <v>1</v>
      </c>
      <c r="K394" s="44" t="str">
        <f aca="false">IF(AND(I394=1,J394=1),"两者都跟住",IF(AND(I394=0,J394=1),"仅 PC-TBD 跟住",IF(AND(I394=1,J394=0),"仅 VIT-LPS 跟住","都没跟住")))</f>
        <v>两者都跟住</v>
      </c>
      <c r="L394" s="45" t="n">
        <f aca="false">F394-G394</f>
        <v>-0.0128954895251471</v>
      </c>
      <c r="M394" s="46" t="n">
        <v>0.2820303</v>
      </c>
      <c r="N394" s="46" t="n">
        <v>0.128708</v>
      </c>
      <c r="O394" s="46" t="n">
        <v>0.1925721</v>
      </c>
      <c r="P394" s="46" t="n">
        <v>0.5371891</v>
      </c>
      <c r="Q394" s="46" t="n">
        <v>2.3975535</v>
      </c>
      <c r="R394" s="46" t="n">
        <v>2.1725336</v>
      </c>
      <c r="S394" s="47" t="n">
        <f aca="false">M394+N394+O394</f>
        <v>0.6033104</v>
      </c>
      <c r="T394" s="47" t="n">
        <f aca="false">M394+P394</f>
        <v>0.8192194</v>
      </c>
    </row>
    <row r="395" customFormat="false" ht="15" hidden="false" customHeight="false" outlineLevel="0" collapsed="false">
      <c r="A395" s="42" t="s">
        <v>44</v>
      </c>
      <c r="B395" s="42" t="n">
        <v>-14</v>
      </c>
      <c r="C395" s="42" t="n">
        <v>94</v>
      </c>
      <c r="D395" s="42" t="n">
        <v>74271009</v>
      </c>
      <c r="E395" s="43" t="n">
        <v>0.91340189122458</v>
      </c>
      <c r="F395" s="43" t="n">
        <v>0.93890765352485</v>
      </c>
      <c r="G395" s="43" t="n">
        <v>0.92952570429724</v>
      </c>
      <c r="H395" s="43" t="n">
        <v>0.930601683668317</v>
      </c>
      <c r="I395" s="42" t="n">
        <v>1</v>
      </c>
      <c r="J395" s="42" t="n">
        <v>1</v>
      </c>
      <c r="K395" s="44" t="str">
        <f aca="false">IF(AND(I395=1,J395=1),"两者都跟住",IF(AND(I395=0,J395=1),"仅 PC-TBD 跟住",IF(AND(I395=1,J395=0),"仅 VIT-LPS 跟住","都没跟住")))</f>
        <v>两者都跟住</v>
      </c>
      <c r="L395" s="45" t="n">
        <f aca="false">F395-G395</f>
        <v>0.00938194922760993</v>
      </c>
      <c r="M395" s="46" t="n">
        <v>0.287483</v>
      </c>
      <c r="N395" s="46" t="n">
        <v>0.1256566</v>
      </c>
      <c r="O395" s="46" t="n">
        <v>0.152093</v>
      </c>
      <c r="P395" s="46" t="n">
        <v>0.5009415</v>
      </c>
      <c r="Q395" s="46" t="n">
        <v>2.0076373</v>
      </c>
      <c r="R395" s="46" t="n">
        <v>2.1596168</v>
      </c>
      <c r="S395" s="47" t="n">
        <f aca="false">M395+N395+O395</f>
        <v>0.5652326</v>
      </c>
      <c r="T395" s="47" t="n">
        <f aca="false">M395+P395</f>
        <v>0.7884245</v>
      </c>
    </row>
    <row r="396" customFormat="false" ht="15" hidden="false" customHeight="false" outlineLevel="0" collapsed="false">
      <c r="A396" s="42" t="s">
        <v>44</v>
      </c>
      <c r="B396" s="42" t="n">
        <v>-14</v>
      </c>
      <c r="C396" s="42" t="n">
        <v>95</v>
      </c>
      <c r="D396" s="42" t="n">
        <v>74271010</v>
      </c>
      <c r="E396" s="43" t="n">
        <v>0.8279075026318</v>
      </c>
      <c r="F396" s="43" t="n">
        <v>0.956086127365492</v>
      </c>
      <c r="G396" s="43" t="n">
        <v>0.939760940972201</v>
      </c>
      <c r="H396" s="43" t="n">
        <v>0.93844408809664</v>
      </c>
      <c r="I396" s="42" t="n">
        <v>1</v>
      </c>
      <c r="J396" s="42" t="n">
        <v>1</v>
      </c>
      <c r="K396" s="44" t="str">
        <f aca="false">IF(AND(I396=1,J396=1),"两者都跟住",IF(AND(I396=0,J396=1),"仅 PC-TBD 跟住",IF(AND(I396=1,J396=0),"仅 VIT-LPS 跟住","都没跟住")))</f>
        <v>两者都跟住</v>
      </c>
      <c r="L396" s="45" t="n">
        <f aca="false">F396-G396</f>
        <v>0.0163251863932911</v>
      </c>
      <c r="M396" s="46" t="n">
        <v>0.2784</v>
      </c>
      <c r="N396" s="46" t="n">
        <v>0.1204456</v>
      </c>
      <c r="O396" s="46" t="n">
        <v>0.1944913</v>
      </c>
      <c r="P396" s="46" t="n">
        <v>0.5243928</v>
      </c>
      <c r="Q396" s="46" t="n">
        <v>2.2781846</v>
      </c>
      <c r="R396" s="46" t="n">
        <v>2.0277031</v>
      </c>
      <c r="S396" s="47" t="n">
        <f aca="false">M396+N396+O396</f>
        <v>0.5933369</v>
      </c>
      <c r="T396" s="47" t="n">
        <f aca="false">M396+P396</f>
        <v>0.8027928</v>
      </c>
    </row>
    <row r="397" customFormat="false" ht="15" hidden="false" customHeight="false" outlineLevel="0" collapsed="false">
      <c r="A397" s="42" t="s">
        <v>44</v>
      </c>
      <c r="B397" s="42" t="n">
        <v>-14</v>
      </c>
      <c r="C397" s="42" t="n">
        <v>96</v>
      </c>
      <c r="D397" s="42" t="n">
        <v>74271011</v>
      </c>
      <c r="E397" s="43" t="n">
        <v>0.94550843367479</v>
      </c>
      <c r="F397" s="43" t="n">
        <v>0.95260293188472</v>
      </c>
      <c r="G397" s="43" t="n">
        <v>0.949717054754259</v>
      </c>
      <c r="H397" s="43" t="n">
        <v>0.947976987389505</v>
      </c>
      <c r="I397" s="42" t="n">
        <v>1</v>
      </c>
      <c r="J397" s="42" t="n">
        <v>1</v>
      </c>
      <c r="K397" s="44" t="str">
        <f aca="false">IF(AND(I397=1,J397=1),"两者都跟住",IF(AND(I397=0,J397=1),"仅 PC-TBD 跟住",IF(AND(I397=1,J397=0),"仅 VIT-LPS 跟住","都没跟住")))</f>
        <v>两者都跟住</v>
      </c>
      <c r="L397" s="45" t="n">
        <f aca="false">F397-G397</f>
        <v>0.00288587713046096</v>
      </c>
      <c r="M397" s="46" t="n">
        <v>0.294006</v>
      </c>
      <c r="N397" s="46" t="n">
        <v>0.0956679</v>
      </c>
      <c r="O397" s="46" t="n">
        <v>0.1691067</v>
      </c>
      <c r="P397" s="46" t="n">
        <v>0.5268553</v>
      </c>
      <c r="Q397" s="46" t="n">
        <v>2.5868575</v>
      </c>
      <c r="R397" s="46" t="n">
        <v>2.1674227</v>
      </c>
      <c r="S397" s="47" t="n">
        <f aca="false">M397+N397+O397</f>
        <v>0.5587806</v>
      </c>
      <c r="T397" s="47" t="n">
        <f aca="false">M397+P397</f>
        <v>0.8208613</v>
      </c>
    </row>
    <row r="398" customFormat="false" ht="15" hidden="false" customHeight="false" outlineLevel="0" collapsed="false">
      <c r="A398" s="42" t="s">
        <v>44</v>
      </c>
      <c r="B398" s="42" t="n">
        <v>-14</v>
      </c>
      <c r="C398" s="42" t="n">
        <v>97</v>
      </c>
      <c r="D398" s="42" t="n">
        <v>74271012</v>
      </c>
      <c r="E398" s="43" t="n">
        <v>0.793990349248157</v>
      </c>
      <c r="F398" s="43" t="n">
        <v>0.943664134513512</v>
      </c>
      <c r="G398" s="43" t="n">
        <v>0.957916117668349</v>
      </c>
      <c r="H398" s="43" t="n">
        <v>0.946606240158263</v>
      </c>
      <c r="I398" s="42" t="n">
        <v>1</v>
      </c>
      <c r="J398" s="42" t="n">
        <v>1</v>
      </c>
      <c r="K398" s="44" t="str">
        <f aca="false">IF(AND(I398=1,J398=1),"两者都跟住",IF(AND(I398=0,J398=1),"仅 PC-TBD 跟住",IF(AND(I398=1,J398=0),"仅 VIT-LPS 跟住","都没跟住")))</f>
        <v>两者都跟住</v>
      </c>
      <c r="L398" s="45" t="n">
        <f aca="false">F398-G398</f>
        <v>-0.014251983154837</v>
      </c>
      <c r="M398" s="46" t="n">
        <v>0.1630257</v>
      </c>
      <c r="N398" s="46" t="n">
        <v>0.0855329</v>
      </c>
      <c r="O398" s="46" t="n">
        <v>0.1469294</v>
      </c>
      <c r="P398" s="46" t="n">
        <v>0.4247767</v>
      </c>
      <c r="Q398" s="46" t="n">
        <v>1.6579791</v>
      </c>
      <c r="R398" s="46" t="n">
        <v>1.4085055</v>
      </c>
      <c r="S398" s="47" t="n">
        <f aca="false">M398+N398+O398</f>
        <v>0.395488</v>
      </c>
      <c r="T398" s="47" t="n">
        <f aca="false">M398+P398</f>
        <v>0.5878024</v>
      </c>
    </row>
    <row r="399" customFormat="false" ht="15" hidden="false" customHeight="false" outlineLevel="0" collapsed="false">
      <c r="A399" s="42" t="s">
        <v>44</v>
      </c>
      <c r="B399" s="42" t="n">
        <v>-14</v>
      </c>
      <c r="C399" s="42" t="n">
        <v>98</v>
      </c>
      <c r="D399" s="42" t="n">
        <v>74271013</v>
      </c>
      <c r="E399" s="43" t="n">
        <v>0.846247458347577</v>
      </c>
      <c r="F399" s="43" t="n">
        <v>0.945846991859355</v>
      </c>
      <c r="G399" s="43" t="n">
        <v>0.946076411004767</v>
      </c>
      <c r="H399" s="43" t="n">
        <v>0.945920459576559</v>
      </c>
      <c r="I399" s="42" t="n">
        <v>1</v>
      </c>
      <c r="J399" s="42" t="n">
        <v>1</v>
      </c>
      <c r="K399" s="44" t="str">
        <f aca="false">IF(AND(I399=1,J399=1),"两者都跟住",IF(AND(I399=0,J399=1),"仅 PC-TBD 跟住",IF(AND(I399=1,J399=0),"仅 VIT-LPS 跟住","都没跟住")))</f>
        <v>两者都跟住</v>
      </c>
      <c r="L399" s="45" t="n">
        <f aca="false">F399-G399</f>
        <v>-0.00022941914541208</v>
      </c>
      <c r="M399" s="46" t="n">
        <v>0.1162631</v>
      </c>
      <c r="N399" s="46" t="n">
        <v>0.0949232</v>
      </c>
      <c r="O399" s="46" t="n">
        <v>0.179985</v>
      </c>
      <c r="P399" s="46" t="n">
        <v>0.4633614</v>
      </c>
      <c r="Q399" s="46" t="n">
        <v>1.5104938</v>
      </c>
      <c r="R399" s="46" t="n">
        <v>1.4873904</v>
      </c>
      <c r="S399" s="47" t="n">
        <f aca="false">M399+N399+O399</f>
        <v>0.3911713</v>
      </c>
      <c r="T399" s="47" t="n">
        <f aca="false">M399+P399</f>
        <v>0.5796245</v>
      </c>
    </row>
    <row r="400" customFormat="false" ht="15" hidden="false" customHeight="false" outlineLevel="0" collapsed="false">
      <c r="A400" s="42" t="s">
        <v>44</v>
      </c>
      <c r="B400" s="42" t="n">
        <v>-14</v>
      </c>
      <c r="C400" s="42" t="n">
        <v>99</v>
      </c>
      <c r="D400" s="42" t="n">
        <v>74271014</v>
      </c>
      <c r="E400" s="43" t="n">
        <v>0.938902700427662</v>
      </c>
      <c r="F400" s="43" t="n">
        <v>0.942877203122512</v>
      </c>
      <c r="G400" s="43" t="n">
        <v>0.925434797746703</v>
      </c>
      <c r="H400" s="43" t="n">
        <v>0.944417138239726</v>
      </c>
      <c r="I400" s="42" t="n">
        <v>1</v>
      </c>
      <c r="J400" s="42" t="n">
        <v>1</v>
      </c>
      <c r="K400" s="44" t="str">
        <f aca="false">IF(AND(I400=1,J400=1),"两者都跟住",IF(AND(I400=0,J400=1),"仅 PC-TBD 跟住",IF(AND(I400=1,J400=0),"仅 VIT-LPS 跟住","都没跟住")))</f>
        <v>两者都跟住</v>
      </c>
      <c r="L400" s="45" t="n">
        <f aca="false">F400-G400</f>
        <v>0.017442405375809</v>
      </c>
      <c r="M400" s="46" t="n">
        <v>0.1670439</v>
      </c>
      <c r="N400" s="46" t="n">
        <v>0.0880762</v>
      </c>
      <c r="O400" s="46" t="n">
        <v>0.1272254</v>
      </c>
      <c r="P400" s="46" t="n">
        <v>0.5873059</v>
      </c>
      <c r="Q400" s="46" t="n">
        <v>1.4448336</v>
      </c>
      <c r="R400" s="46" t="n">
        <v>1.0364205</v>
      </c>
      <c r="S400" s="47" t="n">
        <f aca="false">M400+N400+O400</f>
        <v>0.3823455</v>
      </c>
      <c r="T400" s="47" t="n">
        <f aca="false">M400+P400</f>
        <v>0.7543498</v>
      </c>
    </row>
    <row r="401" customFormat="false" ht="15" hidden="false" customHeight="false" outlineLevel="0" collapsed="false">
      <c r="A401" s="42" t="s">
        <v>44</v>
      </c>
      <c r="B401" s="42" t="n">
        <v>-14</v>
      </c>
      <c r="C401" s="42" t="n">
        <v>100</v>
      </c>
      <c r="D401" s="42" t="n">
        <v>74271015</v>
      </c>
      <c r="E401" s="43" t="n">
        <v>0.954321290730357</v>
      </c>
      <c r="F401" s="43" t="n">
        <v>0.959636890853079</v>
      </c>
      <c r="G401" s="43" t="n">
        <v>0.941710089538337</v>
      </c>
      <c r="H401" s="43" t="n">
        <v>0.942368185644994</v>
      </c>
      <c r="I401" s="42" t="n">
        <v>1</v>
      </c>
      <c r="J401" s="42" t="n">
        <v>1</v>
      </c>
      <c r="K401" s="44" t="str">
        <f aca="false">IF(AND(I401=1,J401=1),"两者都跟住",IF(AND(I401=0,J401=1),"仅 PC-TBD 跟住",IF(AND(I401=1,J401=0),"仅 VIT-LPS 跟住","都没跟住")))</f>
        <v>两者都跟住</v>
      </c>
      <c r="L401" s="45" t="n">
        <f aca="false">F401-G401</f>
        <v>0.017926801314742</v>
      </c>
      <c r="M401" s="46" t="n">
        <v>0.1814985</v>
      </c>
      <c r="N401" s="46" t="n">
        <v>0.0786577</v>
      </c>
      <c r="O401" s="46" t="n">
        <v>0.137029</v>
      </c>
      <c r="P401" s="46" t="n">
        <v>0.3960166</v>
      </c>
      <c r="Q401" s="46" t="n">
        <v>1.6573748</v>
      </c>
      <c r="R401" s="46" t="n">
        <v>1.192443</v>
      </c>
      <c r="S401" s="47" t="n">
        <f aca="false">M401+N401+O401</f>
        <v>0.3971852</v>
      </c>
      <c r="T401" s="47" t="n">
        <f aca="false">M401+P401</f>
        <v>0.5775151</v>
      </c>
    </row>
    <row r="402" customFormat="false" ht="15" hidden="false" customHeight="false" outlineLevel="0" collapsed="false">
      <c r="A402" s="42" t="s">
        <v>44</v>
      </c>
      <c r="B402" s="42" t="n">
        <v>-12</v>
      </c>
      <c r="C402" s="42" t="n">
        <v>1</v>
      </c>
      <c r="D402" s="42" t="n">
        <v>74270916</v>
      </c>
      <c r="E402" s="43" t="n">
        <v>0.974613726165684</v>
      </c>
      <c r="F402" s="43" t="n">
        <v>0.986838107569129</v>
      </c>
      <c r="G402" s="43" t="n">
        <v>0.98089581001986</v>
      </c>
      <c r="H402" s="43" t="n">
        <v>0.985982242823073</v>
      </c>
      <c r="I402" s="42" t="n">
        <v>1</v>
      </c>
      <c r="J402" s="42" t="n">
        <v>1</v>
      </c>
      <c r="K402" s="44" t="str">
        <f aca="false">IF(AND(I402=1,J402=1),"两者都跟住",IF(AND(I402=0,J402=1),"仅 PC-TBD 跟住",IF(AND(I402=1,J402=0),"仅 VIT-LPS 跟住","都没跟住")))</f>
        <v>两者都跟住</v>
      </c>
      <c r="L402" s="45" t="n">
        <f aca="false">F402-G402</f>
        <v>0.005942297549269</v>
      </c>
      <c r="M402" s="46" t="n">
        <v>0.7678617</v>
      </c>
      <c r="N402" s="46" t="n">
        <v>0.4075013</v>
      </c>
      <c r="O402" s="46" t="n">
        <v>3.454536</v>
      </c>
      <c r="P402" s="46" t="n">
        <v>0.9341304</v>
      </c>
      <c r="Q402" s="46" t="n">
        <v>3.5315749</v>
      </c>
      <c r="R402" s="46" t="n">
        <v>2.7230535</v>
      </c>
      <c r="S402" s="47" t="n">
        <f aca="false">M402+N402+O402</f>
        <v>4.629899</v>
      </c>
      <c r="T402" s="47" t="n">
        <f aca="false">M402+P402</f>
        <v>1.7019921</v>
      </c>
    </row>
    <row r="403" customFormat="false" ht="15" hidden="false" customHeight="false" outlineLevel="0" collapsed="false">
      <c r="A403" s="42" t="s">
        <v>44</v>
      </c>
      <c r="B403" s="42" t="n">
        <v>-12</v>
      </c>
      <c r="C403" s="42" t="n">
        <v>2</v>
      </c>
      <c r="D403" s="42" t="n">
        <v>74270917</v>
      </c>
      <c r="E403" s="43" t="n">
        <v>0.927541856128818</v>
      </c>
      <c r="F403" s="43" t="n">
        <v>0.959644689867407</v>
      </c>
      <c r="G403" s="43" t="n">
        <v>0.960832202191907</v>
      </c>
      <c r="H403" s="43" t="n">
        <v>0.956277132782838</v>
      </c>
      <c r="I403" s="42" t="n">
        <v>1</v>
      </c>
      <c r="J403" s="42" t="n">
        <v>1</v>
      </c>
      <c r="K403" s="44" t="str">
        <f aca="false">IF(AND(I403=1,J403=1),"两者都跟住",IF(AND(I403=0,J403=1),"仅 PC-TBD 跟住",IF(AND(I403=1,J403=0),"仅 VIT-LPS 跟住","都没跟住")))</f>
        <v>两者都跟住</v>
      </c>
      <c r="L403" s="45" t="n">
        <f aca="false">F403-G403</f>
        <v>-0.00118751232449998</v>
      </c>
      <c r="M403" s="46" t="n">
        <v>0.7992887</v>
      </c>
      <c r="N403" s="46" t="n">
        <v>0.4399575</v>
      </c>
      <c r="O403" s="46" t="n">
        <v>3.4706324</v>
      </c>
      <c r="P403" s="46" t="n">
        <v>1.0029353</v>
      </c>
      <c r="Q403" s="46" t="n">
        <v>3.501885</v>
      </c>
      <c r="R403" s="46" t="n">
        <v>2.1898204</v>
      </c>
      <c r="S403" s="47" t="n">
        <f aca="false">M403+N403+O403</f>
        <v>4.7098786</v>
      </c>
      <c r="T403" s="47" t="n">
        <f aca="false">M403+P403</f>
        <v>1.802224</v>
      </c>
    </row>
    <row r="404" customFormat="false" ht="15" hidden="false" customHeight="false" outlineLevel="0" collapsed="false">
      <c r="A404" s="42" t="s">
        <v>44</v>
      </c>
      <c r="B404" s="42" t="n">
        <v>-12</v>
      </c>
      <c r="C404" s="42" t="n">
        <v>3</v>
      </c>
      <c r="D404" s="42" t="n">
        <v>74270918</v>
      </c>
      <c r="E404" s="43" t="n">
        <v>0.945266493729011</v>
      </c>
      <c r="F404" s="43" t="n">
        <v>0.958520252188649</v>
      </c>
      <c r="G404" s="43" t="n">
        <v>0.954712451877899</v>
      </c>
      <c r="H404" s="43" t="n">
        <v>0.957386050754291</v>
      </c>
      <c r="I404" s="42" t="n">
        <v>1</v>
      </c>
      <c r="J404" s="42" t="n">
        <v>1</v>
      </c>
      <c r="K404" s="44" t="str">
        <f aca="false">IF(AND(I404=1,J404=1),"两者都跟住",IF(AND(I404=0,J404=1),"仅 PC-TBD 跟住",IF(AND(I404=1,J404=0),"仅 VIT-LPS 跟住","都没跟住")))</f>
        <v>两者都跟住</v>
      </c>
      <c r="L404" s="45" t="n">
        <f aca="false">F404-G404</f>
        <v>0.00380780031075001</v>
      </c>
      <c r="M404" s="46" t="n">
        <v>0.743498</v>
      </c>
      <c r="N404" s="46" t="n">
        <v>0.4075266</v>
      </c>
      <c r="O404" s="46" t="n">
        <v>3.460978</v>
      </c>
      <c r="P404" s="46" t="n">
        <v>0.9985061</v>
      </c>
      <c r="Q404" s="46" t="n">
        <v>3.4855256</v>
      </c>
      <c r="R404" s="46" t="n">
        <v>2.5483365</v>
      </c>
      <c r="S404" s="47" t="n">
        <f aca="false">M404+N404+O404</f>
        <v>4.6120026</v>
      </c>
      <c r="T404" s="47" t="n">
        <f aca="false">M404+P404</f>
        <v>1.7420041</v>
      </c>
    </row>
    <row r="405" customFormat="false" ht="15" hidden="false" customHeight="false" outlineLevel="0" collapsed="false">
      <c r="A405" s="42" t="s">
        <v>44</v>
      </c>
      <c r="B405" s="42" t="n">
        <v>-12</v>
      </c>
      <c r="C405" s="42" t="n">
        <v>4</v>
      </c>
      <c r="D405" s="42" t="n">
        <v>74270919</v>
      </c>
      <c r="E405" s="43" t="n">
        <v>0.971991047875701</v>
      </c>
      <c r="F405" s="43" t="n">
        <v>0.974509953206731</v>
      </c>
      <c r="G405" s="43" t="n">
        <v>0.960294913730176</v>
      </c>
      <c r="H405" s="43" t="n">
        <v>0.968379727909853</v>
      </c>
      <c r="I405" s="42" t="n">
        <v>1</v>
      </c>
      <c r="J405" s="42" t="n">
        <v>1</v>
      </c>
      <c r="K405" s="44" t="str">
        <f aca="false">IF(AND(I405=1,J405=1),"两者都跟住",IF(AND(I405=0,J405=1),"仅 PC-TBD 跟住",IF(AND(I405=1,J405=0),"仅 VIT-LPS 跟住","都没跟住")))</f>
        <v>两者都跟住</v>
      </c>
      <c r="L405" s="45" t="n">
        <f aca="false">F405-G405</f>
        <v>0.014215039476555</v>
      </c>
      <c r="M405" s="46" t="n">
        <v>0.876022</v>
      </c>
      <c r="N405" s="46" t="n">
        <v>0.4096706</v>
      </c>
      <c r="O405" s="46" t="n">
        <v>3.4565432</v>
      </c>
      <c r="P405" s="46" t="n">
        <v>0.9361352</v>
      </c>
      <c r="Q405" s="46" t="n">
        <v>3.3162046</v>
      </c>
      <c r="R405" s="46" t="n">
        <v>2.422975</v>
      </c>
      <c r="S405" s="47" t="n">
        <f aca="false">M405+N405+O405</f>
        <v>4.7422358</v>
      </c>
      <c r="T405" s="47" t="n">
        <f aca="false">M405+P405</f>
        <v>1.8121572</v>
      </c>
    </row>
    <row r="406" customFormat="false" ht="15" hidden="false" customHeight="false" outlineLevel="0" collapsed="false">
      <c r="A406" s="42" t="s">
        <v>44</v>
      </c>
      <c r="B406" s="42" t="n">
        <v>-12</v>
      </c>
      <c r="C406" s="42" t="n">
        <v>5</v>
      </c>
      <c r="D406" s="42" t="n">
        <v>74270920</v>
      </c>
      <c r="E406" s="43" t="n">
        <v>0.980522655328024</v>
      </c>
      <c r="F406" s="43" t="n">
        <v>0.980955690197386</v>
      </c>
      <c r="G406" s="43" t="n">
        <v>0.967316444337541</v>
      </c>
      <c r="H406" s="43" t="n">
        <v>0.978259502511716</v>
      </c>
      <c r="I406" s="42" t="n">
        <v>1</v>
      </c>
      <c r="J406" s="42" t="n">
        <v>1</v>
      </c>
      <c r="K406" s="44" t="str">
        <f aca="false">IF(AND(I406=1,J406=1),"两者都跟住",IF(AND(I406=0,J406=1),"仅 PC-TBD 跟住",IF(AND(I406=1,J406=0),"仅 VIT-LPS 跟住","都没跟住")))</f>
        <v>两者都跟住</v>
      </c>
      <c r="L406" s="45" t="n">
        <f aca="false">F406-G406</f>
        <v>0.013639245859845</v>
      </c>
      <c r="M406" s="46" t="n">
        <v>0.8044405</v>
      </c>
      <c r="N406" s="46" t="n">
        <v>0.4236747</v>
      </c>
      <c r="O406" s="46" t="n">
        <v>3.456449</v>
      </c>
      <c r="P406" s="46" t="n">
        <v>1.0605097</v>
      </c>
      <c r="Q406" s="46" t="n">
        <v>3.2695027</v>
      </c>
      <c r="R406" s="46" t="n">
        <v>2.8335079</v>
      </c>
      <c r="S406" s="47" t="n">
        <f aca="false">M406+N406+O406</f>
        <v>4.6845642</v>
      </c>
      <c r="T406" s="47" t="n">
        <f aca="false">M406+P406</f>
        <v>1.8649502</v>
      </c>
    </row>
    <row r="407" customFormat="false" ht="15" hidden="false" customHeight="false" outlineLevel="0" collapsed="false">
      <c r="A407" s="42" t="s">
        <v>44</v>
      </c>
      <c r="B407" s="42" t="n">
        <v>-12</v>
      </c>
      <c r="C407" s="42" t="n">
        <v>6</v>
      </c>
      <c r="D407" s="42" t="n">
        <v>74270921</v>
      </c>
      <c r="E407" s="43" t="n">
        <v>0.95169655144689</v>
      </c>
      <c r="F407" s="43" t="n">
        <v>0.98071802842829</v>
      </c>
      <c r="G407" s="43" t="n">
        <v>0.977240574288967</v>
      </c>
      <c r="H407" s="43" t="n">
        <v>0.978765570665381</v>
      </c>
      <c r="I407" s="42" t="n">
        <v>1</v>
      </c>
      <c r="J407" s="42" t="n">
        <v>1</v>
      </c>
      <c r="K407" s="44" t="str">
        <f aca="false">IF(AND(I407=1,J407=1),"两者都跟住",IF(AND(I407=0,J407=1),"仅 PC-TBD 跟住",IF(AND(I407=1,J407=0),"仅 VIT-LPS 跟住","都没跟住")))</f>
        <v>两者都跟住</v>
      </c>
      <c r="L407" s="45" t="n">
        <f aca="false">F407-G407</f>
        <v>0.00347745413932299</v>
      </c>
      <c r="M407" s="46" t="n">
        <v>0.7940936</v>
      </c>
      <c r="N407" s="46" t="n">
        <v>0.4105237</v>
      </c>
      <c r="O407" s="46" t="n">
        <v>3.4676819</v>
      </c>
      <c r="P407" s="46" t="n">
        <v>1.0440515</v>
      </c>
      <c r="Q407" s="46" t="n">
        <v>3.5888542</v>
      </c>
      <c r="R407" s="46" t="n">
        <v>2.7087542</v>
      </c>
      <c r="S407" s="47" t="n">
        <f aca="false">M407+N407+O407</f>
        <v>4.6722992</v>
      </c>
      <c r="T407" s="47" t="n">
        <f aca="false">M407+P407</f>
        <v>1.8381451</v>
      </c>
    </row>
    <row r="408" customFormat="false" ht="15" hidden="false" customHeight="false" outlineLevel="0" collapsed="false">
      <c r="A408" s="42" t="s">
        <v>44</v>
      </c>
      <c r="B408" s="42" t="n">
        <v>-12</v>
      </c>
      <c r="C408" s="42" t="n">
        <v>7</v>
      </c>
      <c r="D408" s="42" t="n">
        <v>74270922</v>
      </c>
      <c r="E408" s="43" t="n">
        <v>0.978775690379484</v>
      </c>
      <c r="F408" s="43" t="n">
        <v>0.980481557268051</v>
      </c>
      <c r="G408" s="43" t="n">
        <v>0.984584862107469</v>
      </c>
      <c r="H408" s="43" t="n">
        <v>0.979651816211071</v>
      </c>
      <c r="I408" s="42" t="n">
        <v>1</v>
      </c>
      <c r="J408" s="42" t="n">
        <v>1</v>
      </c>
      <c r="K408" s="44" t="str">
        <f aca="false">IF(AND(I408=1,J408=1),"两者都跟住",IF(AND(I408=0,J408=1),"仅 PC-TBD 跟住",IF(AND(I408=1,J408=0),"仅 VIT-LPS 跟住","都没跟住")))</f>
        <v>两者都跟住</v>
      </c>
      <c r="L408" s="45" t="n">
        <f aca="false">F408-G408</f>
        <v>-0.00410330483941801</v>
      </c>
      <c r="M408" s="46" t="n">
        <v>0.2354146</v>
      </c>
      <c r="N408" s="46" t="n">
        <v>0.1604023</v>
      </c>
      <c r="O408" s="46" t="n">
        <v>0.3702145</v>
      </c>
      <c r="P408" s="46" t="n">
        <v>0.6794322</v>
      </c>
      <c r="Q408" s="46" t="n">
        <v>1.7750533</v>
      </c>
      <c r="R408" s="46" t="n">
        <v>1.4809795</v>
      </c>
      <c r="S408" s="47" t="n">
        <f aca="false">M408+N408+O408</f>
        <v>0.7660314</v>
      </c>
      <c r="T408" s="47" t="n">
        <f aca="false">M408+P408</f>
        <v>0.9148468</v>
      </c>
    </row>
    <row r="409" customFormat="false" ht="15" hidden="false" customHeight="false" outlineLevel="0" collapsed="false">
      <c r="A409" s="42" t="s">
        <v>44</v>
      </c>
      <c r="B409" s="42" t="n">
        <v>-12</v>
      </c>
      <c r="C409" s="42" t="n">
        <v>8</v>
      </c>
      <c r="D409" s="42" t="n">
        <v>74270923</v>
      </c>
      <c r="E409" s="43" t="n">
        <v>0.948033835015947</v>
      </c>
      <c r="F409" s="43" t="n">
        <v>0.968632401634406</v>
      </c>
      <c r="G409" s="43" t="n">
        <v>0.962295403669169</v>
      </c>
      <c r="H409" s="43" t="n">
        <v>0.968252857200945</v>
      </c>
      <c r="I409" s="42" t="n">
        <v>1</v>
      </c>
      <c r="J409" s="42" t="n">
        <v>1</v>
      </c>
      <c r="K409" s="44" t="str">
        <f aca="false">IF(AND(I409=1,J409=1),"两者都跟住",IF(AND(I409=0,J409=1),"仅 PC-TBD 跟住",IF(AND(I409=1,J409=0),"仅 VIT-LPS 跟住","都没跟住")))</f>
        <v>两者都跟住</v>
      </c>
      <c r="L409" s="45" t="n">
        <f aca="false">F409-G409</f>
        <v>0.00633699796523701</v>
      </c>
      <c r="M409" s="46" t="n">
        <v>0.2540784</v>
      </c>
      <c r="N409" s="46" t="n">
        <v>0.1576783</v>
      </c>
      <c r="O409" s="46" t="n">
        <v>0.3475129</v>
      </c>
      <c r="P409" s="46" t="n">
        <v>0.5939285</v>
      </c>
      <c r="Q409" s="46" t="n">
        <v>1.7751677</v>
      </c>
      <c r="R409" s="46" t="n">
        <v>1.3566766</v>
      </c>
      <c r="S409" s="47" t="n">
        <f aca="false">M409+N409+O409</f>
        <v>0.7592696</v>
      </c>
      <c r="T409" s="47" t="n">
        <f aca="false">M409+P409</f>
        <v>0.8480069</v>
      </c>
    </row>
    <row r="410" customFormat="false" ht="15" hidden="false" customHeight="false" outlineLevel="0" collapsed="false">
      <c r="A410" s="42" t="s">
        <v>44</v>
      </c>
      <c r="B410" s="42" t="n">
        <v>-12</v>
      </c>
      <c r="C410" s="42" t="n">
        <v>9</v>
      </c>
      <c r="D410" s="42" t="n">
        <v>74270924</v>
      </c>
      <c r="E410" s="43" t="n">
        <v>0.952773538283012</v>
      </c>
      <c r="F410" s="43" t="n">
        <v>0.97705406003938</v>
      </c>
      <c r="G410" s="43" t="n">
        <v>0.970614592875034</v>
      </c>
      <c r="H410" s="43" t="n">
        <v>0.976183573281833</v>
      </c>
      <c r="I410" s="42" t="n">
        <v>1</v>
      </c>
      <c r="J410" s="42" t="n">
        <v>1</v>
      </c>
      <c r="K410" s="44" t="str">
        <f aca="false">IF(AND(I410=1,J410=1),"两者都跟住",IF(AND(I410=0,J410=1),"仅 PC-TBD 跟住",IF(AND(I410=1,J410=0),"仅 VIT-LPS 跟住","都没跟住")))</f>
        <v>两者都跟住</v>
      </c>
      <c r="L410" s="45" t="n">
        <f aca="false">F410-G410</f>
        <v>0.00643946716434596</v>
      </c>
      <c r="M410" s="46" t="n">
        <v>0.1800335</v>
      </c>
      <c r="N410" s="46" t="n">
        <v>0.1396121</v>
      </c>
      <c r="O410" s="46" t="n">
        <v>0.3961828</v>
      </c>
      <c r="P410" s="46" t="n">
        <v>0.7048727</v>
      </c>
      <c r="Q410" s="46" t="n">
        <v>2.065123</v>
      </c>
      <c r="R410" s="46" t="n">
        <v>1.5086951</v>
      </c>
      <c r="S410" s="47" t="n">
        <f aca="false">M410+N410+O410</f>
        <v>0.7158284</v>
      </c>
      <c r="T410" s="47" t="n">
        <f aca="false">M410+P410</f>
        <v>0.8849062</v>
      </c>
    </row>
    <row r="411" customFormat="false" ht="15" hidden="false" customHeight="false" outlineLevel="0" collapsed="false">
      <c r="A411" s="42" t="s">
        <v>44</v>
      </c>
      <c r="B411" s="42" t="n">
        <v>-12</v>
      </c>
      <c r="C411" s="42" t="n">
        <v>10</v>
      </c>
      <c r="D411" s="42" t="n">
        <v>74270925</v>
      </c>
      <c r="E411" s="43" t="n">
        <v>0.949427204376427</v>
      </c>
      <c r="F411" s="43" t="n">
        <v>0.968372305274665</v>
      </c>
      <c r="G411" s="43" t="n">
        <v>0.963980733423302</v>
      </c>
      <c r="H411" s="43" t="n">
        <v>0.963164642851754</v>
      </c>
      <c r="I411" s="42" t="n">
        <v>1</v>
      </c>
      <c r="J411" s="42" t="n">
        <v>1</v>
      </c>
      <c r="K411" s="44" t="str">
        <f aca="false">IF(AND(I411=1,J411=1),"两者都跟住",IF(AND(I411=0,J411=1),"仅 PC-TBD 跟住",IF(AND(I411=1,J411=0),"仅 VIT-LPS 跟住","都没跟住")))</f>
        <v>两者都跟住</v>
      </c>
      <c r="L411" s="45" t="n">
        <f aca="false">F411-G411</f>
        <v>0.00439157185136296</v>
      </c>
      <c r="M411" s="46" t="n">
        <v>0.2509608</v>
      </c>
      <c r="N411" s="46" t="n">
        <v>0.1337942</v>
      </c>
      <c r="O411" s="46" t="n">
        <v>0.2711521</v>
      </c>
      <c r="P411" s="46" t="n">
        <v>0.5244472</v>
      </c>
      <c r="Q411" s="46" t="n">
        <v>1.7886149</v>
      </c>
      <c r="R411" s="46" t="n">
        <v>1.6105118</v>
      </c>
      <c r="S411" s="47" t="n">
        <f aca="false">M411+N411+O411</f>
        <v>0.6559071</v>
      </c>
      <c r="T411" s="47" t="n">
        <f aca="false">M411+P411</f>
        <v>0.775408</v>
      </c>
    </row>
    <row r="412" customFormat="false" ht="15" hidden="false" customHeight="false" outlineLevel="0" collapsed="false">
      <c r="A412" s="42" t="s">
        <v>44</v>
      </c>
      <c r="B412" s="42" t="n">
        <v>-12</v>
      </c>
      <c r="C412" s="42" t="n">
        <v>11</v>
      </c>
      <c r="D412" s="42" t="n">
        <v>74270926</v>
      </c>
      <c r="E412" s="43" t="n">
        <v>0.744735368004512</v>
      </c>
      <c r="F412" s="43" t="n">
        <v>0.968472994397758</v>
      </c>
      <c r="G412" s="43" t="n">
        <v>0.965622936845856</v>
      </c>
      <c r="H412" s="43" t="n">
        <v>0.965472252175367</v>
      </c>
      <c r="I412" s="42" t="n">
        <v>1</v>
      </c>
      <c r="J412" s="42" t="n">
        <v>1</v>
      </c>
      <c r="K412" s="44" t="str">
        <f aca="false">IF(AND(I412=1,J412=1),"两者都跟住",IF(AND(I412=0,J412=1),"仅 PC-TBD 跟住",IF(AND(I412=1,J412=0),"仅 VIT-LPS 跟住","都没跟住")))</f>
        <v>两者都跟住</v>
      </c>
      <c r="L412" s="45" t="n">
        <f aca="false">F412-G412</f>
        <v>0.00285005755190204</v>
      </c>
      <c r="M412" s="46" t="n">
        <v>0.4104395</v>
      </c>
      <c r="N412" s="46" t="n">
        <v>0.1723158</v>
      </c>
      <c r="O412" s="46" t="n">
        <v>0.2966716</v>
      </c>
      <c r="P412" s="46" t="n">
        <v>0.7873568</v>
      </c>
      <c r="Q412" s="46" t="n">
        <v>2.5248578</v>
      </c>
      <c r="R412" s="46" t="n">
        <v>2.0831702</v>
      </c>
      <c r="S412" s="47" t="n">
        <f aca="false">M412+N412+O412</f>
        <v>0.8794269</v>
      </c>
      <c r="T412" s="47" t="n">
        <f aca="false">M412+P412</f>
        <v>1.1977963</v>
      </c>
    </row>
    <row r="413" customFormat="false" ht="15" hidden="false" customHeight="false" outlineLevel="0" collapsed="false">
      <c r="A413" s="42" t="s">
        <v>44</v>
      </c>
      <c r="B413" s="42" t="n">
        <v>-12</v>
      </c>
      <c r="C413" s="42" t="n">
        <v>12</v>
      </c>
      <c r="D413" s="42" t="n">
        <v>74270927</v>
      </c>
      <c r="E413" s="43" t="n">
        <v>0.955556765553612</v>
      </c>
      <c r="F413" s="43" t="n">
        <v>0.982948398719056</v>
      </c>
      <c r="G413" s="43" t="n">
        <v>0.97478224482355</v>
      </c>
      <c r="H413" s="43" t="n">
        <v>0.983106065334606</v>
      </c>
      <c r="I413" s="42" t="n">
        <v>1</v>
      </c>
      <c r="J413" s="42" t="n">
        <v>1</v>
      </c>
      <c r="K413" s="44" t="str">
        <f aca="false">IF(AND(I413=1,J413=1),"两者都跟住",IF(AND(I413=0,J413=1),"仅 PC-TBD 跟住",IF(AND(I413=1,J413=0),"仅 VIT-LPS 跟住","都没跟住")))</f>
        <v>两者都跟住</v>
      </c>
      <c r="L413" s="45" t="n">
        <f aca="false">F413-G413</f>
        <v>0.00816615389550601</v>
      </c>
      <c r="M413" s="46" t="n">
        <v>0.3946294</v>
      </c>
      <c r="N413" s="46" t="n">
        <v>0.1755214</v>
      </c>
      <c r="O413" s="46" t="n">
        <v>0.3218035</v>
      </c>
      <c r="P413" s="46" t="n">
        <v>1.0567761</v>
      </c>
      <c r="Q413" s="46" t="n">
        <v>2.4640402</v>
      </c>
      <c r="R413" s="46" t="n">
        <v>1.8210071</v>
      </c>
      <c r="S413" s="47" t="n">
        <f aca="false">M413+N413+O413</f>
        <v>0.8919543</v>
      </c>
      <c r="T413" s="47" t="n">
        <f aca="false">M413+P413</f>
        <v>1.4514055</v>
      </c>
    </row>
    <row r="414" customFormat="false" ht="15" hidden="false" customHeight="false" outlineLevel="0" collapsed="false">
      <c r="A414" s="42" t="s">
        <v>44</v>
      </c>
      <c r="B414" s="42" t="n">
        <v>-12</v>
      </c>
      <c r="C414" s="42" t="n">
        <v>13</v>
      </c>
      <c r="D414" s="42" t="n">
        <v>74270928</v>
      </c>
      <c r="E414" s="43" t="n">
        <v>0.949115844620818</v>
      </c>
      <c r="F414" s="43" t="n">
        <v>0.967439532516935</v>
      </c>
      <c r="G414" s="43" t="n">
        <v>0.863845002342608</v>
      </c>
      <c r="H414" s="43" t="n">
        <v>0.872143369391114</v>
      </c>
      <c r="I414" s="42" t="n">
        <v>1</v>
      </c>
      <c r="J414" s="42" t="n">
        <v>1</v>
      </c>
      <c r="K414" s="44" t="str">
        <f aca="false">IF(AND(I414=1,J414=1),"两者都跟住",IF(AND(I414=0,J414=1),"仅 PC-TBD 跟住",IF(AND(I414=1,J414=0),"仅 VIT-LPS 跟住","都没跟住")))</f>
        <v>两者都跟住</v>
      </c>
      <c r="L414" s="45" t="n">
        <f aca="false">F414-G414</f>
        <v>0.103594530174327</v>
      </c>
      <c r="M414" s="46" t="n">
        <v>0.4114386</v>
      </c>
      <c r="N414" s="46" t="n">
        <v>0.1728567</v>
      </c>
      <c r="O414" s="46" t="n">
        <v>0.3094563</v>
      </c>
      <c r="P414" s="46" t="n">
        <v>1.2059561</v>
      </c>
      <c r="Q414" s="46" t="n">
        <v>2.1614963</v>
      </c>
      <c r="R414" s="46" t="n">
        <v>2.4384278</v>
      </c>
      <c r="S414" s="47" t="n">
        <f aca="false">M414+N414+O414</f>
        <v>0.8937516</v>
      </c>
      <c r="T414" s="47" t="n">
        <f aca="false">M414+P414</f>
        <v>1.6173947</v>
      </c>
    </row>
    <row r="415" customFormat="false" ht="15" hidden="false" customHeight="false" outlineLevel="0" collapsed="false">
      <c r="A415" s="42" t="s">
        <v>44</v>
      </c>
      <c r="B415" s="42" t="n">
        <v>-12</v>
      </c>
      <c r="C415" s="42" t="n">
        <v>14</v>
      </c>
      <c r="D415" s="42" t="n">
        <v>74270929</v>
      </c>
      <c r="E415" s="43" t="n">
        <v>0.97831742264435</v>
      </c>
      <c r="F415" s="43" t="n">
        <v>0.982198571201321</v>
      </c>
      <c r="G415" s="43" t="n">
        <v>0.981725480349285</v>
      </c>
      <c r="H415" s="43" t="n">
        <v>0.980392198743136</v>
      </c>
      <c r="I415" s="42" t="n">
        <v>1</v>
      </c>
      <c r="J415" s="42" t="n">
        <v>1</v>
      </c>
      <c r="K415" s="44" t="str">
        <f aca="false">IF(AND(I415=1,J415=1),"两者都跟住",IF(AND(I415=0,J415=1),"仅 PC-TBD 跟住",IF(AND(I415=1,J415=0),"仅 VIT-LPS 跟住","都没跟住")))</f>
        <v>两者都跟住</v>
      </c>
      <c r="L415" s="45" t="n">
        <f aca="false">F415-G415</f>
        <v>0.000473090852036062</v>
      </c>
      <c r="M415" s="46" t="n">
        <v>0.4012156</v>
      </c>
      <c r="N415" s="46" t="n">
        <v>0.1674334</v>
      </c>
      <c r="O415" s="46" t="n">
        <v>0.3356146</v>
      </c>
      <c r="P415" s="46" t="n">
        <v>0.8020462</v>
      </c>
      <c r="Q415" s="46" t="n">
        <v>2.6122537</v>
      </c>
      <c r="R415" s="46" t="n">
        <v>2.2882123</v>
      </c>
      <c r="S415" s="47" t="n">
        <f aca="false">M415+N415+O415</f>
        <v>0.9042636</v>
      </c>
      <c r="T415" s="47" t="n">
        <f aca="false">M415+P415</f>
        <v>1.2032618</v>
      </c>
    </row>
    <row r="416" customFormat="false" ht="15" hidden="false" customHeight="false" outlineLevel="0" collapsed="false">
      <c r="A416" s="42" t="s">
        <v>44</v>
      </c>
      <c r="B416" s="42" t="n">
        <v>-12</v>
      </c>
      <c r="C416" s="42" t="n">
        <v>15</v>
      </c>
      <c r="D416" s="42" t="n">
        <v>74270930</v>
      </c>
      <c r="E416" s="43" t="n">
        <v>0.976509690967206</v>
      </c>
      <c r="F416" s="43" t="n">
        <v>0.981473359637841</v>
      </c>
      <c r="G416" s="43" t="n">
        <v>0.974804284634406</v>
      </c>
      <c r="H416" s="43" t="n">
        <v>0.976729117621597</v>
      </c>
      <c r="I416" s="42" t="n">
        <v>1</v>
      </c>
      <c r="J416" s="42" t="n">
        <v>1</v>
      </c>
      <c r="K416" s="44" t="str">
        <f aca="false">IF(AND(I416=1,J416=1),"两者都跟住",IF(AND(I416=0,J416=1),"仅 PC-TBD 跟住",IF(AND(I416=1,J416=0),"仅 VIT-LPS 跟住","都没跟住")))</f>
        <v>两者都跟住</v>
      </c>
      <c r="L416" s="45" t="n">
        <f aca="false">F416-G416</f>
        <v>0.00666907500343494</v>
      </c>
      <c r="M416" s="46" t="n">
        <v>0.3736218</v>
      </c>
      <c r="N416" s="46" t="n">
        <v>0.1676392</v>
      </c>
      <c r="O416" s="46" t="n">
        <v>0.4503829</v>
      </c>
      <c r="P416" s="46" t="n">
        <v>1.0534008</v>
      </c>
      <c r="Q416" s="46" t="n">
        <v>2.4161596</v>
      </c>
      <c r="R416" s="46" t="n">
        <v>2.2166175</v>
      </c>
      <c r="S416" s="47" t="n">
        <f aca="false">M416+N416+O416</f>
        <v>0.9916439</v>
      </c>
      <c r="T416" s="47" t="n">
        <f aca="false">M416+P416</f>
        <v>1.4270226</v>
      </c>
    </row>
    <row r="417" customFormat="false" ht="15" hidden="false" customHeight="false" outlineLevel="0" collapsed="false">
      <c r="A417" s="42" t="s">
        <v>44</v>
      </c>
      <c r="B417" s="42" t="n">
        <v>-12</v>
      </c>
      <c r="C417" s="42" t="n">
        <v>16</v>
      </c>
      <c r="D417" s="42" t="n">
        <v>74270931</v>
      </c>
      <c r="E417" s="43" t="n">
        <v>0.951754359249087</v>
      </c>
      <c r="F417" s="43" t="n">
        <v>0.972451764252634</v>
      </c>
      <c r="G417" s="43" t="n">
        <v>0.982638739608806</v>
      </c>
      <c r="H417" s="43" t="n">
        <v>0.973927457253432</v>
      </c>
      <c r="I417" s="42" t="n">
        <v>1</v>
      </c>
      <c r="J417" s="42" t="n">
        <v>1</v>
      </c>
      <c r="K417" s="44" t="str">
        <f aca="false">IF(AND(I417=1,J417=1),"两者都跟住",IF(AND(I417=0,J417=1),"仅 PC-TBD 跟住",IF(AND(I417=1,J417=0),"仅 VIT-LPS 跟住","都没跟住")))</f>
        <v>两者都跟住</v>
      </c>
      <c r="L417" s="45" t="n">
        <f aca="false">F417-G417</f>
        <v>-0.010186975356172</v>
      </c>
      <c r="M417" s="46" t="n">
        <v>0.3920167</v>
      </c>
      <c r="N417" s="46" t="n">
        <v>0.1560582</v>
      </c>
      <c r="O417" s="46" t="n">
        <v>0.4218527</v>
      </c>
      <c r="P417" s="46" t="n">
        <v>0.8629465</v>
      </c>
      <c r="Q417" s="46" t="n">
        <v>2.4234678</v>
      </c>
      <c r="R417" s="46" t="n">
        <v>2.2488592</v>
      </c>
      <c r="S417" s="47" t="n">
        <f aca="false">M417+N417+O417</f>
        <v>0.9699276</v>
      </c>
      <c r="T417" s="47" t="n">
        <f aca="false">M417+P417</f>
        <v>1.2549632</v>
      </c>
    </row>
    <row r="418" customFormat="false" ht="15" hidden="false" customHeight="false" outlineLevel="0" collapsed="false">
      <c r="A418" s="42" t="s">
        <v>44</v>
      </c>
      <c r="B418" s="42" t="n">
        <v>-12</v>
      </c>
      <c r="C418" s="42" t="n">
        <v>17</v>
      </c>
      <c r="D418" s="42" t="n">
        <v>74270932</v>
      </c>
      <c r="E418" s="43" t="n">
        <v>0.951676240713493</v>
      </c>
      <c r="F418" s="43" t="n">
        <v>0.980852266779358</v>
      </c>
      <c r="G418" s="43" t="n">
        <v>0.973308967050958</v>
      </c>
      <c r="H418" s="43" t="n">
        <v>0.977866323321199</v>
      </c>
      <c r="I418" s="42" t="n">
        <v>1</v>
      </c>
      <c r="J418" s="42" t="n">
        <v>1</v>
      </c>
      <c r="K418" s="44" t="str">
        <f aca="false">IF(AND(I418=1,J418=1),"两者都跟住",IF(AND(I418=0,J418=1),"仅 PC-TBD 跟住",IF(AND(I418=1,J418=0),"仅 VIT-LPS 跟住","都没跟住")))</f>
        <v>两者都跟住</v>
      </c>
      <c r="L418" s="45" t="n">
        <f aca="false">F418-G418</f>
        <v>0.00754329972839996</v>
      </c>
      <c r="M418" s="46" t="n">
        <v>0.1712519</v>
      </c>
      <c r="N418" s="46" t="n">
        <v>0.1374628</v>
      </c>
      <c r="O418" s="46" t="n">
        <v>0.2610873</v>
      </c>
      <c r="P418" s="46" t="n">
        <v>0.7538483</v>
      </c>
      <c r="Q418" s="46" t="n">
        <v>1.960905</v>
      </c>
      <c r="R418" s="46" t="n">
        <v>1.2934738</v>
      </c>
      <c r="S418" s="47" t="n">
        <f aca="false">M418+N418+O418</f>
        <v>0.569802</v>
      </c>
      <c r="T418" s="47" t="n">
        <f aca="false">M418+P418</f>
        <v>0.9251002</v>
      </c>
    </row>
    <row r="419" customFormat="false" ht="15" hidden="false" customHeight="false" outlineLevel="0" collapsed="false">
      <c r="A419" s="42" t="s">
        <v>44</v>
      </c>
      <c r="B419" s="42" t="n">
        <v>-12</v>
      </c>
      <c r="C419" s="42" t="n">
        <v>18</v>
      </c>
      <c r="D419" s="42" t="n">
        <v>74270933</v>
      </c>
      <c r="E419" s="43" t="n">
        <v>0.952959704252899</v>
      </c>
      <c r="F419" s="43" t="n">
        <v>0.970780935860181</v>
      </c>
      <c r="G419" s="43" t="n">
        <v>0.962540823677871</v>
      </c>
      <c r="H419" s="43" t="n">
        <v>0.966899239558568</v>
      </c>
      <c r="I419" s="42" t="n">
        <v>1</v>
      </c>
      <c r="J419" s="42" t="n">
        <v>1</v>
      </c>
      <c r="K419" s="44" t="str">
        <f aca="false">IF(AND(I419=1,J419=1),"两者都跟住",IF(AND(I419=0,J419=1),"仅 PC-TBD 跟住",IF(AND(I419=1,J419=0),"仅 VIT-LPS 跟住","都没跟住")))</f>
        <v>两者都跟住</v>
      </c>
      <c r="L419" s="45" t="n">
        <f aca="false">F419-G419</f>
        <v>0.00824011218231002</v>
      </c>
      <c r="M419" s="46" t="n">
        <v>0.1592883</v>
      </c>
      <c r="N419" s="46" t="n">
        <v>0.1123819</v>
      </c>
      <c r="O419" s="46" t="n">
        <v>0.2366232</v>
      </c>
      <c r="P419" s="46" t="n">
        <v>0.605375</v>
      </c>
      <c r="Q419" s="46" t="n">
        <v>1.6450547</v>
      </c>
      <c r="R419" s="46" t="n">
        <v>1.549105</v>
      </c>
      <c r="S419" s="47" t="n">
        <f aca="false">M419+N419+O419</f>
        <v>0.5082934</v>
      </c>
      <c r="T419" s="47" t="n">
        <f aca="false">M419+P419</f>
        <v>0.7646633</v>
      </c>
    </row>
    <row r="420" customFormat="false" ht="15" hidden="false" customHeight="false" outlineLevel="0" collapsed="false">
      <c r="A420" s="42" t="s">
        <v>44</v>
      </c>
      <c r="B420" s="42" t="n">
        <v>-12</v>
      </c>
      <c r="C420" s="42" t="n">
        <v>19</v>
      </c>
      <c r="D420" s="42" t="n">
        <v>74270934</v>
      </c>
      <c r="E420" s="43" t="n">
        <v>0.975747969283647</v>
      </c>
      <c r="F420" s="43" t="n">
        <v>0.975163957004531</v>
      </c>
      <c r="G420" s="43" t="n">
        <v>0.968597724652007</v>
      </c>
      <c r="H420" s="43" t="n">
        <v>0.970331209058435</v>
      </c>
      <c r="I420" s="42" t="n">
        <v>1</v>
      </c>
      <c r="J420" s="42" t="n">
        <v>1</v>
      </c>
      <c r="K420" s="44" t="str">
        <f aca="false">IF(AND(I420=1,J420=1),"两者都跟住",IF(AND(I420=0,J420=1),"仅 PC-TBD 跟住",IF(AND(I420=1,J420=0),"仅 VIT-LPS 跟住","都没跟住")))</f>
        <v>两者都跟住</v>
      </c>
      <c r="L420" s="45" t="n">
        <f aca="false">F420-G420</f>
        <v>0.00656623235252396</v>
      </c>
      <c r="M420" s="46" t="n">
        <v>0.196758</v>
      </c>
      <c r="N420" s="46" t="n">
        <v>0.1402514</v>
      </c>
      <c r="O420" s="46" t="n">
        <v>0.3078323</v>
      </c>
      <c r="P420" s="46" t="n">
        <v>0.813536</v>
      </c>
      <c r="Q420" s="46" t="n">
        <v>1.7771329</v>
      </c>
      <c r="R420" s="46" t="n">
        <v>1.3921761</v>
      </c>
      <c r="S420" s="47" t="n">
        <f aca="false">M420+N420+O420</f>
        <v>0.6448417</v>
      </c>
      <c r="T420" s="47" t="n">
        <f aca="false">M420+P420</f>
        <v>1.010294</v>
      </c>
    </row>
    <row r="421" customFormat="false" ht="15" hidden="false" customHeight="false" outlineLevel="0" collapsed="false">
      <c r="A421" s="42" t="s">
        <v>44</v>
      </c>
      <c r="B421" s="42" t="n">
        <v>-12</v>
      </c>
      <c r="C421" s="42" t="n">
        <v>20</v>
      </c>
      <c r="D421" s="42" t="n">
        <v>74270935</v>
      </c>
      <c r="E421" s="43" t="n">
        <v>0.955981492006876</v>
      </c>
      <c r="F421" s="43" t="n">
        <v>0.976936088456587</v>
      </c>
      <c r="G421" s="43" t="n">
        <v>0.973601250590623</v>
      </c>
      <c r="H421" s="43" t="n">
        <v>0.979060354113832</v>
      </c>
      <c r="I421" s="42" t="n">
        <v>1</v>
      </c>
      <c r="J421" s="42" t="n">
        <v>1</v>
      </c>
      <c r="K421" s="44" t="str">
        <f aca="false">IF(AND(I421=1,J421=1),"两者都跟住",IF(AND(I421=0,J421=1),"仅 PC-TBD 跟住",IF(AND(I421=1,J421=0),"仅 VIT-LPS 跟住","都没跟住")))</f>
        <v>两者都跟住</v>
      </c>
      <c r="L421" s="45" t="n">
        <f aca="false">F421-G421</f>
        <v>0.003334837865964</v>
      </c>
      <c r="M421" s="46" t="n">
        <v>0.2271976</v>
      </c>
      <c r="N421" s="46" t="n">
        <v>0.1663299</v>
      </c>
      <c r="O421" s="46" t="n">
        <v>0.3445487</v>
      </c>
      <c r="P421" s="46" t="n">
        <v>0.6321814</v>
      </c>
      <c r="Q421" s="46" t="n">
        <v>1.6901246</v>
      </c>
      <c r="R421" s="46" t="n">
        <v>1.5895946</v>
      </c>
      <c r="S421" s="47" t="n">
        <f aca="false">M421+N421+O421</f>
        <v>0.7380762</v>
      </c>
      <c r="T421" s="47" t="n">
        <f aca="false">M421+P421</f>
        <v>0.859379</v>
      </c>
    </row>
    <row r="422" customFormat="false" ht="15" hidden="false" customHeight="false" outlineLevel="0" collapsed="false">
      <c r="A422" s="42" t="s">
        <v>44</v>
      </c>
      <c r="B422" s="42" t="n">
        <v>-12</v>
      </c>
      <c r="C422" s="42" t="n">
        <v>21</v>
      </c>
      <c r="D422" s="42" t="n">
        <v>74270936</v>
      </c>
      <c r="E422" s="43" t="n">
        <v>0.931022504540854</v>
      </c>
      <c r="F422" s="43" t="n">
        <v>0.966788024641426</v>
      </c>
      <c r="G422" s="43" t="n">
        <v>0.949388194407805</v>
      </c>
      <c r="H422" s="43" t="n">
        <v>0.962780936691215</v>
      </c>
      <c r="I422" s="42" t="n">
        <v>1</v>
      </c>
      <c r="J422" s="42" t="n">
        <v>1</v>
      </c>
      <c r="K422" s="44" t="str">
        <f aca="false">IF(AND(I422=1,J422=1),"两者都跟住",IF(AND(I422=0,J422=1),"仅 PC-TBD 跟住",IF(AND(I422=1,J422=0),"仅 VIT-LPS 跟住","都没跟住")))</f>
        <v>两者都跟住</v>
      </c>
      <c r="L422" s="45" t="n">
        <f aca="false">F422-G422</f>
        <v>0.017399830233621</v>
      </c>
      <c r="M422" s="46" t="n">
        <v>0.2594962</v>
      </c>
      <c r="N422" s="46" t="n">
        <v>0.146175</v>
      </c>
      <c r="O422" s="46" t="n">
        <v>0.4639681</v>
      </c>
      <c r="P422" s="46" t="n">
        <v>0.819427</v>
      </c>
      <c r="Q422" s="46" t="n">
        <v>2.110172</v>
      </c>
      <c r="R422" s="46" t="n">
        <v>2.6117639</v>
      </c>
      <c r="S422" s="47" t="n">
        <f aca="false">M422+N422+O422</f>
        <v>0.8696393</v>
      </c>
      <c r="T422" s="47" t="n">
        <f aca="false">M422+P422</f>
        <v>1.0789232</v>
      </c>
    </row>
    <row r="423" customFormat="false" ht="15" hidden="false" customHeight="false" outlineLevel="0" collapsed="false">
      <c r="A423" s="42" t="s">
        <v>44</v>
      </c>
      <c r="B423" s="42" t="n">
        <v>-12</v>
      </c>
      <c r="C423" s="42" t="n">
        <v>22</v>
      </c>
      <c r="D423" s="42" t="n">
        <v>74270937</v>
      </c>
      <c r="E423" s="43" t="n">
        <v>0.962846893175097</v>
      </c>
      <c r="F423" s="43" t="n">
        <v>0.971121772340176</v>
      </c>
      <c r="G423" s="43" t="n">
        <v>0.968080088138324</v>
      </c>
      <c r="H423" s="43" t="n">
        <v>0.966945183077759</v>
      </c>
      <c r="I423" s="42" t="n">
        <v>1</v>
      </c>
      <c r="J423" s="42" t="n">
        <v>1</v>
      </c>
      <c r="K423" s="44" t="str">
        <f aca="false">IF(AND(I423=1,J423=1),"两者都跟住",IF(AND(I423=0,J423=1),"仅 PC-TBD 跟住",IF(AND(I423=1,J423=0),"仅 VIT-LPS 跟住","都没跟住")))</f>
        <v>两者都跟住</v>
      </c>
      <c r="L423" s="45" t="n">
        <f aca="false">F423-G423</f>
        <v>0.00304168420185202</v>
      </c>
      <c r="M423" s="46" t="n">
        <v>0.268098</v>
      </c>
      <c r="N423" s="46" t="n">
        <v>0.1541136</v>
      </c>
      <c r="O423" s="46" t="n">
        <v>0.4385868</v>
      </c>
      <c r="P423" s="46" t="n">
        <v>0.8480447</v>
      </c>
      <c r="Q423" s="46" t="n">
        <v>2.4661628</v>
      </c>
      <c r="R423" s="46" t="n">
        <v>1.7876546</v>
      </c>
      <c r="S423" s="47" t="n">
        <f aca="false">M423+N423+O423</f>
        <v>0.8607984</v>
      </c>
      <c r="T423" s="47" t="n">
        <f aca="false">M423+P423</f>
        <v>1.1161427</v>
      </c>
    </row>
    <row r="424" customFormat="false" ht="15" hidden="false" customHeight="false" outlineLevel="0" collapsed="false">
      <c r="A424" s="42" t="s">
        <v>44</v>
      </c>
      <c r="B424" s="42" t="n">
        <v>-12</v>
      </c>
      <c r="C424" s="42" t="n">
        <v>23</v>
      </c>
      <c r="D424" s="42" t="n">
        <v>74270938</v>
      </c>
      <c r="E424" s="43" t="n">
        <v>0.939568661387065</v>
      </c>
      <c r="F424" s="43" t="n">
        <v>0.953073383751866</v>
      </c>
      <c r="G424" s="43" t="n">
        <v>0.96401287536496</v>
      </c>
      <c r="H424" s="43" t="n">
        <v>0.958619469297219</v>
      </c>
      <c r="I424" s="42" t="n">
        <v>1</v>
      </c>
      <c r="J424" s="42" t="n">
        <v>1</v>
      </c>
      <c r="K424" s="44" t="str">
        <f aca="false">IF(AND(I424=1,J424=1),"两者都跟住",IF(AND(I424=0,J424=1),"仅 PC-TBD 跟住",IF(AND(I424=1,J424=0),"仅 VIT-LPS 跟住","都没跟住")))</f>
        <v>两者都跟住</v>
      </c>
      <c r="L424" s="45" t="n">
        <f aca="false">F424-G424</f>
        <v>-0.010939491613094</v>
      </c>
      <c r="M424" s="46" t="n">
        <v>0.2438877</v>
      </c>
      <c r="N424" s="46" t="n">
        <v>0.1281647</v>
      </c>
      <c r="O424" s="46" t="n">
        <v>0.6985093</v>
      </c>
      <c r="P424" s="46" t="n">
        <v>0.8258768</v>
      </c>
      <c r="Q424" s="46" t="n">
        <v>2.2567829</v>
      </c>
      <c r="R424" s="46" t="n">
        <v>2.4318421</v>
      </c>
      <c r="S424" s="47" t="n">
        <f aca="false">M424+N424+O424</f>
        <v>1.0705617</v>
      </c>
      <c r="T424" s="47" t="n">
        <f aca="false">M424+P424</f>
        <v>1.0697645</v>
      </c>
    </row>
    <row r="425" customFormat="false" ht="15" hidden="false" customHeight="false" outlineLevel="0" collapsed="false">
      <c r="A425" s="42" t="s">
        <v>44</v>
      </c>
      <c r="B425" s="42" t="n">
        <v>-12</v>
      </c>
      <c r="C425" s="42" t="n">
        <v>24</v>
      </c>
      <c r="D425" s="42" t="n">
        <v>74270939</v>
      </c>
      <c r="E425" s="43" t="n">
        <v>0.92397505765868</v>
      </c>
      <c r="F425" s="43" t="n">
        <v>0.975669542678829</v>
      </c>
      <c r="G425" s="43" t="n">
        <v>0.966820828215101</v>
      </c>
      <c r="H425" s="43" t="n">
        <v>0.97163603347972</v>
      </c>
      <c r="I425" s="42" t="n">
        <v>1</v>
      </c>
      <c r="J425" s="42" t="n">
        <v>1</v>
      </c>
      <c r="K425" s="44" t="str">
        <f aca="false">IF(AND(I425=1,J425=1),"两者都跟住",IF(AND(I425=0,J425=1),"仅 PC-TBD 跟住",IF(AND(I425=1,J425=0),"仅 VIT-LPS 跟住","都没跟住")))</f>
        <v>两者都跟住</v>
      </c>
      <c r="L425" s="45" t="n">
        <f aca="false">F425-G425</f>
        <v>0.00884871446372804</v>
      </c>
      <c r="M425" s="46" t="n">
        <v>0.2411355</v>
      </c>
      <c r="N425" s="46" t="n">
        <v>0.1358552</v>
      </c>
      <c r="O425" s="46" t="n">
        <v>0.6750029</v>
      </c>
      <c r="P425" s="46" t="n">
        <v>0.8834169</v>
      </c>
      <c r="Q425" s="46" t="n">
        <v>2.1578211</v>
      </c>
      <c r="R425" s="46" t="n">
        <v>2.2705623</v>
      </c>
      <c r="S425" s="47" t="n">
        <f aca="false">M425+N425+O425</f>
        <v>1.0519936</v>
      </c>
      <c r="T425" s="47" t="n">
        <f aca="false">M425+P425</f>
        <v>1.1245524</v>
      </c>
    </row>
    <row r="426" customFormat="false" ht="15" hidden="false" customHeight="false" outlineLevel="0" collapsed="false">
      <c r="A426" s="42" t="s">
        <v>44</v>
      </c>
      <c r="B426" s="42" t="n">
        <v>-12</v>
      </c>
      <c r="C426" s="42" t="n">
        <v>25</v>
      </c>
      <c r="D426" s="42" t="n">
        <v>74270940</v>
      </c>
      <c r="E426" s="43" t="n">
        <v>0.967707319596028</v>
      </c>
      <c r="F426" s="43" t="n">
        <v>0.976431318558695</v>
      </c>
      <c r="G426" s="43" t="n">
        <v>0.972902677520811</v>
      </c>
      <c r="H426" s="43" t="n">
        <v>0.975461931050512</v>
      </c>
      <c r="I426" s="42" t="n">
        <v>1</v>
      </c>
      <c r="J426" s="42" t="n">
        <v>1</v>
      </c>
      <c r="K426" s="44" t="str">
        <f aca="false">IF(AND(I426=1,J426=1),"两者都跟住",IF(AND(I426=0,J426=1),"仅 PC-TBD 跟住",IF(AND(I426=1,J426=0),"仅 VIT-LPS 跟住","都没跟住")))</f>
        <v>两者都跟住</v>
      </c>
      <c r="L426" s="45" t="n">
        <f aca="false">F426-G426</f>
        <v>0.00352864103788397</v>
      </c>
      <c r="M426" s="46" t="n">
        <v>0.2138348</v>
      </c>
      <c r="N426" s="46" t="n">
        <v>0.1699517</v>
      </c>
      <c r="O426" s="46" t="n">
        <v>0.2606818</v>
      </c>
      <c r="P426" s="46" t="n">
        <v>0.814196</v>
      </c>
      <c r="Q426" s="46" t="n">
        <v>2.6330087</v>
      </c>
      <c r="R426" s="46" t="n">
        <v>2.6823013</v>
      </c>
      <c r="S426" s="47" t="n">
        <f aca="false">M426+N426+O426</f>
        <v>0.6444683</v>
      </c>
      <c r="T426" s="47" t="n">
        <f aca="false">M426+P426</f>
        <v>1.0280308</v>
      </c>
    </row>
    <row r="427" customFormat="false" ht="15" hidden="false" customHeight="false" outlineLevel="0" collapsed="false">
      <c r="A427" s="42" t="s">
        <v>44</v>
      </c>
      <c r="B427" s="42" t="n">
        <v>-12</v>
      </c>
      <c r="C427" s="42" t="n">
        <v>26</v>
      </c>
      <c r="D427" s="42" t="n">
        <v>74270941</v>
      </c>
      <c r="E427" s="43" t="n">
        <v>0.896627302923686</v>
      </c>
      <c r="F427" s="43" t="n">
        <v>0.97663680574504</v>
      </c>
      <c r="G427" s="43" t="n">
        <v>0.981747998598078</v>
      </c>
      <c r="H427" s="43" t="n">
        <v>0.978427357316001</v>
      </c>
      <c r="I427" s="42" t="n">
        <v>1</v>
      </c>
      <c r="J427" s="42" t="n">
        <v>1</v>
      </c>
      <c r="K427" s="44" t="str">
        <f aca="false">IF(AND(I427=1,J427=1),"两者都跟住",IF(AND(I427=0,J427=1),"仅 PC-TBD 跟住",IF(AND(I427=1,J427=0),"仅 VIT-LPS 跟住","都没跟住")))</f>
        <v>两者都跟住</v>
      </c>
      <c r="L427" s="45" t="n">
        <f aca="false">F427-G427</f>
        <v>-0.00511119285303807</v>
      </c>
      <c r="M427" s="46" t="n">
        <v>0.2245148</v>
      </c>
      <c r="N427" s="46" t="n">
        <v>0.1383819</v>
      </c>
      <c r="O427" s="46" t="n">
        <v>0.3065629</v>
      </c>
      <c r="P427" s="46" t="n">
        <v>1.2143503</v>
      </c>
      <c r="Q427" s="46" t="n">
        <v>2.3919092</v>
      </c>
      <c r="R427" s="46" t="n">
        <v>2.150782</v>
      </c>
      <c r="S427" s="47" t="n">
        <f aca="false">M427+N427+O427</f>
        <v>0.6694596</v>
      </c>
      <c r="T427" s="47" t="n">
        <f aca="false">M427+P427</f>
        <v>1.4388651</v>
      </c>
    </row>
    <row r="428" customFormat="false" ht="15" hidden="false" customHeight="false" outlineLevel="0" collapsed="false">
      <c r="A428" s="42" t="s">
        <v>44</v>
      </c>
      <c r="B428" s="42" t="n">
        <v>-12</v>
      </c>
      <c r="C428" s="42" t="n">
        <v>27</v>
      </c>
      <c r="D428" s="42" t="n">
        <v>74270942</v>
      </c>
      <c r="E428" s="43" t="n">
        <v>0.913521931876362</v>
      </c>
      <c r="F428" s="43" t="n">
        <v>0.964954654463479</v>
      </c>
      <c r="G428" s="43" t="n">
        <v>0.961559280692824</v>
      </c>
      <c r="H428" s="43" t="n">
        <v>0.964038564144752</v>
      </c>
      <c r="I428" s="42" t="n">
        <v>1</v>
      </c>
      <c r="J428" s="42" t="n">
        <v>1</v>
      </c>
      <c r="K428" s="44" t="str">
        <f aca="false">IF(AND(I428=1,J428=1),"两者都跟住",IF(AND(I428=0,J428=1),"仅 PC-TBD 跟住",IF(AND(I428=1,J428=0),"仅 VIT-LPS 跟住","都没跟住")))</f>
        <v>两者都跟住</v>
      </c>
      <c r="L428" s="45" t="n">
        <f aca="false">F428-G428</f>
        <v>0.00339537377065491</v>
      </c>
      <c r="M428" s="46" t="n">
        <v>0.1934534</v>
      </c>
      <c r="N428" s="46" t="n">
        <v>0.1630936</v>
      </c>
      <c r="O428" s="46" t="n">
        <v>0.2027308</v>
      </c>
      <c r="P428" s="46" t="n">
        <v>0.5523755</v>
      </c>
      <c r="Q428" s="46" t="n">
        <v>3.4031948</v>
      </c>
      <c r="R428" s="46" t="n">
        <v>4.5884868</v>
      </c>
      <c r="S428" s="47" t="n">
        <f aca="false">M428+N428+O428</f>
        <v>0.5592778</v>
      </c>
      <c r="T428" s="47" t="n">
        <f aca="false">M428+P428</f>
        <v>0.7458289</v>
      </c>
    </row>
    <row r="429" customFormat="false" ht="15" hidden="false" customHeight="false" outlineLevel="0" collapsed="false">
      <c r="A429" s="42" t="s">
        <v>44</v>
      </c>
      <c r="B429" s="42" t="n">
        <v>-12</v>
      </c>
      <c r="C429" s="42" t="n">
        <v>28</v>
      </c>
      <c r="D429" s="42" t="n">
        <v>74270943</v>
      </c>
      <c r="E429" s="43" t="n">
        <v>0.949617811749566</v>
      </c>
      <c r="F429" s="43" t="n">
        <v>0.963679588236939</v>
      </c>
      <c r="G429" s="43" t="n">
        <v>0.960427697424109</v>
      </c>
      <c r="H429" s="43" t="n">
        <v>0.961336262386116</v>
      </c>
      <c r="I429" s="42" t="n">
        <v>1</v>
      </c>
      <c r="J429" s="42" t="n">
        <v>1</v>
      </c>
      <c r="K429" s="44" t="str">
        <f aca="false">IF(AND(I429=1,J429=1),"两者都跟住",IF(AND(I429=0,J429=1),"仅 PC-TBD 跟住",IF(AND(I429=1,J429=0),"仅 VIT-LPS 跟住","都没跟住")))</f>
        <v>两者都跟住</v>
      </c>
      <c r="L429" s="45" t="n">
        <f aca="false">F429-G429</f>
        <v>0.00325189081282995</v>
      </c>
      <c r="M429" s="46" t="n">
        <v>0.1921557</v>
      </c>
      <c r="N429" s="46" t="n">
        <v>0.1544529</v>
      </c>
      <c r="O429" s="46" t="n">
        <v>0.2396252</v>
      </c>
      <c r="P429" s="46" t="n">
        <v>0.5228419</v>
      </c>
      <c r="Q429" s="46" t="n">
        <v>1.8067915</v>
      </c>
      <c r="R429" s="46" t="n">
        <v>4.2828119</v>
      </c>
      <c r="S429" s="47" t="n">
        <f aca="false">M429+N429+O429</f>
        <v>0.5862338</v>
      </c>
      <c r="T429" s="47" t="n">
        <f aca="false">M429+P429</f>
        <v>0.7149976</v>
      </c>
    </row>
    <row r="430" customFormat="false" ht="15" hidden="false" customHeight="false" outlineLevel="0" collapsed="false">
      <c r="A430" s="42" t="s">
        <v>44</v>
      </c>
      <c r="B430" s="42" t="n">
        <v>-12</v>
      </c>
      <c r="C430" s="42" t="n">
        <v>29</v>
      </c>
      <c r="D430" s="42" t="n">
        <v>74270944</v>
      </c>
      <c r="E430" s="43" t="n">
        <v>0.940251070643328</v>
      </c>
      <c r="F430" s="43" t="n">
        <v>0.965890940178332</v>
      </c>
      <c r="G430" s="43" t="n">
        <v>0.961090058319164</v>
      </c>
      <c r="H430" s="43" t="n">
        <v>0.961819646111693</v>
      </c>
      <c r="I430" s="42" t="n">
        <v>1</v>
      </c>
      <c r="J430" s="42" t="n">
        <v>1</v>
      </c>
      <c r="K430" s="44" t="str">
        <f aca="false">IF(AND(I430=1,J430=1),"两者都跟住",IF(AND(I430=0,J430=1),"仅 PC-TBD 跟住",IF(AND(I430=1,J430=0),"仅 VIT-LPS 跟住","都没跟住")))</f>
        <v>两者都跟住</v>
      </c>
      <c r="L430" s="45" t="n">
        <f aca="false">F430-G430</f>
        <v>0.00480088185916794</v>
      </c>
      <c r="M430" s="46" t="n">
        <v>0.2221544</v>
      </c>
      <c r="N430" s="46" t="n">
        <v>0.1357075</v>
      </c>
      <c r="O430" s="46" t="n">
        <v>0.1752096</v>
      </c>
      <c r="P430" s="46" t="n">
        <v>0.5387731</v>
      </c>
      <c r="Q430" s="46" t="n">
        <v>3.0939422</v>
      </c>
      <c r="R430" s="46" t="n">
        <v>3.9806845</v>
      </c>
      <c r="S430" s="47" t="n">
        <f aca="false">M430+N430+O430</f>
        <v>0.5330715</v>
      </c>
      <c r="T430" s="47" t="n">
        <f aca="false">M430+P430</f>
        <v>0.7609275</v>
      </c>
    </row>
    <row r="431" customFormat="false" ht="15" hidden="false" customHeight="false" outlineLevel="0" collapsed="false">
      <c r="A431" s="42" t="s">
        <v>44</v>
      </c>
      <c r="B431" s="42" t="n">
        <v>-12</v>
      </c>
      <c r="C431" s="42" t="n">
        <v>30</v>
      </c>
      <c r="D431" s="42" t="n">
        <v>74270945</v>
      </c>
      <c r="E431" s="43" t="n">
        <v>0.967374245594846</v>
      </c>
      <c r="F431" s="43" t="n">
        <v>0.981102802089589</v>
      </c>
      <c r="G431" s="43" t="n">
        <v>0.974970219958087</v>
      </c>
      <c r="H431" s="43" t="n">
        <v>0.976396669413018</v>
      </c>
      <c r="I431" s="42" t="n">
        <v>1</v>
      </c>
      <c r="J431" s="42" t="n">
        <v>1</v>
      </c>
      <c r="K431" s="44" t="str">
        <f aca="false">IF(AND(I431=1,J431=1),"两者都跟住",IF(AND(I431=0,J431=1),"仅 PC-TBD 跟住",IF(AND(I431=1,J431=0),"仅 VIT-LPS 跟住","都没跟住")))</f>
        <v>两者都跟住</v>
      </c>
      <c r="L431" s="45" t="n">
        <f aca="false">F431-G431</f>
        <v>0.00613258213150203</v>
      </c>
      <c r="M431" s="46" t="n">
        <v>0.1986794</v>
      </c>
      <c r="N431" s="46" t="n">
        <v>0.1318128</v>
      </c>
      <c r="O431" s="46" t="n">
        <v>0.2075967</v>
      </c>
      <c r="P431" s="46" t="n">
        <v>0.5278276</v>
      </c>
      <c r="Q431" s="46" t="n">
        <v>2.7892988</v>
      </c>
      <c r="R431" s="46" t="n">
        <v>2.9174627</v>
      </c>
      <c r="S431" s="47" t="n">
        <f aca="false">M431+N431+O431</f>
        <v>0.5380889</v>
      </c>
      <c r="T431" s="47" t="n">
        <f aca="false">M431+P431</f>
        <v>0.726507</v>
      </c>
    </row>
    <row r="432" customFormat="false" ht="15" hidden="false" customHeight="false" outlineLevel="0" collapsed="false">
      <c r="A432" s="42" t="s">
        <v>44</v>
      </c>
      <c r="B432" s="42" t="n">
        <v>-12</v>
      </c>
      <c r="C432" s="42" t="n">
        <v>31</v>
      </c>
      <c r="D432" s="42" t="n">
        <v>74270946</v>
      </c>
      <c r="E432" s="43" t="n">
        <v>0.936160708980177</v>
      </c>
      <c r="F432" s="43" t="n">
        <v>0.968000083401583</v>
      </c>
      <c r="G432" s="43" t="n">
        <v>0.951551267729921</v>
      </c>
      <c r="H432" s="43" t="n">
        <v>0.966267520031767</v>
      </c>
      <c r="I432" s="42" t="n">
        <v>1</v>
      </c>
      <c r="J432" s="42" t="n">
        <v>1</v>
      </c>
      <c r="K432" s="44" t="str">
        <f aca="false">IF(AND(I432=1,J432=1),"两者都跟住",IF(AND(I432=0,J432=1),"仅 PC-TBD 跟住",IF(AND(I432=1,J432=0),"仅 VIT-LPS 跟住","都没跟住")))</f>
        <v>两者都跟住</v>
      </c>
      <c r="L432" s="45" t="n">
        <f aca="false">F432-G432</f>
        <v>0.0164488156716619</v>
      </c>
      <c r="M432" s="46" t="n">
        <v>0.4243734</v>
      </c>
      <c r="N432" s="46" t="n">
        <v>0.1718842</v>
      </c>
      <c r="O432" s="46" t="n">
        <v>0.2717679</v>
      </c>
      <c r="P432" s="46" t="n">
        <v>0.8182517</v>
      </c>
      <c r="Q432" s="46" t="n">
        <v>2.5106706</v>
      </c>
      <c r="R432" s="46" t="n">
        <v>2.4316323</v>
      </c>
      <c r="S432" s="47" t="n">
        <f aca="false">M432+N432+O432</f>
        <v>0.8680255</v>
      </c>
      <c r="T432" s="47" t="n">
        <f aca="false">M432+P432</f>
        <v>1.2426251</v>
      </c>
    </row>
    <row r="433" customFormat="false" ht="15" hidden="false" customHeight="false" outlineLevel="0" collapsed="false">
      <c r="A433" s="42" t="s">
        <v>44</v>
      </c>
      <c r="B433" s="42" t="n">
        <v>-12</v>
      </c>
      <c r="C433" s="42" t="n">
        <v>32</v>
      </c>
      <c r="D433" s="42" t="n">
        <v>74270947</v>
      </c>
      <c r="E433" s="43" t="n">
        <v>0.957852887543012</v>
      </c>
      <c r="F433" s="43" t="n">
        <v>0.976951927586345</v>
      </c>
      <c r="G433" s="43" t="n">
        <v>0.97718119927841</v>
      </c>
      <c r="H433" s="43" t="n">
        <v>0.976940563629203</v>
      </c>
      <c r="I433" s="42" t="n">
        <v>1</v>
      </c>
      <c r="J433" s="42" t="n">
        <v>1</v>
      </c>
      <c r="K433" s="44" t="str">
        <f aca="false">IF(AND(I433=1,J433=1),"两者都跟住",IF(AND(I433=0,J433=1),"仅 PC-TBD 跟住",IF(AND(I433=1,J433=0),"仅 VIT-LPS 跟住","都没跟住")))</f>
        <v>两者都跟住</v>
      </c>
      <c r="L433" s="45" t="n">
        <f aca="false">F433-G433</f>
        <v>-0.000229271692064992</v>
      </c>
      <c r="M433" s="46" t="n">
        <v>0.4308451</v>
      </c>
      <c r="N433" s="46" t="n">
        <v>0.1750733</v>
      </c>
      <c r="O433" s="46" t="n">
        <v>0.3511613</v>
      </c>
      <c r="P433" s="46" t="n">
        <v>0.776639</v>
      </c>
      <c r="Q433" s="46" t="n">
        <v>2.5482267</v>
      </c>
      <c r="R433" s="46" t="n">
        <v>2.5109464</v>
      </c>
      <c r="S433" s="47" t="n">
        <f aca="false">M433+N433+O433</f>
        <v>0.9570797</v>
      </c>
      <c r="T433" s="47" t="n">
        <f aca="false">M433+P433</f>
        <v>1.2074841</v>
      </c>
    </row>
    <row r="434" customFormat="false" ht="15" hidden="false" customHeight="false" outlineLevel="0" collapsed="false">
      <c r="A434" s="42" t="s">
        <v>44</v>
      </c>
      <c r="B434" s="42" t="n">
        <v>-12</v>
      </c>
      <c r="C434" s="42" t="n">
        <v>33</v>
      </c>
      <c r="D434" s="42" t="n">
        <v>74270948</v>
      </c>
      <c r="E434" s="43" t="n">
        <v>0.948313121814774</v>
      </c>
      <c r="F434" s="43" t="n">
        <v>0.979449391836885</v>
      </c>
      <c r="G434" s="43" t="n">
        <v>0.969666876070852</v>
      </c>
      <c r="H434" s="43" t="n">
        <v>0.976648026984963</v>
      </c>
      <c r="I434" s="42" t="n">
        <v>1</v>
      </c>
      <c r="J434" s="42" t="n">
        <v>1</v>
      </c>
      <c r="K434" s="44" t="str">
        <f aca="false">IF(AND(I434=1,J434=1),"两者都跟住",IF(AND(I434=0,J434=1),"仅 PC-TBD 跟住",IF(AND(I434=1,J434=0),"仅 VIT-LPS 跟住","都没跟住")))</f>
        <v>两者都跟住</v>
      </c>
      <c r="L434" s="45" t="n">
        <f aca="false">F434-G434</f>
        <v>0.00978251576603295</v>
      </c>
      <c r="M434" s="46" t="n">
        <v>0.4284022</v>
      </c>
      <c r="N434" s="46" t="n">
        <v>0.1631769</v>
      </c>
      <c r="O434" s="46" t="n">
        <v>0.267585</v>
      </c>
      <c r="P434" s="46" t="n">
        <v>0.7599377</v>
      </c>
      <c r="Q434" s="46" t="n">
        <v>2.1680391</v>
      </c>
      <c r="R434" s="46" t="n">
        <v>2.1357194</v>
      </c>
      <c r="S434" s="47" t="n">
        <f aca="false">M434+N434+O434</f>
        <v>0.8591641</v>
      </c>
      <c r="T434" s="47" t="n">
        <f aca="false">M434+P434</f>
        <v>1.1883399</v>
      </c>
    </row>
    <row r="435" customFormat="false" ht="15" hidden="false" customHeight="false" outlineLevel="0" collapsed="false">
      <c r="A435" s="42" t="s">
        <v>44</v>
      </c>
      <c r="B435" s="42" t="n">
        <v>-12</v>
      </c>
      <c r="C435" s="42" t="n">
        <v>34</v>
      </c>
      <c r="D435" s="42" t="n">
        <v>74270949</v>
      </c>
      <c r="E435" s="43" t="n">
        <v>0.882751264568522</v>
      </c>
      <c r="F435" s="43" t="n">
        <v>0.979852123017156</v>
      </c>
      <c r="G435" s="43" t="n">
        <v>0.964598004936255</v>
      </c>
      <c r="H435" s="43" t="n">
        <v>0.972561879476633</v>
      </c>
      <c r="I435" s="42" t="n">
        <v>1</v>
      </c>
      <c r="J435" s="42" t="n">
        <v>1</v>
      </c>
      <c r="K435" s="44" t="str">
        <f aca="false">IF(AND(I435=1,J435=1),"两者都跟住",IF(AND(I435=0,J435=1),"仅 PC-TBD 跟住",IF(AND(I435=1,J435=0),"仅 VIT-LPS 跟住","都没跟住")))</f>
        <v>两者都跟住</v>
      </c>
      <c r="L435" s="45" t="n">
        <f aca="false">F435-G435</f>
        <v>0.0152541180809009</v>
      </c>
      <c r="M435" s="46" t="n">
        <v>0.394991</v>
      </c>
      <c r="N435" s="46" t="n">
        <v>0.1872333</v>
      </c>
      <c r="O435" s="46" t="n">
        <v>0.3564531</v>
      </c>
      <c r="P435" s="46" t="n">
        <v>0.7978964</v>
      </c>
      <c r="Q435" s="46" t="n">
        <v>2.3023731</v>
      </c>
      <c r="R435" s="46" t="n">
        <v>2.2167467</v>
      </c>
      <c r="S435" s="47" t="n">
        <f aca="false">M435+N435+O435</f>
        <v>0.9386774</v>
      </c>
      <c r="T435" s="47" t="n">
        <f aca="false">M435+P435</f>
        <v>1.1928874</v>
      </c>
    </row>
    <row r="436" customFormat="false" ht="15" hidden="false" customHeight="false" outlineLevel="0" collapsed="false">
      <c r="A436" s="42" t="s">
        <v>44</v>
      </c>
      <c r="B436" s="42" t="n">
        <v>-12</v>
      </c>
      <c r="C436" s="42" t="n">
        <v>35</v>
      </c>
      <c r="D436" s="42" t="n">
        <v>74270950</v>
      </c>
      <c r="E436" s="43" t="n">
        <v>0.948887488015174</v>
      </c>
      <c r="F436" s="43" t="n">
        <v>0.960395338726237</v>
      </c>
      <c r="G436" s="43" t="n">
        <v>0.95342566112364</v>
      </c>
      <c r="H436" s="43" t="n">
        <v>0.959327398184274</v>
      </c>
      <c r="I436" s="42" t="n">
        <v>1</v>
      </c>
      <c r="J436" s="42" t="n">
        <v>1</v>
      </c>
      <c r="K436" s="44" t="str">
        <f aca="false">IF(AND(I436=1,J436=1),"两者都跟住",IF(AND(I436=0,J436=1),"仅 PC-TBD 跟住",IF(AND(I436=1,J436=0),"仅 VIT-LPS 跟住","都没跟住")))</f>
        <v>两者都跟住</v>
      </c>
      <c r="L436" s="45" t="n">
        <f aca="false">F436-G436</f>
        <v>0.00696967760259692</v>
      </c>
      <c r="M436" s="46" t="n">
        <v>0.4201422</v>
      </c>
      <c r="N436" s="46" t="n">
        <v>0.1741073</v>
      </c>
      <c r="O436" s="46" t="n">
        <v>0.3659862</v>
      </c>
      <c r="P436" s="46" t="n">
        <v>0.8013012</v>
      </c>
      <c r="Q436" s="46" t="n">
        <v>2.3257252</v>
      </c>
      <c r="R436" s="46" t="n">
        <v>2.1126291</v>
      </c>
      <c r="S436" s="47" t="n">
        <f aca="false">M436+N436+O436</f>
        <v>0.9602357</v>
      </c>
      <c r="T436" s="47" t="n">
        <f aca="false">M436+P436</f>
        <v>1.2214434</v>
      </c>
    </row>
    <row r="437" customFormat="false" ht="15" hidden="false" customHeight="false" outlineLevel="0" collapsed="false">
      <c r="A437" s="42" t="s">
        <v>44</v>
      </c>
      <c r="B437" s="42" t="n">
        <v>-12</v>
      </c>
      <c r="C437" s="42" t="n">
        <v>36</v>
      </c>
      <c r="D437" s="42" t="n">
        <v>74270951</v>
      </c>
      <c r="E437" s="43" t="n">
        <v>0.965761913669982</v>
      </c>
      <c r="F437" s="43" t="n">
        <v>0.965971043045125</v>
      </c>
      <c r="G437" s="43" t="n">
        <v>0.960909422845055</v>
      </c>
      <c r="H437" s="43" t="n">
        <v>0.961759912365087</v>
      </c>
      <c r="I437" s="42" t="n">
        <v>1</v>
      </c>
      <c r="J437" s="42" t="n">
        <v>1</v>
      </c>
      <c r="K437" s="44" t="str">
        <f aca="false">IF(AND(I437=1,J437=1),"两者都跟住",IF(AND(I437=0,J437=1),"仅 PC-TBD 跟住",IF(AND(I437=1,J437=0),"仅 VIT-LPS 跟住","都没跟住")))</f>
        <v>两者都跟住</v>
      </c>
      <c r="L437" s="45" t="n">
        <f aca="false">F437-G437</f>
        <v>0.00506162020007006</v>
      </c>
      <c r="M437" s="46" t="n">
        <v>0.354293</v>
      </c>
      <c r="N437" s="46" t="n">
        <v>0.1763236</v>
      </c>
      <c r="O437" s="46" t="n">
        <v>0.3276378</v>
      </c>
      <c r="P437" s="46" t="n">
        <v>0.8115923</v>
      </c>
      <c r="Q437" s="46" t="n">
        <v>2.5726735</v>
      </c>
      <c r="R437" s="46" t="n">
        <v>2.365338</v>
      </c>
      <c r="S437" s="47" t="n">
        <f aca="false">M437+N437+O437</f>
        <v>0.8582544</v>
      </c>
      <c r="T437" s="47" t="n">
        <f aca="false">M437+P437</f>
        <v>1.1658853</v>
      </c>
    </row>
    <row r="438" customFormat="false" ht="15" hidden="false" customHeight="false" outlineLevel="0" collapsed="false">
      <c r="A438" s="42" t="s">
        <v>44</v>
      </c>
      <c r="B438" s="42" t="n">
        <v>-12</v>
      </c>
      <c r="C438" s="42" t="n">
        <v>37</v>
      </c>
      <c r="D438" s="42" t="n">
        <v>74270952</v>
      </c>
      <c r="E438" s="43" t="n">
        <v>0.973358831144372</v>
      </c>
      <c r="F438" s="43" t="n">
        <v>0.978961026795964</v>
      </c>
      <c r="G438" s="43" t="n">
        <v>0.976172534607387</v>
      </c>
      <c r="H438" s="43" t="n">
        <v>0.982457569551643</v>
      </c>
      <c r="I438" s="42" t="n">
        <v>1</v>
      </c>
      <c r="J438" s="42" t="n">
        <v>1</v>
      </c>
      <c r="K438" s="44" t="str">
        <f aca="false">IF(AND(I438=1,J438=1),"两者都跟住",IF(AND(I438=0,J438=1),"仅 PC-TBD 跟住",IF(AND(I438=1,J438=0),"仅 VIT-LPS 跟住","都没跟住")))</f>
        <v>两者都跟住</v>
      </c>
      <c r="L438" s="45" t="n">
        <f aca="false">F438-G438</f>
        <v>0.00278849218857702</v>
      </c>
      <c r="M438" s="46" t="n">
        <v>0.1536966</v>
      </c>
      <c r="N438" s="46" t="n">
        <v>0.09948</v>
      </c>
      <c r="O438" s="46" t="n">
        <v>0.1488738</v>
      </c>
      <c r="P438" s="46" t="n">
        <v>0.4167565</v>
      </c>
      <c r="Q438" s="46" t="n">
        <v>1.7386505</v>
      </c>
      <c r="R438" s="46" t="n">
        <v>1.3597874</v>
      </c>
      <c r="S438" s="47" t="n">
        <f aca="false">M438+N438+O438</f>
        <v>0.4020504</v>
      </c>
      <c r="T438" s="47" t="n">
        <f aca="false">M438+P438</f>
        <v>0.5704531</v>
      </c>
    </row>
    <row r="439" customFormat="false" ht="15" hidden="false" customHeight="false" outlineLevel="0" collapsed="false">
      <c r="A439" s="42" t="s">
        <v>44</v>
      </c>
      <c r="B439" s="42" t="n">
        <v>-12</v>
      </c>
      <c r="C439" s="42" t="n">
        <v>38</v>
      </c>
      <c r="D439" s="42" t="n">
        <v>74270953</v>
      </c>
      <c r="E439" s="43" t="n">
        <v>0.933637704156913</v>
      </c>
      <c r="F439" s="43" t="n">
        <v>0.972221323167137</v>
      </c>
      <c r="G439" s="43" t="n">
        <v>0.961276744081154</v>
      </c>
      <c r="H439" s="43" t="n">
        <v>0.960410220849404</v>
      </c>
      <c r="I439" s="42" t="n">
        <v>1</v>
      </c>
      <c r="J439" s="42" t="n">
        <v>1</v>
      </c>
      <c r="K439" s="44" t="str">
        <f aca="false">IF(AND(I439=1,J439=1),"两者都跟住",IF(AND(I439=0,J439=1),"仅 PC-TBD 跟住",IF(AND(I439=1,J439=0),"仅 VIT-LPS 跟住","都没跟住")))</f>
        <v>两者都跟住</v>
      </c>
      <c r="L439" s="45" t="n">
        <f aca="false">F439-G439</f>
        <v>0.010944579085983</v>
      </c>
      <c r="M439" s="46" t="n">
        <v>0.1626469</v>
      </c>
      <c r="N439" s="46" t="n">
        <v>0.1021597</v>
      </c>
      <c r="O439" s="46" t="n">
        <v>0.1411108</v>
      </c>
      <c r="P439" s="46" t="n">
        <v>0.4090025</v>
      </c>
      <c r="Q439" s="46" t="n">
        <v>1.4650961</v>
      </c>
      <c r="R439" s="46" t="n">
        <v>1.6534356</v>
      </c>
      <c r="S439" s="47" t="n">
        <f aca="false">M439+N439+O439</f>
        <v>0.4059174</v>
      </c>
      <c r="T439" s="47" t="n">
        <f aca="false">M439+P439</f>
        <v>0.5716494</v>
      </c>
    </row>
    <row r="440" customFormat="false" ht="15" hidden="false" customHeight="false" outlineLevel="0" collapsed="false">
      <c r="A440" s="42" t="s">
        <v>44</v>
      </c>
      <c r="B440" s="42" t="n">
        <v>-12</v>
      </c>
      <c r="C440" s="42" t="n">
        <v>39</v>
      </c>
      <c r="D440" s="42" t="n">
        <v>74270954</v>
      </c>
      <c r="E440" s="43" t="n">
        <v>0.941782948813302</v>
      </c>
      <c r="F440" s="43" t="n">
        <v>0.971076227089783</v>
      </c>
      <c r="G440" s="43" t="n">
        <v>0.954340115900427</v>
      </c>
      <c r="H440" s="43" t="n">
        <v>0.969062788428849</v>
      </c>
      <c r="I440" s="42" t="n">
        <v>1</v>
      </c>
      <c r="J440" s="42" t="n">
        <v>1</v>
      </c>
      <c r="K440" s="44" t="str">
        <f aca="false">IF(AND(I440=1,J440=1),"两者都跟住",IF(AND(I440=0,J440=1),"仅 PC-TBD 跟住",IF(AND(I440=1,J440=0),"仅 VIT-LPS 跟住","都没跟住")))</f>
        <v>两者都跟住</v>
      </c>
      <c r="L440" s="45" t="n">
        <f aca="false">F440-G440</f>
        <v>0.016736111189356</v>
      </c>
      <c r="M440" s="46" t="n">
        <v>0.1376511</v>
      </c>
      <c r="N440" s="46" t="n">
        <v>0.0685034</v>
      </c>
      <c r="O440" s="46" t="n">
        <v>0.1579034</v>
      </c>
      <c r="P440" s="46" t="n">
        <v>0.406383</v>
      </c>
      <c r="Q440" s="46" t="n">
        <v>1.534262</v>
      </c>
      <c r="R440" s="46" t="n">
        <v>1.5215261</v>
      </c>
      <c r="S440" s="47" t="n">
        <f aca="false">M440+N440+O440</f>
        <v>0.3640579</v>
      </c>
      <c r="T440" s="47" t="n">
        <f aca="false">M440+P440</f>
        <v>0.5440341</v>
      </c>
    </row>
    <row r="441" customFormat="false" ht="15" hidden="false" customHeight="false" outlineLevel="0" collapsed="false">
      <c r="A441" s="42" t="s">
        <v>44</v>
      </c>
      <c r="B441" s="42" t="n">
        <v>-12</v>
      </c>
      <c r="C441" s="42" t="n">
        <v>40</v>
      </c>
      <c r="D441" s="42" t="n">
        <v>74270955</v>
      </c>
      <c r="E441" s="43" t="n">
        <v>0.95685682934557</v>
      </c>
      <c r="F441" s="43" t="n">
        <v>0.969252940646367</v>
      </c>
      <c r="G441" s="43" t="n">
        <v>0.973463715340685</v>
      </c>
      <c r="H441" s="43" t="n">
        <v>0.972580742022943</v>
      </c>
      <c r="I441" s="42" t="n">
        <v>1</v>
      </c>
      <c r="J441" s="42" t="n">
        <v>1</v>
      </c>
      <c r="K441" s="44" t="str">
        <f aca="false">IF(AND(I441=1,J441=1),"两者都跟住",IF(AND(I441=0,J441=1),"仅 PC-TBD 跟住",IF(AND(I441=1,J441=0),"仅 VIT-LPS 跟住","都没跟住")))</f>
        <v>两者都跟住</v>
      </c>
      <c r="L441" s="45" t="n">
        <f aca="false">F441-G441</f>
        <v>-0.00421077469431797</v>
      </c>
      <c r="M441" s="46" t="n">
        <v>0.160125</v>
      </c>
      <c r="N441" s="46" t="n">
        <v>0.0859073</v>
      </c>
      <c r="O441" s="46" t="n">
        <v>0.1555496</v>
      </c>
      <c r="P441" s="46" t="n">
        <v>0.3816911</v>
      </c>
      <c r="Q441" s="46" t="n">
        <v>1.30538</v>
      </c>
      <c r="R441" s="46" t="n">
        <v>1.2750174</v>
      </c>
      <c r="S441" s="47" t="n">
        <f aca="false">M441+N441+O441</f>
        <v>0.4015819</v>
      </c>
      <c r="T441" s="47" t="n">
        <f aca="false">M441+P441</f>
        <v>0.5418161</v>
      </c>
    </row>
    <row r="442" customFormat="false" ht="15" hidden="false" customHeight="false" outlineLevel="0" collapsed="false">
      <c r="A442" s="42" t="s">
        <v>44</v>
      </c>
      <c r="B442" s="42" t="n">
        <v>-12</v>
      </c>
      <c r="C442" s="42" t="n">
        <v>41</v>
      </c>
      <c r="D442" s="42" t="n">
        <v>74270956</v>
      </c>
      <c r="E442" s="43" t="n">
        <v>0.951186698082136</v>
      </c>
      <c r="F442" s="43" t="n">
        <v>0.964988225147341</v>
      </c>
      <c r="G442" s="43" t="n">
        <v>0.960329093183695</v>
      </c>
      <c r="H442" s="43" t="n">
        <v>0.958768472810272</v>
      </c>
      <c r="I442" s="42" t="n">
        <v>1</v>
      </c>
      <c r="J442" s="42" t="n">
        <v>1</v>
      </c>
      <c r="K442" s="44" t="str">
        <f aca="false">IF(AND(I442=1,J442=1),"两者都跟住",IF(AND(I442=0,J442=1),"仅 PC-TBD 跟住",IF(AND(I442=1,J442=0),"仅 VIT-LPS 跟住","都没跟住")))</f>
        <v>两者都跟住</v>
      </c>
      <c r="L442" s="45" t="n">
        <f aca="false">F442-G442</f>
        <v>0.00465913196364598</v>
      </c>
      <c r="M442" s="46" t="n">
        <v>0.2172066</v>
      </c>
      <c r="N442" s="46" t="n">
        <v>0.1300654</v>
      </c>
      <c r="O442" s="46" t="n">
        <v>0.2064874</v>
      </c>
      <c r="P442" s="46" t="n">
        <v>0.7470297</v>
      </c>
      <c r="Q442" s="46" t="n">
        <v>2.4142224</v>
      </c>
      <c r="R442" s="46" t="n">
        <v>2.262906</v>
      </c>
      <c r="S442" s="47" t="n">
        <f aca="false">M442+N442+O442</f>
        <v>0.5537594</v>
      </c>
      <c r="T442" s="47" t="n">
        <f aca="false">M442+P442</f>
        <v>0.9642363</v>
      </c>
    </row>
    <row r="443" customFormat="false" ht="15" hidden="false" customHeight="false" outlineLevel="0" collapsed="false">
      <c r="A443" s="42" t="s">
        <v>44</v>
      </c>
      <c r="B443" s="42" t="n">
        <v>-12</v>
      </c>
      <c r="C443" s="42" t="n">
        <v>42</v>
      </c>
      <c r="D443" s="42" t="n">
        <v>74270957</v>
      </c>
      <c r="E443" s="43" t="n">
        <v>0.936010690311349</v>
      </c>
      <c r="F443" s="43" t="n">
        <v>0.971669107380642</v>
      </c>
      <c r="G443" s="43" t="n">
        <v>0.96446425825219</v>
      </c>
      <c r="H443" s="43" t="n">
        <v>0.969005898506944</v>
      </c>
      <c r="I443" s="42" t="n">
        <v>1</v>
      </c>
      <c r="J443" s="42" t="n">
        <v>1</v>
      </c>
      <c r="K443" s="44" t="str">
        <f aca="false">IF(AND(I443=1,J443=1),"两者都跟住",IF(AND(I443=0,J443=1),"仅 PC-TBD 跟住",IF(AND(I443=1,J443=0),"仅 VIT-LPS 跟住","都没跟住")))</f>
        <v>两者都跟住</v>
      </c>
      <c r="L443" s="45" t="n">
        <f aca="false">F443-G443</f>
        <v>0.0072048491284521</v>
      </c>
      <c r="M443" s="46" t="n">
        <v>0.2405275</v>
      </c>
      <c r="N443" s="46" t="n">
        <v>0.1382843</v>
      </c>
      <c r="O443" s="46" t="n">
        <v>0.179506</v>
      </c>
      <c r="P443" s="46" t="n">
        <v>0.8026282</v>
      </c>
      <c r="Q443" s="46" t="n">
        <v>2.2733989</v>
      </c>
      <c r="R443" s="46" t="n">
        <v>1.9340979</v>
      </c>
      <c r="S443" s="47" t="n">
        <f aca="false">M443+N443+O443</f>
        <v>0.5583178</v>
      </c>
      <c r="T443" s="47" t="n">
        <f aca="false">M443+P443</f>
        <v>1.0431557</v>
      </c>
    </row>
    <row r="444" customFormat="false" ht="15" hidden="false" customHeight="false" outlineLevel="0" collapsed="false">
      <c r="A444" s="42" t="s">
        <v>44</v>
      </c>
      <c r="B444" s="42" t="n">
        <v>-12</v>
      </c>
      <c r="C444" s="42" t="n">
        <v>43</v>
      </c>
      <c r="D444" s="42" t="n">
        <v>74270958</v>
      </c>
      <c r="E444" s="43" t="n">
        <v>0.952611342369555</v>
      </c>
      <c r="F444" s="43" t="n">
        <v>0.966581241774528</v>
      </c>
      <c r="G444" s="43" t="n">
        <v>0.94680308308301</v>
      </c>
      <c r="H444" s="43" t="n">
        <v>0.963724599649429</v>
      </c>
      <c r="I444" s="42" t="n">
        <v>1</v>
      </c>
      <c r="J444" s="42" t="n">
        <v>1</v>
      </c>
      <c r="K444" s="44" t="str">
        <f aca="false">IF(AND(I444=1,J444=1),"两者都跟住",IF(AND(I444=0,J444=1),"仅 PC-TBD 跟住",IF(AND(I444=1,J444=0),"仅 VIT-LPS 跟住","都没跟住")))</f>
        <v>两者都跟住</v>
      </c>
      <c r="L444" s="45" t="n">
        <f aca="false">F444-G444</f>
        <v>0.019778158691518</v>
      </c>
      <c r="M444" s="46" t="n">
        <v>0.2371682</v>
      </c>
      <c r="N444" s="46" t="n">
        <v>0.1480306</v>
      </c>
      <c r="O444" s="46" t="n">
        <v>0.1942925</v>
      </c>
      <c r="P444" s="46" t="n">
        <v>0.8057335</v>
      </c>
      <c r="Q444" s="46" t="n">
        <v>2.1740603</v>
      </c>
      <c r="R444" s="46" t="n">
        <v>1.6380685</v>
      </c>
      <c r="S444" s="47" t="n">
        <f aca="false">M444+N444+O444</f>
        <v>0.5794913</v>
      </c>
      <c r="T444" s="47" t="n">
        <f aca="false">M444+P444</f>
        <v>1.0429017</v>
      </c>
    </row>
    <row r="445" customFormat="false" ht="15" hidden="false" customHeight="false" outlineLevel="0" collapsed="false">
      <c r="A445" s="42" t="s">
        <v>44</v>
      </c>
      <c r="B445" s="42" t="n">
        <v>-12</v>
      </c>
      <c r="C445" s="42" t="n">
        <v>44</v>
      </c>
      <c r="D445" s="42" t="n">
        <v>74270959</v>
      </c>
      <c r="E445" s="43" t="n">
        <v>0.945265356315429</v>
      </c>
      <c r="F445" s="43" t="n">
        <v>0.972981475516283</v>
      </c>
      <c r="G445" s="43" t="n">
        <v>0.975210707475419</v>
      </c>
      <c r="H445" s="43" t="n">
        <v>0.973130365001796</v>
      </c>
      <c r="I445" s="42" t="n">
        <v>1</v>
      </c>
      <c r="J445" s="42" t="n">
        <v>1</v>
      </c>
      <c r="K445" s="44" t="str">
        <f aca="false">IF(AND(I445=1,J445=1),"两者都跟住",IF(AND(I445=0,J445=1),"仅 PC-TBD 跟住",IF(AND(I445=1,J445=0),"仅 VIT-LPS 跟住","都没跟住")))</f>
        <v>两者都跟住</v>
      </c>
      <c r="L445" s="45" t="n">
        <f aca="false">F445-G445</f>
        <v>-0.00222923195913605</v>
      </c>
      <c r="M445" s="46" t="n">
        <v>0.2291762</v>
      </c>
      <c r="N445" s="46" t="n">
        <v>0.1342919</v>
      </c>
      <c r="O445" s="46" t="n">
        <v>0.178138</v>
      </c>
      <c r="P445" s="46" t="n">
        <v>0.7073483</v>
      </c>
      <c r="Q445" s="46" t="n">
        <v>2.4317903</v>
      </c>
      <c r="R445" s="46" t="n">
        <v>2.2580508</v>
      </c>
      <c r="S445" s="47" t="n">
        <f aca="false">M445+N445+O445</f>
        <v>0.5416061</v>
      </c>
      <c r="T445" s="47" t="n">
        <f aca="false">M445+P445</f>
        <v>0.9365245</v>
      </c>
    </row>
    <row r="446" customFormat="false" ht="15" hidden="false" customHeight="false" outlineLevel="0" collapsed="false">
      <c r="A446" s="42" t="s">
        <v>44</v>
      </c>
      <c r="B446" s="42" t="n">
        <v>-12</v>
      </c>
      <c r="C446" s="42" t="n">
        <v>45</v>
      </c>
      <c r="D446" s="42" t="n">
        <v>74270960</v>
      </c>
      <c r="E446" s="43" t="n">
        <v>0.962300221795474</v>
      </c>
      <c r="F446" s="43" t="n">
        <v>0.970572072384544</v>
      </c>
      <c r="G446" s="43" t="n">
        <v>0.970880060642001</v>
      </c>
      <c r="H446" s="43" t="n">
        <v>0.96831811896968</v>
      </c>
      <c r="I446" s="42" t="n">
        <v>1</v>
      </c>
      <c r="J446" s="42" t="n">
        <v>1</v>
      </c>
      <c r="K446" s="44" t="str">
        <f aca="false">IF(AND(I446=1,J446=1),"两者都跟住",IF(AND(I446=0,J446=1),"仅 PC-TBD 跟住",IF(AND(I446=1,J446=0),"仅 VIT-LPS 跟住","都没跟住")))</f>
        <v>两者都跟住</v>
      </c>
      <c r="L446" s="45" t="n">
        <f aca="false">F446-G446</f>
        <v>-0.000307988257457037</v>
      </c>
      <c r="M446" s="46" t="n">
        <v>0.2484608</v>
      </c>
      <c r="N446" s="46" t="n">
        <v>0.1414946</v>
      </c>
      <c r="O446" s="46" t="n">
        <v>0.4321691</v>
      </c>
      <c r="P446" s="46" t="n">
        <v>0.6406195</v>
      </c>
      <c r="Q446" s="46" t="n">
        <v>2.381269</v>
      </c>
      <c r="R446" s="46" t="n">
        <v>2.1020594</v>
      </c>
      <c r="S446" s="47" t="n">
        <f aca="false">M446+N446+O446</f>
        <v>0.8221245</v>
      </c>
      <c r="T446" s="47" t="n">
        <f aca="false">M446+P446</f>
        <v>0.8890803</v>
      </c>
    </row>
    <row r="447" customFormat="false" ht="15" hidden="false" customHeight="false" outlineLevel="0" collapsed="false">
      <c r="A447" s="42" t="s">
        <v>44</v>
      </c>
      <c r="B447" s="42" t="n">
        <v>-12</v>
      </c>
      <c r="C447" s="42" t="n">
        <v>46</v>
      </c>
      <c r="D447" s="42" t="n">
        <v>74270961</v>
      </c>
      <c r="E447" s="43" t="n">
        <v>0.876192257672873</v>
      </c>
      <c r="F447" s="43" t="n">
        <v>0.967324124666511</v>
      </c>
      <c r="G447" s="43" t="n">
        <v>0.964373870847884</v>
      </c>
      <c r="H447" s="43" t="n">
        <v>0.964340263971434</v>
      </c>
      <c r="I447" s="42" t="n">
        <v>1</v>
      </c>
      <c r="J447" s="42" t="n">
        <v>1</v>
      </c>
      <c r="K447" s="44" t="str">
        <f aca="false">IF(AND(I447=1,J447=1),"两者都跟住",IF(AND(I447=0,J447=1),"仅 PC-TBD 跟住",IF(AND(I447=1,J447=0),"仅 VIT-LPS 跟住","都没跟住")))</f>
        <v>两者都跟住</v>
      </c>
      <c r="L447" s="45" t="n">
        <f aca="false">F447-G447</f>
        <v>0.00295025381862701</v>
      </c>
      <c r="M447" s="46" t="n">
        <v>0.2496568</v>
      </c>
      <c r="N447" s="46" t="n">
        <v>0.1376593</v>
      </c>
      <c r="O447" s="46" t="n">
        <v>0.4165944</v>
      </c>
      <c r="P447" s="46" t="n">
        <v>0.547958</v>
      </c>
      <c r="Q447" s="46" t="n">
        <v>1.8792435</v>
      </c>
      <c r="R447" s="46" t="n">
        <v>1.8046428</v>
      </c>
      <c r="S447" s="47" t="n">
        <f aca="false">M447+N447+O447</f>
        <v>0.8039105</v>
      </c>
      <c r="T447" s="47" t="n">
        <f aca="false">M447+P447</f>
        <v>0.7976148</v>
      </c>
    </row>
    <row r="448" customFormat="false" ht="15" hidden="false" customHeight="false" outlineLevel="0" collapsed="false">
      <c r="A448" s="42" t="s">
        <v>44</v>
      </c>
      <c r="B448" s="42" t="n">
        <v>-12</v>
      </c>
      <c r="C448" s="42" t="n">
        <v>47</v>
      </c>
      <c r="D448" s="42" t="n">
        <v>74270962</v>
      </c>
      <c r="E448" s="43" t="n">
        <v>0.952643103870056</v>
      </c>
      <c r="F448" s="43" t="n">
        <v>0.967421589983908</v>
      </c>
      <c r="G448" s="43" t="n">
        <v>0.968740959971235</v>
      </c>
      <c r="H448" s="43" t="n">
        <v>0.965917488743163</v>
      </c>
      <c r="I448" s="42" t="n">
        <v>1</v>
      </c>
      <c r="J448" s="42" t="n">
        <v>1</v>
      </c>
      <c r="K448" s="44" t="str">
        <f aca="false">IF(AND(I448=1,J448=1),"两者都跟住",IF(AND(I448=0,J448=1),"仅 PC-TBD 跟住",IF(AND(I448=1,J448=0),"仅 VIT-LPS 跟住","都没跟住")))</f>
        <v>两者都跟住</v>
      </c>
      <c r="L448" s="45" t="n">
        <f aca="false">F448-G448</f>
        <v>-0.00131936998732696</v>
      </c>
      <c r="M448" s="46" t="n">
        <v>0.1499987</v>
      </c>
      <c r="N448" s="46" t="n">
        <v>0.0811987</v>
      </c>
      <c r="O448" s="46" t="n">
        <v>0.1459054</v>
      </c>
      <c r="P448" s="46" t="n">
        <v>0.4464291</v>
      </c>
      <c r="Q448" s="46" t="n">
        <v>1.4781164</v>
      </c>
      <c r="R448" s="46" t="n">
        <v>1.1430353</v>
      </c>
      <c r="S448" s="47" t="n">
        <f aca="false">M448+N448+O448</f>
        <v>0.3771028</v>
      </c>
      <c r="T448" s="47" t="n">
        <f aca="false">M448+P448</f>
        <v>0.5964278</v>
      </c>
    </row>
    <row r="449" customFormat="false" ht="15" hidden="false" customHeight="false" outlineLevel="0" collapsed="false">
      <c r="A449" s="42" t="s">
        <v>44</v>
      </c>
      <c r="B449" s="42" t="n">
        <v>-12</v>
      </c>
      <c r="C449" s="42" t="n">
        <v>48</v>
      </c>
      <c r="D449" s="42" t="n">
        <v>74270963</v>
      </c>
      <c r="E449" s="43" t="n">
        <v>0.979168207877304</v>
      </c>
      <c r="F449" s="43" t="n">
        <v>0.976989750761141</v>
      </c>
      <c r="G449" s="43" t="n">
        <v>0.971445720659697</v>
      </c>
      <c r="H449" s="43" t="n">
        <v>0.974014660472369</v>
      </c>
      <c r="I449" s="42" t="n">
        <v>1</v>
      </c>
      <c r="J449" s="42" t="n">
        <v>1</v>
      </c>
      <c r="K449" s="44" t="str">
        <f aca="false">IF(AND(I449=1,J449=1),"两者都跟住",IF(AND(I449=0,J449=1),"仅 PC-TBD 跟住",IF(AND(I449=1,J449=0),"仅 VIT-LPS 跟住","都没跟住")))</f>
        <v>两者都跟住</v>
      </c>
      <c r="L449" s="45" t="n">
        <f aca="false">F449-G449</f>
        <v>0.005544030101444</v>
      </c>
      <c r="M449" s="46" t="n">
        <v>0.1427224</v>
      </c>
      <c r="N449" s="46" t="n">
        <v>0.0735852</v>
      </c>
      <c r="O449" s="46" t="n">
        <v>0.13522</v>
      </c>
      <c r="P449" s="46" t="n">
        <v>0.3895507</v>
      </c>
      <c r="Q449" s="46" t="n">
        <v>1.5938578</v>
      </c>
      <c r="R449" s="46" t="n">
        <v>1.5500584</v>
      </c>
      <c r="S449" s="47" t="n">
        <f aca="false">M449+N449+O449</f>
        <v>0.3515276</v>
      </c>
      <c r="T449" s="47" t="n">
        <f aca="false">M449+P449</f>
        <v>0.5322731</v>
      </c>
    </row>
    <row r="450" customFormat="false" ht="15" hidden="false" customHeight="false" outlineLevel="0" collapsed="false">
      <c r="A450" s="42" t="s">
        <v>44</v>
      </c>
      <c r="B450" s="42" t="n">
        <v>-12</v>
      </c>
      <c r="C450" s="42" t="n">
        <v>49</v>
      </c>
      <c r="D450" s="42" t="n">
        <v>74270964</v>
      </c>
      <c r="E450" s="43" t="n">
        <v>0.952324144339293</v>
      </c>
      <c r="F450" s="43" t="n">
        <v>0.962644537881192</v>
      </c>
      <c r="G450" s="43" t="n">
        <v>0.965744450108232</v>
      </c>
      <c r="H450" s="43" t="n">
        <v>0.963011932554722</v>
      </c>
      <c r="I450" s="42" t="n">
        <v>1</v>
      </c>
      <c r="J450" s="42" t="n">
        <v>1</v>
      </c>
      <c r="K450" s="44" t="str">
        <f aca="false">IF(AND(I450=1,J450=1),"两者都跟住",IF(AND(I450=0,J450=1),"仅 PC-TBD 跟住",IF(AND(I450=1,J450=0),"仅 VIT-LPS 跟住","都没跟住")))</f>
        <v>两者都跟住</v>
      </c>
      <c r="L450" s="45" t="n">
        <f aca="false">F450-G450</f>
        <v>-0.00309991222703998</v>
      </c>
      <c r="M450" s="46" t="n">
        <v>0.1328906</v>
      </c>
      <c r="N450" s="46" t="n">
        <v>0.07789</v>
      </c>
      <c r="O450" s="46" t="n">
        <v>0.1148748</v>
      </c>
      <c r="P450" s="46" t="n">
        <v>0.4731885</v>
      </c>
      <c r="Q450" s="46" t="n">
        <v>1.5702347</v>
      </c>
      <c r="R450" s="46" t="n">
        <v>1.5610285</v>
      </c>
      <c r="S450" s="47" t="n">
        <f aca="false">M450+N450+O450</f>
        <v>0.3256554</v>
      </c>
      <c r="T450" s="47" t="n">
        <f aca="false">M450+P450</f>
        <v>0.6060791</v>
      </c>
    </row>
    <row r="451" customFormat="false" ht="15" hidden="false" customHeight="false" outlineLevel="0" collapsed="false">
      <c r="A451" s="42" t="s">
        <v>44</v>
      </c>
      <c r="B451" s="42" t="n">
        <v>-12</v>
      </c>
      <c r="C451" s="42" t="n">
        <v>50</v>
      </c>
      <c r="D451" s="42" t="n">
        <v>74270965</v>
      </c>
      <c r="E451" s="43" t="n">
        <v>0.905233200615518</v>
      </c>
      <c r="F451" s="43" t="n">
        <v>0.963426327922715</v>
      </c>
      <c r="G451" s="43" t="n">
        <v>0.964235792019257</v>
      </c>
      <c r="H451" s="43" t="n">
        <v>0.960561616182474</v>
      </c>
      <c r="I451" s="42" t="n">
        <v>1</v>
      </c>
      <c r="J451" s="42" t="n">
        <v>1</v>
      </c>
      <c r="K451" s="44" t="str">
        <f aca="false">IF(AND(I451=1,J451=1),"两者都跟住",IF(AND(I451=0,J451=1),"仅 PC-TBD 跟住",IF(AND(I451=1,J451=0),"仅 VIT-LPS 跟住","都没跟住")))</f>
        <v>两者都跟住</v>
      </c>
      <c r="L451" s="45" t="n">
        <f aca="false">F451-G451</f>
        <v>-0.000809464096542034</v>
      </c>
      <c r="M451" s="46" t="n">
        <v>0.13635</v>
      </c>
      <c r="N451" s="46" t="n">
        <v>0.0953946</v>
      </c>
      <c r="O451" s="46" t="n">
        <v>0.1369798</v>
      </c>
      <c r="P451" s="46" t="n">
        <v>0.3965503</v>
      </c>
      <c r="Q451" s="46" t="n">
        <v>1.7773675</v>
      </c>
      <c r="R451" s="46" t="n">
        <v>1.457683</v>
      </c>
      <c r="S451" s="47" t="n">
        <f aca="false">M451+N451+O451</f>
        <v>0.3687244</v>
      </c>
      <c r="T451" s="47" t="n">
        <f aca="false">M451+P451</f>
        <v>0.5329003</v>
      </c>
    </row>
    <row r="452" customFormat="false" ht="15" hidden="false" customHeight="false" outlineLevel="0" collapsed="false">
      <c r="A452" s="42" t="s">
        <v>44</v>
      </c>
      <c r="B452" s="42" t="n">
        <v>-12</v>
      </c>
      <c r="C452" s="42" t="n">
        <v>51</v>
      </c>
      <c r="D452" s="42" t="n">
        <v>74270966</v>
      </c>
      <c r="E452" s="43" t="n">
        <v>0.968351071850046</v>
      </c>
      <c r="F452" s="43" t="n">
        <v>0.98190393255752</v>
      </c>
      <c r="G452" s="43" t="n">
        <v>0.976120221868632</v>
      </c>
      <c r="H452" s="43" t="n">
        <v>0.980556842578208</v>
      </c>
      <c r="I452" s="42" t="n">
        <v>1</v>
      </c>
      <c r="J452" s="42" t="n">
        <v>1</v>
      </c>
      <c r="K452" s="44" t="str">
        <f aca="false">IF(AND(I452=1,J452=1),"两者都跟住",IF(AND(I452=0,J452=1),"仅 PC-TBD 跟住",IF(AND(I452=1,J452=0),"仅 VIT-LPS 跟住","都没跟住")))</f>
        <v>两者都跟住</v>
      </c>
      <c r="L452" s="45" t="n">
        <f aca="false">F452-G452</f>
        <v>0.00578371068888794</v>
      </c>
      <c r="M452" s="46" t="n">
        <v>0.2293831</v>
      </c>
      <c r="N452" s="46" t="n">
        <v>0.1420148</v>
      </c>
      <c r="O452" s="46" t="n">
        <v>0.2085096</v>
      </c>
      <c r="P452" s="46" t="n">
        <v>0.5289438</v>
      </c>
      <c r="Q452" s="46" t="n">
        <v>2.3589051</v>
      </c>
      <c r="R452" s="46" t="n">
        <v>2.3087222</v>
      </c>
      <c r="S452" s="47" t="n">
        <f aca="false">M452+N452+O452</f>
        <v>0.5799075</v>
      </c>
      <c r="T452" s="47" t="n">
        <f aca="false">M452+P452</f>
        <v>0.7583269</v>
      </c>
    </row>
    <row r="453" customFormat="false" ht="15" hidden="false" customHeight="false" outlineLevel="0" collapsed="false">
      <c r="A453" s="42" t="s">
        <v>44</v>
      </c>
      <c r="B453" s="42" t="n">
        <v>-12</v>
      </c>
      <c r="C453" s="42" t="n">
        <v>52</v>
      </c>
      <c r="D453" s="42" t="n">
        <v>74270967</v>
      </c>
      <c r="E453" s="43" t="n">
        <v>0.973679347833683</v>
      </c>
      <c r="F453" s="43" t="n">
        <v>0.973882447035053</v>
      </c>
      <c r="G453" s="43" t="n">
        <v>0.961044209320838</v>
      </c>
      <c r="H453" s="43" t="n">
        <v>0.972622497536379</v>
      </c>
      <c r="I453" s="42" t="n">
        <v>1</v>
      </c>
      <c r="J453" s="42" t="n">
        <v>1</v>
      </c>
      <c r="K453" s="44" t="str">
        <f aca="false">IF(AND(I453=1,J453=1),"两者都跟住",IF(AND(I453=0,J453=1),"仅 PC-TBD 跟住",IF(AND(I453=1,J453=0),"仅 VIT-LPS 跟住","都没跟住")))</f>
        <v>两者都跟住</v>
      </c>
      <c r="L453" s="45" t="n">
        <f aca="false">F453-G453</f>
        <v>0.012838237714215</v>
      </c>
      <c r="M453" s="46" t="n">
        <v>0.2382089</v>
      </c>
      <c r="N453" s="46" t="n">
        <v>0.1211231</v>
      </c>
      <c r="O453" s="46" t="n">
        <v>0.2174747</v>
      </c>
      <c r="P453" s="46" t="n">
        <v>0.5464169</v>
      </c>
      <c r="Q453" s="46" t="n">
        <v>2.3136138</v>
      </c>
      <c r="R453" s="46" t="n">
        <v>1.8463357</v>
      </c>
      <c r="S453" s="47" t="n">
        <f aca="false">M453+N453+O453</f>
        <v>0.5768067</v>
      </c>
      <c r="T453" s="47" t="n">
        <f aca="false">M453+P453</f>
        <v>0.7846258</v>
      </c>
    </row>
    <row r="454" customFormat="false" ht="15" hidden="false" customHeight="false" outlineLevel="0" collapsed="false">
      <c r="A454" s="42" t="s">
        <v>44</v>
      </c>
      <c r="B454" s="42" t="n">
        <v>-12</v>
      </c>
      <c r="C454" s="42" t="n">
        <v>53</v>
      </c>
      <c r="D454" s="42" t="n">
        <v>74270968</v>
      </c>
      <c r="E454" s="43" t="n">
        <v>0.967427450550911</v>
      </c>
      <c r="F454" s="43" t="n">
        <v>0.982755114515145</v>
      </c>
      <c r="G454" s="43" t="n">
        <v>0.975773633394101</v>
      </c>
      <c r="H454" s="43" t="n">
        <v>0.982094174364011</v>
      </c>
      <c r="I454" s="42" t="n">
        <v>1</v>
      </c>
      <c r="J454" s="42" t="n">
        <v>1</v>
      </c>
      <c r="K454" s="44" t="str">
        <f aca="false">IF(AND(I454=1,J454=1),"两者都跟住",IF(AND(I454=0,J454=1),"仅 PC-TBD 跟住",IF(AND(I454=1,J454=0),"仅 VIT-LPS 跟住","都没跟住")))</f>
        <v>两者都跟住</v>
      </c>
      <c r="L454" s="45" t="n">
        <f aca="false">F454-G454</f>
        <v>0.00698148112104402</v>
      </c>
      <c r="M454" s="46" t="n">
        <v>0.2309327</v>
      </c>
      <c r="N454" s="46" t="n">
        <v>0.1127422</v>
      </c>
      <c r="O454" s="46" t="n">
        <v>0.1951721</v>
      </c>
      <c r="P454" s="46" t="n">
        <v>0.5276851</v>
      </c>
      <c r="Q454" s="46" t="n">
        <v>1.9657284</v>
      </c>
      <c r="R454" s="46" t="n">
        <v>1.5349383</v>
      </c>
      <c r="S454" s="47" t="n">
        <f aca="false">M454+N454+O454</f>
        <v>0.538847</v>
      </c>
      <c r="T454" s="47" t="n">
        <f aca="false">M454+P454</f>
        <v>0.7586178</v>
      </c>
    </row>
    <row r="455" customFormat="false" ht="15" hidden="false" customHeight="false" outlineLevel="0" collapsed="false">
      <c r="A455" s="42" t="s">
        <v>44</v>
      </c>
      <c r="B455" s="42" t="n">
        <v>-12</v>
      </c>
      <c r="C455" s="42" t="n">
        <v>54</v>
      </c>
      <c r="D455" s="42" t="n">
        <v>74270969</v>
      </c>
      <c r="E455" s="43" t="n">
        <v>0.957480866668082</v>
      </c>
      <c r="F455" s="43" t="n">
        <v>0.981443943449068</v>
      </c>
      <c r="G455" s="43" t="n">
        <v>0.973005442570112</v>
      </c>
      <c r="H455" s="43" t="n">
        <v>0.981166526236758</v>
      </c>
      <c r="I455" s="42" t="n">
        <v>1</v>
      </c>
      <c r="J455" s="42" t="n">
        <v>1</v>
      </c>
      <c r="K455" s="44" t="str">
        <f aca="false">IF(AND(I455=1,J455=1),"两者都跟住",IF(AND(I455=0,J455=1),"仅 PC-TBD 跟住",IF(AND(I455=1,J455=0),"仅 VIT-LPS 跟住","都没跟住")))</f>
        <v>两者都跟住</v>
      </c>
      <c r="L455" s="45" t="n">
        <f aca="false">F455-G455</f>
        <v>0.00843850087895604</v>
      </c>
      <c r="M455" s="46" t="n">
        <v>0.2395746</v>
      </c>
      <c r="N455" s="46" t="n">
        <v>0.1218759</v>
      </c>
      <c r="O455" s="46" t="n">
        <v>0.2091301</v>
      </c>
      <c r="P455" s="46" t="n">
        <v>0.4643249</v>
      </c>
      <c r="Q455" s="46" t="n">
        <v>2.2802904</v>
      </c>
      <c r="R455" s="46" t="n">
        <v>1.8889167</v>
      </c>
      <c r="S455" s="47" t="n">
        <f aca="false">M455+N455+O455</f>
        <v>0.5705806</v>
      </c>
      <c r="T455" s="47" t="n">
        <f aca="false">M455+P455</f>
        <v>0.7038995</v>
      </c>
    </row>
    <row r="456" customFormat="false" ht="15" hidden="false" customHeight="false" outlineLevel="0" collapsed="false">
      <c r="A456" s="42" t="s">
        <v>44</v>
      </c>
      <c r="B456" s="42" t="n">
        <v>-12</v>
      </c>
      <c r="C456" s="42" t="n">
        <v>55</v>
      </c>
      <c r="D456" s="42" t="n">
        <v>74270970</v>
      </c>
      <c r="E456" s="43" t="n">
        <v>0.938745064192396</v>
      </c>
      <c r="F456" s="43" t="n">
        <v>0.971866659079163</v>
      </c>
      <c r="G456" s="43" t="n">
        <v>0.95971707008562</v>
      </c>
      <c r="H456" s="43" t="n">
        <v>0.966064181451462</v>
      </c>
      <c r="I456" s="42" t="n">
        <v>1</v>
      </c>
      <c r="J456" s="42" t="n">
        <v>1</v>
      </c>
      <c r="K456" s="44" t="str">
        <f aca="false">IF(AND(I456=1,J456=1),"两者都跟住",IF(AND(I456=0,J456=1),"仅 PC-TBD 跟住",IF(AND(I456=1,J456=0),"仅 VIT-LPS 跟住","都没跟住")))</f>
        <v>两者都跟住</v>
      </c>
      <c r="L456" s="45" t="n">
        <f aca="false">F456-G456</f>
        <v>0.012149588993543</v>
      </c>
      <c r="M456" s="46" t="n">
        <v>0.2329905</v>
      </c>
      <c r="N456" s="46" t="n">
        <v>0.1186999</v>
      </c>
      <c r="O456" s="46" t="n">
        <v>0.2432717</v>
      </c>
      <c r="P456" s="46" t="n">
        <v>0.5454356</v>
      </c>
      <c r="Q456" s="46" t="n">
        <v>2.2218057</v>
      </c>
      <c r="R456" s="46" t="n">
        <v>2.2612814</v>
      </c>
      <c r="S456" s="47" t="n">
        <f aca="false">M456+N456+O456</f>
        <v>0.5949621</v>
      </c>
      <c r="T456" s="47" t="n">
        <f aca="false">M456+P456</f>
        <v>0.7784261</v>
      </c>
    </row>
    <row r="457" customFormat="false" ht="15" hidden="false" customHeight="false" outlineLevel="0" collapsed="false">
      <c r="A457" s="42" t="s">
        <v>44</v>
      </c>
      <c r="B457" s="42" t="n">
        <v>-12</v>
      </c>
      <c r="C457" s="42" t="n">
        <v>56</v>
      </c>
      <c r="D457" s="42" t="n">
        <v>74270971</v>
      </c>
      <c r="E457" s="43" t="n">
        <v>0.944756006051288</v>
      </c>
      <c r="F457" s="43" t="n">
        <v>0.954318329965319</v>
      </c>
      <c r="G457" s="43" t="n">
        <v>0.951813240163972</v>
      </c>
      <c r="H457" s="43" t="n">
        <v>0.951735684857596</v>
      </c>
      <c r="I457" s="42" t="n">
        <v>1</v>
      </c>
      <c r="J457" s="42" t="n">
        <v>1</v>
      </c>
      <c r="K457" s="44" t="str">
        <f aca="false">IF(AND(I457=1,J457=1),"两者都跟住",IF(AND(I457=0,J457=1),"仅 PC-TBD 跟住",IF(AND(I457=1,J457=0),"仅 VIT-LPS 跟住","都没跟住")))</f>
        <v>两者都跟住</v>
      </c>
      <c r="L457" s="45" t="n">
        <f aca="false">F457-G457</f>
        <v>0.002505089801347</v>
      </c>
      <c r="M457" s="46" t="n">
        <v>0.2041074</v>
      </c>
      <c r="N457" s="46" t="n">
        <v>0.1335192</v>
      </c>
      <c r="O457" s="46" t="n">
        <v>0.2379902</v>
      </c>
      <c r="P457" s="46" t="n">
        <v>0.5633259</v>
      </c>
      <c r="Q457" s="46" t="n">
        <v>2.102693</v>
      </c>
      <c r="R457" s="46" t="n">
        <v>1.9294356</v>
      </c>
      <c r="S457" s="47" t="n">
        <f aca="false">M457+N457+O457</f>
        <v>0.5756168</v>
      </c>
      <c r="T457" s="47" t="n">
        <f aca="false">M457+P457</f>
        <v>0.7674333</v>
      </c>
    </row>
    <row r="458" customFormat="false" ht="15" hidden="false" customHeight="false" outlineLevel="0" collapsed="false">
      <c r="A458" s="42" t="s">
        <v>44</v>
      </c>
      <c r="B458" s="42" t="n">
        <v>-12</v>
      </c>
      <c r="C458" s="42" t="n">
        <v>57</v>
      </c>
      <c r="D458" s="42" t="n">
        <v>74270972</v>
      </c>
      <c r="E458" s="43" t="n">
        <v>0.942882464818257</v>
      </c>
      <c r="F458" s="43" t="n">
        <v>0.985702377462675</v>
      </c>
      <c r="G458" s="43" t="n">
        <v>0.981607823203133</v>
      </c>
      <c r="H458" s="43" t="n">
        <v>0.980250766042067</v>
      </c>
      <c r="I458" s="42" t="n">
        <v>1</v>
      </c>
      <c r="J458" s="42" t="n">
        <v>1</v>
      </c>
      <c r="K458" s="44" t="str">
        <f aca="false">IF(AND(I458=1,J458=1),"两者都跟住",IF(AND(I458=0,J458=1),"仅 PC-TBD 跟住",IF(AND(I458=1,J458=0),"仅 VIT-LPS 跟住","都没跟住")))</f>
        <v>两者都跟住</v>
      </c>
      <c r="L458" s="45" t="n">
        <f aca="false">F458-G458</f>
        <v>0.00409455425954197</v>
      </c>
      <c r="M458" s="46" t="n">
        <v>0.12694</v>
      </c>
      <c r="N458" s="46" t="n">
        <v>0.0868781</v>
      </c>
      <c r="O458" s="46" t="n">
        <v>0.1204306</v>
      </c>
      <c r="P458" s="46" t="n">
        <v>0.4176172</v>
      </c>
      <c r="Q458" s="46" t="n">
        <v>1.690996</v>
      </c>
      <c r="R458" s="46" t="n">
        <v>1.7443701</v>
      </c>
      <c r="S458" s="47" t="n">
        <f aca="false">M458+N458+O458</f>
        <v>0.3342487</v>
      </c>
      <c r="T458" s="47" t="n">
        <f aca="false">M458+P458</f>
        <v>0.5445572</v>
      </c>
    </row>
    <row r="459" customFormat="false" ht="15" hidden="false" customHeight="false" outlineLevel="0" collapsed="false">
      <c r="A459" s="42" t="s">
        <v>44</v>
      </c>
      <c r="B459" s="42" t="n">
        <v>-12</v>
      </c>
      <c r="C459" s="42" t="n">
        <v>58</v>
      </c>
      <c r="D459" s="42" t="n">
        <v>74270973</v>
      </c>
      <c r="E459" s="43" t="n">
        <v>0.965895443184742</v>
      </c>
      <c r="F459" s="43" t="n">
        <v>0.964890238109004</v>
      </c>
      <c r="G459" s="43" t="n">
        <v>0.962867199027303</v>
      </c>
      <c r="H459" s="43" t="n">
        <v>0.959454929077185</v>
      </c>
      <c r="I459" s="42" t="n">
        <v>1</v>
      </c>
      <c r="J459" s="42" t="n">
        <v>1</v>
      </c>
      <c r="K459" s="44" t="str">
        <f aca="false">IF(AND(I459=1,J459=1),"两者都跟住",IF(AND(I459=0,J459=1),"仅 PC-TBD 跟住",IF(AND(I459=1,J459=0),"仅 VIT-LPS 跟住","都没跟住")))</f>
        <v>两者都跟住</v>
      </c>
      <c r="L459" s="45" t="n">
        <f aca="false">F459-G459</f>
        <v>0.00202303908170098</v>
      </c>
      <c r="M459" s="46" t="n">
        <v>0.1386205</v>
      </c>
      <c r="N459" s="46" t="n">
        <v>0.0726346</v>
      </c>
      <c r="O459" s="46" t="n">
        <v>0.1488695</v>
      </c>
      <c r="P459" s="46" t="n">
        <v>0.4990699</v>
      </c>
      <c r="Q459" s="46" t="n">
        <v>1.8500633</v>
      </c>
      <c r="R459" s="46" t="n">
        <v>1.78947</v>
      </c>
      <c r="S459" s="47" t="n">
        <f aca="false">M459+N459+O459</f>
        <v>0.3601246</v>
      </c>
      <c r="T459" s="47" t="n">
        <f aca="false">M459+P459</f>
        <v>0.6376904</v>
      </c>
    </row>
    <row r="460" customFormat="false" ht="15" hidden="false" customHeight="false" outlineLevel="0" collapsed="false">
      <c r="A460" s="42" t="s">
        <v>44</v>
      </c>
      <c r="B460" s="42" t="n">
        <v>-12</v>
      </c>
      <c r="C460" s="42" t="n">
        <v>59</v>
      </c>
      <c r="D460" s="42" t="n">
        <v>74270974</v>
      </c>
      <c r="E460" s="43" t="n">
        <v>0.877350485809786</v>
      </c>
      <c r="F460" s="43" t="n">
        <v>0.980000823630949</v>
      </c>
      <c r="G460" s="43" t="n">
        <v>0.967482066902731</v>
      </c>
      <c r="H460" s="43" t="n">
        <v>0.974605482492793</v>
      </c>
      <c r="I460" s="42" t="n">
        <v>1</v>
      </c>
      <c r="J460" s="42" t="n">
        <v>1</v>
      </c>
      <c r="K460" s="44" t="str">
        <f aca="false">IF(AND(I460=1,J460=1),"两者都跟住",IF(AND(I460=0,J460=1),"仅 PC-TBD 跟住",IF(AND(I460=1,J460=0),"仅 VIT-LPS 跟住","都没跟住")))</f>
        <v>两者都跟住</v>
      </c>
      <c r="L460" s="45" t="n">
        <f aca="false">F460-G460</f>
        <v>0.012518756728218</v>
      </c>
      <c r="M460" s="46" t="n">
        <v>0.1461253</v>
      </c>
      <c r="N460" s="46" t="n">
        <v>0.0987261</v>
      </c>
      <c r="O460" s="46" t="n">
        <v>0.1352237</v>
      </c>
      <c r="P460" s="46" t="n">
        <v>0.3821472</v>
      </c>
      <c r="Q460" s="46" t="n">
        <v>1.7718935</v>
      </c>
      <c r="R460" s="46" t="n">
        <v>1.5310076</v>
      </c>
      <c r="S460" s="47" t="n">
        <f aca="false">M460+N460+O460</f>
        <v>0.3800751</v>
      </c>
      <c r="T460" s="47" t="n">
        <f aca="false">M460+P460</f>
        <v>0.5282725</v>
      </c>
    </row>
    <row r="461" customFormat="false" ht="15" hidden="false" customHeight="false" outlineLevel="0" collapsed="false">
      <c r="A461" s="42" t="s">
        <v>44</v>
      </c>
      <c r="B461" s="42" t="n">
        <v>-12</v>
      </c>
      <c r="C461" s="42" t="n">
        <v>60</v>
      </c>
      <c r="D461" s="42" t="n">
        <v>74270975</v>
      </c>
      <c r="E461" s="43" t="n">
        <v>0.950519172388471</v>
      </c>
      <c r="F461" s="43" t="n">
        <v>0.964191551461163</v>
      </c>
      <c r="G461" s="43" t="n">
        <v>0.961306378201176</v>
      </c>
      <c r="H461" s="43" t="n">
        <v>0.96245936054196</v>
      </c>
      <c r="I461" s="42" t="n">
        <v>1</v>
      </c>
      <c r="J461" s="42" t="n">
        <v>1</v>
      </c>
      <c r="K461" s="44" t="str">
        <f aca="false">IF(AND(I461=1,J461=1),"两者都跟住",IF(AND(I461=0,J461=1),"仅 PC-TBD 跟住",IF(AND(I461=1,J461=0),"仅 VIT-LPS 跟住","都没跟住")))</f>
        <v>两者都跟住</v>
      </c>
      <c r="L461" s="45" t="n">
        <f aca="false">F461-G461</f>
        <v>0.00288517325998694</v>
      </c>
      <c r="M461" s="46" t="n">
        <v>0.1501917</v>
      </c>
      <c r="N461" s="46" t="n">
        <v>0.0836186</v>
      </c>
      <c r="O461" s="46" t="n">
        <v>0.1135794</v>
      </c>
      <c r="P461" s="46" t="n">
        <v>0.5127056</v>
      </c>
      <c r="Q461" s="46" t="n">
        <v>1.6319182</v>
      </c>
      <c r="R461" s="46" t="n">
        <v>1.8758275</v>
      </c>
      <c r="S461" s="47" t="n">
        <f aca="false">M461+N461+O461</f>
        <v>0.3473897</v>
      </c>
      <c r="T461" s="47" t="n">
        <f aca="false">M461+P461</f>
        <v>0.6628973</v>
      </c>
    </row>
    <row r="462" customFormat="false" ht="15" hidden="false" customHeight="false" outlineLevel="0" collapsed="false">
      <c r="A462" s="42" t="s">
        <v>44</v>
      </c>
      <c r="B462" s="42" t="n">
        <v>-12</v>
      </c>
      <c r="C462" s="42" t="n">
        <v>61</v>
      </c>
      <c r="D462" s="42" t="n">
        <v>74270976</v>
      </c>
      <c r="E462" s="43" t="n">
        <v>0.949042147052445</v>
      </c>
      <c r="F462" s="43" t="n">
        <v>0.974459561249994</v>
      </c>
      <c r="G462" s="43" t="n">
        <v>0.976648255616505</v>
      </c>
      <c r="H462" s="43" t="n">
        <v>0.974410937412046</v>
      </c>
      <c r="I462" s="42" t="n">
        <v>1</v>
      </c>
      <c r="J462" s="42" t="n">
        <v>1</v>
      </c>
      <c r="K462" s="44" t="str">
        <f aca="false">IF(AND(I462=1,J462=1),"两者都跟住",IF(AND(I462=0,J462=1),"仅 PC-TBD 跟住",IF(AND(I462=1,J462=0),"仅 VIT-LPS 跟住","都没跟住")))</f>
        <v>两者都跟住</v>
      </c>
      <c r="L462" s="45" t="n">
        <f aca="false">F462-G462</f>
        <v>-0.00218869436651103</v>
      </c>
      <c r="M462" s="46" t="n">
        <v>0.3214971</v>
      </c>
      <c r="N462" s="46" t="n">
        <v>0.1757569</v>
      </c>
      <c r="O462" s="46" t="n">
        <v>0.3232171</v>
      </c>
      <c r="P462" s="46" t="n">
        <v>0.6801166</v>
      </c>
      <c r="Q462" s="46" t="n">
        <v>2.5709377</v>
      </c>
      <c r="R462" s="46" t="n">
        <v>2.3912658</v>
      </c>
      <c r="S462" s="47" t="n">
        <f aca="false">M462+N462+O462</f>
        <v>0.8204711</v>
      </c>
      <c r="T462" s="47" t="n">
        <f aca="false">M462+P462</f>
        <v>1.0016137</v>
      </c>
    </row>
    <row r="463" customFormat="false" ht="15" hidden="false" customHeight="false" outlineLevel="0" collapsed="false">
      <c r="A463" s="42" t="s">
        <v>44</v>
      </c>
      <c r="B463" s="42" t="n">
        <v>-12</v>
      </c>
      <c r="C463" s="42" t="n">
        <v>62</v>
      </c>
      <c r="D463" s="42" t="n">
        <v>74270977</v>
      </c>
      <c r="E463" s="43" t="n">
        <v>0.95649775268329</v>
      </c>
      <c r="F463" s="43" t="n">
        <v>0.968117236448029</v>
      </c>
      <c r="G463" s="43" t="n">
        <v>0.967836980338358</v>
      </c>
      <c r="H463" s="43" t="n">
        <v>0.964059941962251</v>
      </c>
      <c r="I463" s="42" t="n">
        <v>1</v>
      </c>
      <c r="J463" s="42" t="n">
        <v>1</v>
      </c>
      <c r="K463" s="44" t="str">
        <f aca="false">IF(AND(I463=1,J463=1),"两者都跟住",IF(AND(I463=0,J463=1),"仅 PC-TBD 跟住",IF(AND(I463=1,J463=0),"仅 VIT-LPS 跟住","都没跟住")))</f>
        <v>两者都跟住</v>
      </c>
      <c r="L463" s="45" t="n">
        <f aca="false">F463-G463</f>
        <v>0.000280256109671084</v>
      </c>
      <c r="M463" s="46" t="n">
        <v>0.2952634</v>
      </c>
      <c r="N463" s="46" t="n">
        <v>0.1920778</v>
      </c>
      <c r="O463" s="46" t="n">
        <v>0.3132784</v>
      </c>
      <c r="P463" s="46" t="n">
        <v>0.7395204</v>
      </c>
      <c r="Q463" s="46" t="n">
        <v>2.7363246</v>
      </c>
      <c r="R463" s="46" t="n">
        <v>2.2024586</v>
      </c>
      <c r="S463" s="47" t="n">
        <f aca="false">M463+N463+O463</f>
        <v>0.8006196</v>
      </c>
      <c r="T463" s="47" t="n">
        <f aca="false">M463+P463</f>
        <v>1.0347838</v>
      </c>
    </row>
    <row r="464" customFormat="false" ht="15" hidden="false" customHeight="false" outlineLevel="0" collapsed="false">
      <c r="A464" s="42" t="s">
        <v>44</v>
      </c>
      <c r="B464" s="42" t="n">
        <v>-12</v>
      </c>
      <c r="C464" s="42" t="n">
        <v>63</v>
      </c>
      <c r="D464" s="42" t="n">
        <v>74270978</v>
      </c>
      <c r="E464" s="43" t="n">
        <v>0.97609287011833</v>
      </c>
      <c r="F464" s="43" t="n">
        <v>0.976491220747624</v>
      </c>
      <c r="G464" s="43" t="n">
        <v>0.978288944419175</v>
      </c>
      <c r="H464" s="43" t="n">
        <v>0.979154843273084</v>
      </c>
      <c r="I464" s="42" t="n">
        <v>1</v>
      </c>
      <c r="J464" s="42" t="n">
        <v>1</v>
      </c>
      <c r="K464" s="44" t="str">
        <f aca="false">IF(AND(I464=1,J464=1),"两者都跟住",IF(AND(I464=0,J464=1),"仅 PC-TBD 跟住",IF(AND(I464=1,J464=0),"仅 VIT-LPS 跟住","都没跟住")))</f>
        <v>两者都跟住</v>
      </c>
      <c r="L464" s="45" t="n">
        <f aca="false">F464-G464</f>
        <v>-0.00179772367155107</v>
      </c>
      <c r="M464" s="46" t="n">
        <v>0.289061</v>
      </c>
      <c r="N464" s="46" t="n">
        <v>0.1717318</v>
      </c>
      <c r="O464" s="46" t="n">
        <v>0.3463131</v>
      </c>
      <c r="P464" s="46" t="n">
        <v>0.7700098</v>
      </c>
      <c r="Q464" s="46" t="n">
        <v>2.5335215</v>
      </c>
      <c r="R464" s="46" t="n">
        <v>2.3352123</v>
      </c>
      <c r="S464" s="47" t="n">
        <f aca="false">M464+N464+O464</f>
        <v>0.8071059</v>
      </c>
      <c r="T464" s="47" t="n">
        <f aca="false">M464+P464</f>
        <v>1.0590708</v>
      </c>
    </row>
    <row r="465" customFormat="false" ht="15" hidden="false" customHeight="false" outlineLevel="0" collapsed="false">
      <c r="A465" s="42" t="s">
        <v>44</v>
      </c>
      <c r="B465" s="42" t="n">
        <v>-12</v>
      </c>
      <c r="C465" s="42" t="n">
        <v>64</v>
      </c>
      <c r="D465" s="42" t="n">
        <v>74270979</v>
      </c>
      <c r="E465" s="43" t="n">
        <v>0.955072252972974</v>
      </c>
      <c r="F465" s="43" t="n">
        <v>0.967663667775801</v>
      </c>
      <c r="G465" s="43" t="n">
        <v>0.949445999783791</v>
      </c>
      <c r="H465" s="43" t="n">
        <v>0.959963415134024</v>
      </c>
      <c r="I465" s="42" t="n">
        <v>1</v>
      </c>
      <c r="J465" s="42" t="n">
        <v>1</v>
      </c>
      <c r="K465" s="44" t="str">
        <f aca="false">IF(AND(I465=1,J465=1),"两者都跟住",IF(AND(I465=0,J465=1),"仅 PC-TBD 跟住",IF(AND(I465=1,J465=0),"仅 VIT-LPS 跟住","都没跟住")))</f>
        <v>两者都跟住</v>
      </c>
      <c r="L465" s="45" t="n">
        <f aca="false">F465-G465</f>
        <v>0.0182176679920101</v>
      </c>
      <c r="M465" s="46" t="n">
        <v>0.2802888</v>
      </c>
      <c r="N465" s="46" t="n">
        <v>0.1682638</v>
      </c>
      <c r="O465" s="46" t="n">
        <v>0.3483001</v>
      </c>
      <c r="P465" s="46" t="n">
        <v>0.7835073</v>
      </c>
      <c r="Q465" s="46" t="n">
        <v>2.803305</v>
      </c>
      <c r="R465" s="46" t="n">
        <v>2.0948808</v>
      </c>
      <c r="S465" s="47" t="n">
        <f aca="false">M465+N465+O465</f>
        <v>0.7968527</v>
      </c>
      <c r="T465" s="47" t="n">
        <f aca="false">M465+P465</f>
        <v>1.0637961</v>
      </c>
    </row>
    <row r="466" customFormat="false" ht="15" hidden="false" customHeight="false" outlineLevel="0" collapsed="false">
      <c r="A466" s="42" t="s">
        <v>44</v>
      </c>
      <c r="B466" s="42" t="n">
        <v>-12</v>
      </c>
      <c r="C466" s="42" t="n">
        <v>65</v>
      </c>
      <c r="D466" s="42" t="n">
        <v>74270980</v>
      </c>
      <c r="E466" s="43" t="n">
        <v>0.926623175300254</v>
      </c>
      <c r="F466" s="43" t="n">
        <v>0.976023051642672</v>
      </c>
      <c r="G466" s="43" t="n">
        <v>0.968756173906552</v>
      </c>
      <c r="H466" s="43" t="n">
        <v>0.977126240680844</v>
      </c>
      <c r="I466" s="42" t="n">
        <v>1</v>
      </c>
      <c r="J466" s="42" t="n">
        <v>1</v>
      </c>
      <c r="K466" s="44" t="str">
        <f aca="false">IF(AND(I466=1,J466=1),"两者都跟住",IF(AND(I466=0,J466=1),"仅 PC-TBD 跟住",IF(AND(I466=1,J466=0),"仅 VIT-LPS 跟住","都没跟住")))</f>
        <v>两者都跟住</v>
      </c>
      <c r="L466" s="45" t="n">
        <f aca="false">F466-G466</f>
        <v>0.00726687773612</v>
      </c>
      <c r="M466" s="46" t="n">
        <v>0.3055705</v>
      </c>
      <c r="N466" s="46" t="n">
        <v>0.1845873</v>
      </c>
      <c r="O466" s="46" t="n">
        <v>0.3301553</v>
      </c>
      <c r="P466" s="46" t="n">
        <v>0.785361</v>
      </c>
      <c r="Q466" s="46" t="n">
        <v>2.6678603</v>
      </c>
      <c r="R466" s="46" t="n">
        <v>2.113223</v>
      </c>
      <c r="S466" s="47" t="n">
        <f aca="false">M466+N466+O466</f>
        <v>0.8203131</v>
      </c>
      <c r="T466" s="47" t="n">
        <f aca="false">M466+P466</f>
        <v>1.0909315</v>
      </c>
    </row>
    <row r="467" customFormat="false" ht="15" hidden="false" customHeight="false" outlineLevel="0" collapsed="false">
      <c r="A467" s="42" t="s">
        <v>44</v>
      </c>
      <c r="B467" s="42" t="n">
        <v>-12</v>
      </c>
      <c r="C467" s="42" t="n">
        <v>66</v>
      </c>
      <c r="D467" s="42" t="n">
        <v>74270981</v>
      </c>
      <c r="E467" s="43" t="n">
        <v>0.959365689194852</v>
      </c>
      <c r="F467" s="43" t="n">
        <v>0.982836259885584</v>
      </c>
      <c r="G467" s="43" t="n">
        <v>0.974346961680924</v>
      </c>
      <c r="H467" s="43" t="n">
        <v>0.979451297979832</v>
      </c>
      <c r="I467" s="42" t="n">
        <v>1</v>
      </c>
      <c r="J467" s="42" t="n">
        <v>1</v>
      </c>
      <c r="K467" s="44" t="str">
        <f aca="false">IF(AND(I467=1,J467=1),"两者都跟住",IF(AND(I467=0,J467=1),"仅 PC-TBD 跟住",IF(AND(I467=1,J467=0),"仅 VIT-LPS 跟住","都没跟住")))</f>
        <v>两者都跟住</v>
      </c>
      <c r="L467" s="45" t="n">
        <f aca="false">F467-G467</f>
        <v>0.00848929820465993</v>
      </c>
      <c r="M467" s="46" t="n">
        <v>0.3228413</v>
      </c>
      <c r="N467" s="46" t="n">
        <v>0.1610668</v>
      </c>
      <c r="O467" s="46" t="n">
        <v>0.3194651</v>
      </c>
      <c r="P467" s="46" t="n">
        <v>0.7769168</v>
      </c>
      <c r="Q467" s="46" t="n">
        <v>2.7380412</v>
      </c>
      <c r="R467" s="46" t="n">
        <v>2.6042759</v>
      </c>
      <c r="S467" s="47" t="n">
        <f aca="false">M467+N467+O467</f>
        <v>0.8033732</v>
      </c>
      <c r="T467" s="47" t="n">
        <f aca="false">M467+P467</f>
        <v>1.0997581</v>
      </c>
    </row>
    <row r="468" customFormat="false" ht="15" hidden="false" customHeight="false" outlineLevel="0" collapsed="false">
      <c r="A468" s="42" t="s">
        <v>44</v>
      </c>
      <c r="B468" s="42" t="n">
        <v>-12</v>
      </c>
      <c r="C468" s="42" t="n">
        <v>67</v>
      </c>
      <c r="D468" s="42" t="n">
        <v>74270982</v>
      </c>
      <c r="E468" s="43" t="n">
        <v>0.965205448953745</v>
      </c>
      <c r="F468" s="43" t="n">
        <v>0.970382279828759</v>
      </c>
      <c r="G468" s="43" t="n">
        <v>0.96758132045327</v>
      </c>
      <c r="H468" s="43" t="n">
        <v>0.969868940359746</v>
      </c>
      <c r="I468" s="42" t="n">
        <v>1</v>
      </c>
      <c r="J468" s="42" t="n">
        <v>1</v>
      </c>
      <c r="K468" s="44" t="str">
        <f aca="false">IF(AND(I468=1,J468=1),"两者都跟住",IF(AND(I468=0,J468=1),"仅 PC-TBD 跟住",IF(AND(I468=1,J468=0),"仅 VIT-LPS 跟住","都没跟住")))</f>
        <v>两者都跟住</v>
      </c>
      <c r="L468" s="45" t="n">
        <f aca="false">F468-G468</f>
        <v>0.00280095937548897</v>
      </c>
      <c r="M468" s="46" t="n">
        <v>0.1576098</v>
      </c>
      <c r="N468" s="46" t="n">
        <v>0.0850508</v>
      </c>
      <c r="O468" s="46" t="n">
        <v>0.1142301</v>
      </c>
      <c r="P468" s="46" t="n">
        <v>0.3967434</v>
      </c>
      <c r="Q468" s="46" t="n">
        <v>1.4834217</v>
      </c>
      <c r="R468" s="46" t="n">
        <v>1.3047624</v>
      </c>
      <c r="S468" s="47" t="n">
        <f aca="false">M468+N468+O468</f>
        <v>0.3568907</v>
      </c>
      <c r="T468" s="47" t="n">
        <f aca="false">M468+P468</f>
        <v>0.5543532</v>
      </c>
    </row>
    <row r="469" customFormat="false" ht="15" hidden="false" customHeight="false" outlineLevel="0" collapsed="false">
      <c r="A469" s="42" t="s">
        <v>44</v>
      </c>
      <c r="B469" s="42" t="n">
        <v>-12</v>
      </c>
      <c r="C469" s="42" t="n">
        <v>68</v>
      </c>
      <c r="D469" s="42" t="n">
        <v>74270983</v>
      </c>
      <c r="E469" s="43" t="n">
        <v>0.952647885082402</v>
      </c>
      <c r="F469" s="43" t="n">
        <v>0.945640598433611</v>
      </c>
      <c r="G469" s="43" t="n">
        <v>0.948315916473585</v>
      </c>
      <c r="H469" s="43" t="n">
        <v>0.94486766764664</v>
      </c>
      <c r="I469" s="42" t="n">
        <v>1</v>
      </c>
      <c r="J469" s="42" t="n">
        <v>1</v>
      </c>
      <c r="K469" s="44" t="str">
        <f aca="false">IF(AND(I469=1,J469=1),"两者都跟住",IF(AND(I469=0,J469=1),"仅 PC-TBD 跟住",IF(AND(I469=1,J469=0),"仅 VIT-LPS 跟住","都没跟住")))</f>
        <v>两者都跟住</v>
      </c>
      <c r="L469" s="45" t="n">
        <f aca="false">F469-G469</f>
        <v>-0.00267531803997401</v>
      </c>
      <c r="M469" s="46" t="n">
        <v>0.1945621</v>
      </c>
      <c r="N469" s="46" t="n">
        <v>0.1260442</v>
      </c>
      <c r="O469" s="46" t="n">
        <v>0.177189</v>
      </c>
      <c r="P469" s="46" t="n">
        <v>0.5638453</v>
      </c>
      <c r="Q469" s="46" t="n">
        <v>1.5665496</v>
      </c>
      <c r="R469" s="46" t="n">
        <v>1.4651088</v>
      </c>
      <c r="S469" s="47" t="n">
        <f aca="false">M469+N469+O469</f>
        <v>0.4977953</v>
      </c>
      <c r="T469" s="47" t="n">
        <f aca="false">M469+P469</f>
        <v>0.7584074</v>
      </c>
    </row>
    <row r="470" customFormat="false" ht="15" hidden="false" customHeight="false" outlineLevel="0" collapsed="false">
      <c r="A470" s="42" t="s">
        <v>44</v>
      </c>
      <c r="B470" s="42" t="n">
        <v>-12</v>
      </c>
      <c r="C470" s="42" t="n">
        <v>69</v>
      </c>
      <c r="D470" s="42" t="n">
        <v>74270984</v>
      </c>
      <c r="E470" s="43" t="n">
        <v>0.944303633106997</v>
      </c>
      <c r="F470" s="43" t="n">
        <v>0.978048187286886</v>
      </c>
      <c r="G470" s="43" t="n">
        <v>0.977428655203888</v>
      </c>
      <c r="H470" s="43" t="n">
        <v>0.976377945392409</v>
      </c>
      <c r="I470" s="42" t="n">
        <v>1</v>
      </c>
      <c r="J470" s="42" t="n">
        <v>1</v>
      </c>
      <c r="K470" s="44" t="str">
        <f aca="false">IF(AND(I470=1,J470=1),"两者都跟住",IF(AND(I470=0,J470=1),"仅 PC-TBD 跟住",IF(AND(I470=1,J470=0),"仅 VIT-LPS 跟住","都没跟住")))</f>
        <v>两者都跟住</v>
      </c>
      <c r="L470" s="45" t="n">
        <f aca="false">F470-G470</f>
        <v>0.000619532082998031</v>
      </c>
      <c r="M470" s="46" t="n">
        <v>0.1413614</v>
      </c>
      <c r="N470" s="46" t="n">
        <v>0.089901</v>
      </c>
      <c r="O470" s="46" t="n">
        <v>0.1226937</v>
      </c>
      <c r="P470" s="46" t="n">
        <v>0.520209</v>
      </c>
      <c r="Q470" s="46" t="n">
        <v>1.6770305</v>
      </c>
      <c r="R470" s="46" t="n">
        <v>1.5421875</v>
      </c>
      <c r="S470" s="47" t="n">
        <f aca="false">M470+N470+O470</f>
        <v>0.3539561</v>
      </c>
      <c r="T470" s="47" t="n">
        <f aca="false">M470+P470</f>
        <v>0.6615704</v>
      </c>
    </row>
    <row r="471" customFormat="false" ht="15" hidden="false" customHeight="false" outlineLevel="0" collapsed="false">
      <c r="A471" s="42" t="s">
        <v>44</v>
      </c>
      <c r="B471" s="42" t="n">
        <v>-12</v>
      </c>
      <c r="C471" s="42" t="n">
        <v>70</v>
      </c>
      <c r="D471" s="42" t="n">
        <v>74270985</v>
      </c>
      <c r="E471" s="43" t="n">
        <v>0.915013256312464</v>
      </c>
      <c r="F471" s="43" t="n">
        <v>0.959903352912004</v>
      </c>
      <c r="G471" s="43" t="n">
        <v>0.954285244609608</v>
      </c>
      <c r="H471" s="43" t="n">
        <v>0.96061870356721</v>
      </c>
      <c r="I471" s="42" t="n">
        <v>1</v>
      </c>
      <c r="J471" s="42" t="n">
        <v>1</v>
      </c>
      <c r="K471" s="44" t="str">
        <f aca="false">IF(AND(I471=1,J471=1),"两者都跟住",IF(AND(I471=0,J471=1),"仅 PC-TBD 跟住",IF(AND(I471=1,J471=0),"仅 VIT-LPS 跟住","都没跟住")))</f>
        <v>两者都跟住</v>
      </c>
      <c r="L471" s="45" t="n">
        <f aca="false">F471-G471</f>
        <v>0.00561810830239606</v>
      </c>
      <c r="M471" s="46" t="n">
        <v>0.1555876</v>
      </c>
      <c r="N471" s="46" t="n">
        <v>0.0870908</v>
      </c>
      <c r="O471" s="46" t="n">
        <v>0.1663874</v>
      </c>
      <c r="P471" s="46" t="n">
        <v>0.3939882</v>
      </c>
      <c r="Q471" s="46" t="n">
        <v>1.241386</v>
      </c>
      <c r="R471" s="46" t="n">
        <v>1.1660821</v>
      </c>
      <c r="S471" s="47" t="n">
        <f aca="false">M471+N471+O471</f>
        <v>0.4090658</v>
      </c>
      <c r="T471" s="47" t="n">
        <f aca="false">M471+P471</f>
        <v>0.5495758</v>
      </c>
    </row>
    <row r="472" customFormat="false" ht="15" hidden="false" customHeight="false" outlineLevel="0" collapsed="false">
      <c r="A472" s="42" t="s">
        <v>44</v>
      </c>
      <c r="B472" s="42" t="n">
        <v>-12</v>
      </c>
      <c r="C472" s="42" t="n">
        <v>71</v>
      </c>
      <c r="D472" s="42" t="n">
        <v>74270986</v>
      </c>
      <c r="E472" s="43" t="n">
        <v>0.932075637781739</v>
      </c>
      <c r="F472" s="43" t="n">
        <v>0.975139985916098</v>
      </c>
      <c r="G472" s="43" t="n">
        <v>0.962566451481778</v>
      </c>
      <c r="H472" s="43" t="n">
        <v>0.972250059961514</v>
      </c>
      <c r="I472" s="42" t="n">
        <v>1</v>
      </c>
      <c r="J472" s="42" t="n">
        <v>1</v>
      </c>
      <c r="K472" s="44" t="str">
        <f aca="false">IF(AND(I472=1,J472=1),"两者都跟住",IF(AND(I472=0,J472=1),"仅 PC-TBD 跟住",IF(AND(I472=1,J472=0),"仅 VIT-LPS 跟住","都没跟住")))</f>
        <v>两者都跟住</v>
      </c>
      <c r="L472" s="45" t="n">
        <f aca="false">F472-G472</f>
        <v>0.01257353443432</v>
      </c>
      <c r="M472" s="46" t="n">
        <v>0.3256132</v>
      </c>
      <c r="N472" s="46" t="n">
        <v>0.1381658</v>
      </c>
      <c r="O472" s="46" t="n">
        <v>0.1834133</v>
      </c>
      <c r="P472" s="46" t="n">
        <v>0.5515626</v>
      </c>
      <c r="Q472" s="46" t="n">
        <v>2.4532808</v>
      </c>
      <c r="R472" s="46" t="n">
        <v>2.3670293</v>
      </c>
      <c r="S472" s="47" t="n">
        <f aca="false">M472+N472+O472</f>
        <v>0.6471923</v>
      </c>
      <c r="T472" s="47" t="n">
        <f aca="false">M472+P472</f>
        <v>0.8771758</v>
      </c>
    </row>
    <row r="473" customFormat="false" ht="15" hidden="false" customHeight="false" outlineLevel="0" collapsed="false">
      <c r="A473" s="42" t="s">
        <v>44</v>
      </c>
      <c r="B473" s="42" t="n">
        <v>-12</v>
      </c>
      <c r="C473" s="42" t="n">
        <v>72</v>
      </c>
      <c r="D473" s="42" t="n">
        <v>74270987</v>
      </c>
      <c r="E473" s="43" t="n">
        <v>0.936675069283417</v>
      </c>
      <c r="F473" s="43" t="n">
        <v>0.971525786938432</v>
      </c>
      <c r="G473" s="43" t="n">
        <v>0.954775370015393</v>
      </c>
      <c r="H473" s="43" t="n">
        <v>0.967980463316605</v>
      </c>
      <c r="I473" s="42" t="n">
        <v>1</v>
      </c>
      <c r="J473" s="42" t="n">
        <v>1</v>
      </c>
      <c r="K473" s="44" t="str">
        <f aca="false">IF(AND(I473=1,J473=1),"两者都跟住",IF(AND(I473=0,J473=1),"仅 PC-TBD 跟住",IF(AND(I473=1,J473=0),"仅 VIT-LPS 跟住","都没跟住")))</f>
        <v>两者都跟住</v>
      </c>
      <c r="L473" s="45" t="n">
        <f aca="false">F473-G473</f>
        <v>0.0167504169230389</v>
      </c>
      <c r="M473" s="46" t="n">
        <v>0.2907746</v>
      </c>
      <c r="N473" s="46" t="n">
        <v>0.1486923</v>
      </c>
      <c r="O473" s="46" t="n">
        <v>0.206462</v>
      </c>
      <c r="P473" s="46" t="n">
        <v>0.5216521</v>
      </c>
      <c r="Q473" s="46" t="n">
        <v>2.0540938</v>
      </c>
      <c r="R473" s="46" t="n">
        <v>2.2108909</v>
      </c>
      <c r="S473" s="47" t="n">
        <f aca="false">M473+N473+O473</f>
        <v>0.6459289</v>
      </c>
      <c r="T473" s="47" t="n">
        <f aca="false">M473+P473</f>
        <v>0.8124267</v>
      </c>
    </row>
    <row r="474" customFormat="false" ht="15" hidden="false" customHeight="false" outlineLevel="0" collapsed="false">
      <c r="A474" s="42" t="s">
        <v>44</v>
      </c>
      <c r="B474" s="42" t="n">
        <v>-12</v>
      </c>
      <c r="C474" s="42" t="n">
        <v>73</v>
      </c>
      <c r="D474" s="42" t="n">
        <v>74270988</v>
      </c>
      <c r="E474" s="43" t="n">
        <v>0.96593530635707</v>
      </c>
      <c r="F474" s="43" t="n">
        <v>0.967499757555804</v>
      </c>
      <c r="G474" s="43" t="n">
        <v>0.962013918495351</v>
      </c>
      <c r="H474" s="43" t="n">
        <v>0.963719484946849</v>
      </c>
      <c r="I474" s="42" t="n">
        <v>1</v>
      </c>
      <c r="J474" s="42" t="n">
        <v>1</v>
      </c>
      <c r="K474" s="44" t="str">
        <f aca="false">IF(AND(I474=1,J474=1),"两者都跟住",IF(AND(I474=0,J474=1),"仅 PC-TBD 跟住",IF(AND(I474=1,J474=0),"仅 VIT-LPS 跟住","都没跟住")))</f>
        <v>两者都跟住</v>
      </c>
      <c r="L474" s="45" t="n">
        <f aca="false">F474-G474</f>
        <v>0.00548583906045297</v>
      </c>
      <c r="M474" s="46" t="n">
        <v>0.2653382</v>
      </c>
      <c r="N474" s="46" t="n">
        <v>0.1462621</v>
      </c>
      <c r="O474" s="46" t="n">
        <v>0.1877026</v>
      </c>
      <c r="P474" s="46" t="n">
        <v>0.58645</v>
      </c>
      <c r="Q474" s="46" t="n">
        <v>2.5822014</v>
      </c>
      <c r="R474" s="46" t="n">
        <v>3.0993426</v>
      </c>
      <c r="S474" s="47" t="n">
        <f aca="false">M474+N474+O474</f>
        <v>0.5993029</v>
      </c>
      <c r="T474" s="47" t="n">
        <f aca="false">M474+P474</f>
        <v>0.8517882</v>
      </c>
    </row>
    <row r="475" customFormat="false" ht="15" hidden="false" customHeight="false" outlineLevel="0" collapsed="false">
      <c r="A475" s="42" t="s">
        <v>44</v>
      </c>
      <c r="B475" s="42" t="n">
        <v>-12</v>
      </c>
      <c r="C475" s="42" t="n">
        <v>74</v>
      </c>
      <c r="D475" s="42" t="n">
        <v>74270989</v>
      </c>
      <c r="E475" s="43" t="n">
        <v>0.962982470748986</v>
      </c>
      <c r="F475" s="43" t="n">
        <v>0.980182632728318</v>
      </c>
      <c r="G475" s="43" t="n">
        <v>0.961518267426635</v>
      </c>
      <c r="H475" s="43" t="n">
        <v>0.97919999539541</v>
      </c>
      <c r="I475" s="42" t="n">
        <v>1</v>
      </c>
      <c r="J475" s="42" t="n">
        <v>1</v>
      </c>
      <c r="K475" s="44" t="str">
        <f aca="false">IF(AND(I475=1,J475=1),"两者都跟住",IF(AND(I475=0,J475=1),"仅 PC-TBD 跟住",IF(AND(I475=1,J475=0),"仅 VIT-LPS 跟住","都没跟住")))</f>
        <v>两者都跟住</v>
      </c>
      <c r="L475" s="45" t="n">
        <f aca="false">F475-G475</f>
        <v>0.0186643653016829</v>
      </c>
      <c r="M475" s="46" t="n">
        <v>0.309625</v>
      </c>
      <c r="N475" s="46" t="n">
        <v>0.1260253</v>
      </c>
      <c r="O475" s="46" t="n">
        <v>0.208202</v>
      </c>
      <c r="P475" s="46" t="n">
        <v>0.5565886</v>
      </c>
      <c r="Q475" s="46" t="n">
        <v>2.1703398</v>
      </c>
      <c r="R475" s="46" t="n">
        <v>1.4737714</v>
      </c>
      <c r="S475" s="47" t="n">
        <f aca="false">M475+N475+O475</f>
        <v>0.6438523</v>
      </c>
      <c r="T475" s="47" t="n">
        <f aca="false">M475+P475</f>
        <v>0.8662136</v>
      </c>
    </row>
    <row r="476" customFormat="false" ht="15" hidden="false" customHeight="false" outlineLevel="0" collapsed="false">
      <c r="A476" s="42" t="s">
        <v>44</v>
      </c>
      <c r="B476" s="42" t="n">
        <v>-12</v>
      </c>
      <c r="C476" s="42" t="n">
        <v>75</v>
      </c>
      <c r="D476" s="42" t="n">
        <v>74270990</v>
      </c>
      <c r="E476" s="43" t="n">
        <v>0.944902454158797</v>
      </c>
      <c r="F476" s="43" t="n">
        <v>0.976161157219326</v>
      </c>
      <c r="G476" s="43" t="n">
        <v>0.973923726349643</v>
      </c>
      <c r="H476" s="43" t="n">
        <v>0.976085896374981</v>
      </c>
      <c r="I476" s="42" t="n">
        <v>1</v>
      </c>
      <c r="J476" s="42" t="n">
        <v>1</v>
      </c>
      <c r="K476" s="44" t="str">
        <f aca="false">IF(AND(I476=1,J476=1),"两者都跟住",IF(AND(I476=0,J476=1),"仅 PC-TBD 跟住",IF(AND(I476=1,J476=0),"仅 VIT-LPS 跟住","都没跟住")))</f>
        <v>两者都跟住</v>
      </c>
      <c r="L476" s="45" t="n">
        <f aca="false">F476-G476</f>
        <v>0.00223743086968298</v>
      </c>
      <c r="M476" s="46" t="n">
        <v>0.2868084</v>
      </c>
      <c r="N476" s="46" t="n">
        <v>0.1165494</v>
      </c>
      <c r="O476" s="46" t="n">
        <v>0.2330059</v>
      </c>
      <c r="P476" s="46" t="n">
        <v>0.59126</v>
      </c>
      <c r="Q476" s="46" t="n">
        <v>2.0414608</v>
      </c>
      <c r="R476" s="46" t="n">
        <v>2.1808588</v>
      </c>
      <c r="S476" s="47" t="n">
        <f aca="false">M476+N476+O476</f>
        <v>0.6363637</v>
      </c>
      <c r="T476" s="47" t="n">
        <f aca="false">M476+P476</f>
        <v>0.8780684</v>
      </c>
    </row>
    <row r="477" customFormat="false" ht="15" hidden="false" customHeight="false" outlineLevel="0" collapsed="false">
      <c r="A477" s="42" t="s">
        <v>44</v>
      </c>
      <c r="B477" s="42" t="n">
        <v>-12</v>
      </c>
      <c r="C477" s="42" t="n">
        <v>76</v>
      </c>
      <c r="D477" s="42" t="n">
        <v>74270991</v>
      </c>
      <c r="E477" s="43" t="n">
        <v>0.954470963883124</v>
      </c>
      <c r="F477" s="43" t="n">
        <v>0.972705833175446</v>
      </c>
      <c r="G477" s="43" t="n">
        <v>0.955248412903336</v>
      </c>
      <c r="H477" s="43" t="n">
        <v>0.969412037964647</v>
      </c>
      <c r="I477" s="42" t="n">
        <v>1</v>
      </c>
      <c r="J477" s="42" t="n">
        <v>1</v>
      </c>
      <c r="K477" s="44" t="str">
        <f aca="false">IF(AND(I477=1,J477=1),"两者都跟住",IF(AND(I477=0,J477=1),"仅 PC-TBD 跟住",IF(AND(I477=1,J477=0),"仅 VIT-LPS 跟住","都没跟住")))</f>
        <v>两者都跟住</v>
      </c>
      <c r="L477" s="45" t="n">
        <f aca="false">F477-G477</f>
        <v>0.0174574202721101</v>
      </c>
      <c r="M477" s="46" t="n">
        <v>0.3037983</v>
      </c>
      <c r="N477" s="46" t="n">
        <v>0.1360979</v>
      </c>
      <c r="O477" s="46" t="n">
        <v>0.1919613</v>
      </c>
      <c r="P477" s="46" t="n">
        <v>0.6184734</v>
      </c>
      <c r="Q477" s="46" t="n">
        <v>2.5641094</v>
      </c>
      <c r="R477" s="46" t="n">
        <v>3.4702603</v>
      </c>
      <c r="S477" s="47" t="n">
        <f aca="false">M477+N477+O477</f>
        <v>0.6318575</v>
      </c>
      <c r="T477" s="47" t="n">
        <f aca="false">M477+P477</f>
        <v>0.9222717</v>
      </c>
    </row>
    <row r="478" customFormat="false" ht="15" hidden="false" customHeight="false" outlineLevel="0" collapsed="false">
      <c r="A478" s="42" t="s">
        <v>44</v>
      </c>
      <c r="B478" s="42" t="n">
        <v>-12</v>
      </c>
      <c r="C478" s="42" t="n">
        <v>77</v>
      </c>
      <c r="D478" s="42" t="n">
        <v>74270992</v>
      </c>
      <c r="E478" s="43" t="n">
        <v>0.881604233329691</v>
      </c>
      <c r="F478" s="43" t="n">
        <v>0.978254425287013</v>
      </c>
      <c r="G478" s="43" t="n">
        <v>0.969699491106394</v>
      </c>
      <c r="H478" s="43" t="n">
        <v>0.97647757865562</v>
      </c>
      <c r="I478" s="42" t="n">
        <v>1</v>
      </c>
      <c r="J478" s="42" t="n">
        <v>1</v>
      </c>
      <c r="K478" s="44" t="str">
        <f aca="false">IF(AND(I478=1,J478=1),"两者都跟住",IF(AND(I478=0,J478=1),"仅 PC-TBD 跟住",IF(AND(I478=1,J478=0),"仅 VIT-LPS 跟住","都没跟住")))</f>
        <v>两者都跟住</v>
      </c>
      <c r="L478" s="45" t="n">
        <f aca="false">F478-G478</f>
        <v>0.00855493418061903</v>
      </c>
      <c r="M478" s="46" t="n">
        <v>0.1924083</v>
      </c>
      <c r="N478" s="46" t="n">
        <v>0.0933242</v>
      </c>
      <c r="O478" s="46" t="n">
        <v>0.136742</v>
      </c>
      <c r="P478" s="46" t="n">
        <v>0.5352033</v>
      </c>
      <c r="Q478" s="46" t="n">
        <v>1.5860315</v>
      </c>
      <c r="R478" s="46" t="n">
        <v>1.2171482</v>
      </c>
      <c r="S478" s="47" t="n">
        <f aca="false">M478+N478+O478</f>
        <v>0.4224745</v>
      </c>
      <c r="T478" s="47" t="n">
        <f aca="false">M478+P478</f>
        <v>0.7276116</v>
      </c>
    </row>
    <row r="479" customFormat="false" ht="15" hidden="false" customHeight="false" outlineLevel="0" collapsed="false">
      <c r="A479" s="42" t="s">
        <v>44</v>
      </c>
      <c r="B479" s="42" t="n">
        <v>-12</v>
      </c>
      <c r="C479" s="42" t="n">
        <v>78</v>
      </c>
      <c r="D479" s="42" t="n">
        <v>74270993</v>
      </c>
      <c r="E479" s="43" t="n">
        <v>0.955452063382849</v>
      </c>
      <c r="F479" s="43" t="n">
        <v>0.957511890582081</v>
      </c>
      <c r="G479" s="43" t="n">
        <v>0.954668455852776</v>
      </c>
      <c r="H479" s="43" t="n">
        <v>0.957001416262549</v>
      </c>
      <c r="I479" s="42" t="n">
        <v>1</v>
      </c>
      <c r="J479" s="42" t="n">
        <v>1</v>
      </c>
      <c r="K479" s="44" t="str">
        <f aca="false">IF(AND(I479=1,J479=1),"两者都跟住",IF(AND(I479=0,J479=1),"仅 PC-TBD 跟住",IF(AND(I479=1,J479=0),"仅 VIT-LPS 跟住","都没跟住")))</f>
        <v>两者都跟住</v>
      </c>
      <c r="L479" s="45" t="n">
        <f aca="false">F479-G479</f>
        <v>0.00284343472930493</v>
      </c>
      <c r="M479" s="46" t="n">
        <v>0.1607902</v>
      </c>
      <c r="N479" s="46" t="n">
        <v>0.1074431</v>
      </c>
      <c r="O479" s="46" t="n">
        <v>0.1197275</v>
      </c>
      <c r="P479" s="46" t="n">
        <v>0.4486768</v>
      </c>
      <c r="Q479" s="46" t="n">
        <v>1.6374306</v>
      </c>
      <c r="R479" s="46" t="n">
        <v>1.515905</v>
      </c>
      <c r="S479" s="47" t="n">
        <f aca="false">M479+N479+O479</f>
        <v>0.3879608</v>
      </c>
      <c r="T479" s="47" t="n">
        <f aca="false">M479+P479</f>
        <v>0.609467</v>
      </c>
    </row>
    <row r="480" customFormat="false" ht="15" hidden="false" customHeight="false" outlineLevel="0" collapsed="false">
      <c r="A480" s="42" t="s">
        <v>44</v>
      </c>
      <c r="B480" s="42" t="n">
        <v>-12</v>
      </c>
      <c r="C480" s="42" t="n">
        <v>79</v>
      </c>
      <c r="D480" s="42" t="n">
        <v>74270994</v>
      </c>
      <c r="E480" s="43" t="n">
        <v>0.969281883552985</v>
      </c>
      <c r="F480" s="43" t="n">
        <v>0.979482640366134</v>
      </c>
      <c r="G480" s="43" t="n">
        <v>0.972513178250964</v>
      </c>
      <c r="H480" s="43" t="n">
        <v>0.975455955655618</v>
      </c>
      <c r="I480" s="42" t="n">
        <v>1</v>
      </c>
      <c r="J480" s="42" t="n">
        <v>1</v>
      </c>
      <c r="K480" s="44" t="str">
        <f aca="false">IF(AND(I480=1,J480=1),"两者都跟住",IF(AND(I480=0,J480=1),"仅 PC-TBD 跟住",IF(AND(I480=1,J480=0),"仅 VIT-LPS 跟住","都没跟住")))</f>
        <v>两者都跟住</v>
      </c>
      <c r="L480" s="45" t="n">
        <f aca="false">F480-G480</f>
        <v>0.00696946211517002</v>
      </c>
      <c r="M480" s="46" t="n">
        <v>0.2105113</v>
      </c>
      <c r="N480" s="46" t="n">
        <v>0.1145826</v>
      </c>
      <c r="O480" s="46" t="n">
        <v>0.2821998</v>
      </c>
      <c r="P480" s="46" t="n">
        <v>0.5818593</v>
      </c>
      <c r="Q480" s="46" t="n">
        <v>1.2869846</v>
      </c>
      <c r="R480" s="46" t="n">
        <v>1.4123217</v>
      </c>
      <c r="S480" s="47" t="n">
        <f aca="false">M480+N480+O480</f>
        <v>0.6072937</v>
      </c>
      <c r="T480" s="47" t="n">
        <f aca="false">M480+P480</f>
        <v>0.7923706</v>
      </c>
    </row>
    <row r="481" customFormat="false" ht="15" hidden="false" customHeight="false" outlineLevel="0" collapsed="false">
      <c r="A481" s="42" t="s">
        <v>44</v>
      </c>
      <c r="B481" s="42" t="n">
        <v>-12</v>
      </c>
      <c r="C481" s="42" t="n">
        <v>80</v>
      </c>
      <c r="D481" s="42" t="n">
        <v>74270995</v>
      </c>
      <c r="E481" s="43" t="n">
        <v>0.962551709133039</v>
      </c>
      <c r="F481" s="43" t="n">
        <v>0.968857956289619</v>
      </c>
      <c r="G481" s="43" t="n">
        <v>0.94651447078975</v>
      </c>
      <c r="H481" s="43" t="n">
        <v>0.964642106253768</v>
      </c>
      <c r="I481" s="42" t="n">
        <v>1</v>
      </c>
      <c r="J481" s="42" t="n">
        <v>1</v>
      </c>
      <c r="K481" s="44" t="str">
        <f aca="false">IF(AND(I481=1,J481=1),"两者都跟住",IF(AND(I481=0,J481=1),"仅 PC-TBD 跟住",IF(AND(I481=1,J481=0),"仅 VIT-LPS 跟住","都没跟住")))</f>
        <v>两者都跟住</v>
      </c>
      <c r="L481" s="45" t="n">
        <f aca="false">F481-G481</f>
        <v>0.022343485499869</v>
      </c>
      <c r="M481" s="46" t="n">
        <v>0.2136491</v>
      </c>
      <c r="N481" s="46" t="n">
        <v>0.1114657</v>
      </c>
      <c r="O481" s="46" t="n">
        <v>0.23923</v>
      </c>
      <c r="P481" s="46" t="n">
        <v>0.4778887</v>
      </c>
      <c r="Q481" s="46" t="n">
        <v>1.662915</v>
      </c>
      <c r="R481" s="46" t="n">
        <v>1.5803521</v>
      </c>
      <c r="S481" s="47" t="n">
        <f aca="false">M481+N481+O481</f>
        <v>0.5643448</v>
      </c>
      <c r="T481" s="47" t="n">
        <f aca="false">M481+P481</f>
        <v>0.6915378</v>
      </c>
    </row>
    <row r="482" customFormat="false" ht="15" hidden="false" customHeight="false" outlineLevel="0" collapsed="false">
      <c r="A482" s="42" t="s">
        <v>44</v>
      </c>
      <c r="B482" s="42" t="n">
        <v>-12</v>
      </c>
      <c r="C482" s="42" t="n">
        <v>81</v>
      </c>
      <c r="D482" s="42" t="n">
        <v>74270996</v>
      </c>
      <c r="E482" s="43" t="n">
        <v>0.954460860065798</v>
      </c>
      <c r="F482" s="43" t="n">
        <v>0.976934871885525</v>
      </c>
      <c r="G482" s="43" t="n">
        <v>0.977221638957867</v>
      </c>
      <c r="H482" s="43" t="n">
        <v>0.976943926804579</v>
      </c>
      <c r="I482" s="42" t="n">
        <v>1</v>
      </c>
      <c r="J482" s="42" t="n">
        <v>1</v>
      </c>
      <c r="K482" s="44" t="str">
        <f aca="false">IF(AND(I482=1,J482=1),"两者都跟住",IF(AND(I482=0,J482=1),"仅 PC-TBD 跟住",IF(AND(I482=1,J482=0),"仅 VIT-LPS 跟住","都没跟住")))</f>
        <v>两者都跟住</v>
      </c>
      <c r="L482" s="45" t="n">
        <f aca="false">F482-G482</f>
        <v>-0.000286767072341987</v>
      </c>
      <c r="M482" s="46" t="n">
        <v>0.287255</v>
      </c>
      <c r="N482" s="46" t="n">
        <v>0.1368021</v>
      </c>
      <c r="O482" s="46" t="n">
        <v>0.213244</v>
      </c>
      <c r="P482" s="46" t="n">
        <v>0.509206</v>
      </c>
      <c r="Q482" s="46" t="n">
        <v>2.1976621</v>
      </c>
      <c r="R482" s="46" t="n">
        <v>1.9617086</v>
      </c>
      <c r="S482" s="47" t="n">
        <f aca="false">M482+N482+O482</f>
        <v>0.6373011</v>
      </c>
      <c r="T482" s="47" t="n">
        <f aca="false">M482+P482</f>
        <v>0.796461</v>
      </c>
    </row>
    <row r="483" customFormat="false" ht="15" hidden="false" customHeight="false" outlineLevel="0" collapsed="false">
      <c r="A483" s="42" t="s">
        <v>44</v>
      </c>
      <c r="B483" s="42" t="n">
        <v>-12</v>
      </c>
      <c r="C483" s="42" t="n">
        <v>82</v>
      </c>
      <c r="D483" s="42" t="n">
        <v>74270997</v>
      </c>
      <c r="E483" s="43" t="n">
        <v>0.927377935747504</v>
      </c>
      <c r="F483" s="43" t="n">
        <v>0.97423096283572</v>
      </c>
      <c r="G483" s="43" t="n">
        <v>0.976304892716831</v>
      </c>
      <c r="H483" s="43" t="n">
        <v>0.973467553198743</v>
      </c>
      <c r="I483" s="42" t="n">
        <v>1</v>
      </c>
      <c r="J483" s="42" t="n">
        <v>1</v>
      </c>
      <c r="K483" s="44" t="str">
        <f aca="false">IF(AND(I483=1,J483=1),"两者都跟住",IF(AND(I483=0,J483=1),"仅 PC-TBD 跟住",IF(AND(I483=1,J483=0),"仅 VIT-LPS 跟住","都没跟住")))</f>
        <v>两者都跟住</v>
      </c>
      <c r="L483" s="45" t="n">
        <f aca="false">F483-G483</f>
        <v>-0.00207392988111099</v>
      </c>
      <c r="M483" s="46" t="n">
        <v>0.2789621</v>
      </c>
      <c r="N483" s="46" t="n">
        <v>0.1089923</v>
      </c>
      <c r="O483" s="46" t="n">
        <v>0.1937587</v>
      </c>
      <c r="P483" s="46" t="n">
        <v>0.4974809</v>
      </c>
      <c r="Q483" s="46" t="n">
        <v>2.2457487</v>
      </c>
      <c r="R483" s="46" t="n">
        <v>1.8861003</v>
      </c>
      <c r="S483" s="47" t="n">
        <f aca="false">M483+N483+O483</f>
        <v>0.5817131</v>
      </c>
      <c r="T483" s="47" t="n">
        <f aca="false">M483+P483</f>
        <v>0.776443</v>
      </c>
    </row>
    <row r="484" customFormat="false" ht="15" hidden="false" customHeight="false" outlineLevel="0" collapsed="false">
      <c r="A484" s="42" t="s">
        <v>44</v>
      </c>
      <c r="B484" s="42" t="n">
        <v>-12</v>
      </c>
      <c r="C484" s="42" t="n">
        <v>83</v>
      </c>
      <c r="D484" s="42" t="n">
        <v>74270998</v>
      </c>
      <c r="E484" s="43" t="n">
        <v>0.977119269071474</v>
      </c>
      <c r="F484" s="43" t="n">
        <v>0.975782606688019</v>
      </c>
      <c r="G484" s="43" t="n">
        <v>0.975112241157845</v>
      </c>
      <c r="H484" s="43" t="n">
        <v>0.978432181127042</v>
      </c>
      <c r="I484" s="42" t="n">
        <v>1</v>
      </c>
      <c r="J484" s="42" t="n">
        <v>1</v>
      </c>
      <c r="K484" s="44" t="str">
        <f aca="false">IF(AND(I484=1,J484=1),"两者都跟住",IF(AND(I484=0,J484=1),"仅 PC-TBD 跟住",IF(AND(I484=1,J484=0),"仅 VIT-LPS 跟住","都没跟住")))</f>
        <v>两者都跟住</v>
      </c>
      <c r="L484" s="45" t="n">
        <f aca="false">F484-G484</f>
        <v>0.000670365530173966</v>
      </c>
      <c r="M484" s="46" t="n">
        <v>0.2625547</v>
      </c>
      <c r="N484" s="46" t="n">
        <v>0.1417483</v>
      </c>
      <c r="O484" s="46" t="n">
        <v>0.189598</v>
      </c>
      <c r="P484" s="46" t="n">
        <v>0.527521</v>
      </c>
      <c r="Q484" s="46" t="n">
        <v>2.462472</v>
      </c>
      <c r="R484" s="46" t="n">
        <v>2.5826591</v>
      </c>
      <c r="S484" s="47" t="n">
        <f aca="false">M484+N484+O484</f>
        <v>0.593901</v>
      </c>
      <c r="T484" s="47" t="n">
        <f aca="false">M484+P484</f>
        <v>0.7900757</v>
      </c>
    </row>
    <row r="485" customFormat="false" ht="15" hidden="false" customHeight="false" outlineLevel="0" collapsed="false">
      <c r="A485" s="42" t="s">
        <v>44</v>
      </c>
      <c r="B485" s="42" t="n">
        <v>-12</v>
      </c>
      <c r="C485" s="42" t="n">
        <v>84</v>
      </c>
      <c r="D485" s="42" t="n">
        <v>74270999</v>
      </c>
      <c r="E485" s="43" t="n">
        <v>0.964868509726686</v>
      </c>
      <c r="F485" s="43" t="n">
        <v>0.981162487038051</v>
      </c>
      <c r="G485" s="43" t="n">
        <v>0.97671789298955</v>
      </c>
      <c r="H485" s="43" t="n">
        <v>0.97920339640036</v>
      </c>
      <c r="I485" s="42" t="n">
        <v>1</v>
      </c>
      <c r="J485" s="42" t="n">
        <v>1</v>
      </c>
      <c r="K485" s="44" t="str">
        <f aca="false">IF(AND(I485=1,J485=1),"两者都跟住",IF(AND(I485=0,J485=1),"仅 PC-TBD 跟住",IF(AND(I485=1,J485=0),"仅 VIT-LPS 跟住","都没跟住")))</f>
        <v>两者都跟住</v>
      </c>
      <c r="L485" s="45" t="n">
        <f aca="false">F485-G485</f>
        <v>0.00444459404850095</v>
      </c>
      <c r="M485" s="46" t="n">
        <v>0.2495901</v>
      </c>
      <c r="N485" s="46" t="n">
        <v>0.1444781</v>
      </c>
      <c r="O485" s="46" t="n">
        <v>0.1932848</v>
      </c>
      <c r="P485" s="46" t="n">
        <v>0.577657</v>
      </c>
      <c r="Q485" s="46" t="n">
        <v>2.2248132</v>
      </c>
      <c r="R485" s="46" t="n">
        <v>2.2733914</v>
      </c>
      <c r="S485" s="47" t="n">
        <f aca="false">M485+N485+O485</f>
        <v>0.587353</v>
      </c>
      <c r="T485" s="47" t="n">
        <f aca="false">M485+P485</f>
        <v>0.8272471</v>
      </c>
    </row>
    <row r="486" customFormat="false" ht="15" hidden="false" customHeight="false" outlineLevel="0" collapsed="false">
      <c r="A486" s="42" t="s">
        <v>44</v>
      </c>
      <c r="B486" s="42" t="n">
        <v>-12</v>
      </c>
      <c r="C486" s="42" t="n">
        <v>85</v>
      </c>
      <c r="D486" s="42" t="n">
        <v>74271000</v>
      </c>
      <c r="E486" s="43" t="n">
        <v>0.964542545844271</v>
      </c>
      <c r="F486" s="43" t="n">
        <v>0.979787248493095</v>
      </c>
      <c r="G486" s="43" t="n">
        <v>0.983626652892651</v>
      </c>
      <c r="H486" s="43" t="n">
        <v>0.980847703683639</v>
      </c>
      <c r="I486" s="42" t="n">
        <v>1</v>
      </c>
      <c r="J486" s="42" t="n">
        <v>1</v>
      </c>
      <c r="K486" s="44" t="str">
        <f aca="false">IF(AND(I486=1,J486=1),"两者都跟住",IF(AND(I486=0,J486=1),"仅 PC-TBD 跟住",IF(AND(I486=1,J486=0),"仅 VIT-LPS 跟住","都没跟住")))</f>
        <v>两者都跟住</v>
      </c>
      <c r="L486" s="45" t="n">
        <f aca="false">F486-G486</f>
        <v>-0.0038394043995561</v>
      </c>
      <c r="M486" s="46" t="n">
        <v>0.2653399</v>
      </c>
      <c r="N486" s="46" t="n">
        <v>0.1232724</v>
      </c>
      <c r="O486" s="46" t="n">
        <v>0.2035083</v>
      </c>
      <c r="P486" s="46" t="n">
        <v>0.5590096</v>
      </c>
      <c r="Q486" s="46" t="n">
        <v>1.9941489</v>
      </c>
      <c r="R486" s="46" t="n">
        <v>2.10742</v>
      </c>
      <c r="S486" s="47" t="n">
        <f aca="false">M486+N486+O486</f>
        <v>0.5921206</v>
      </c>
      <c r="T486" s="47" t="n">
        <f aca="false">M486+P486</f>
        <v>0.8243495</v>
      </c>
    </row>
    <row r="487" customFormat="false" ht="15" hidden="false" customHeight="false" outlineLevel="0" collapsed="false">
      <c r="A487" s="42" t="s">
        <v>44</v>
      </c>
      <c r="B487" s="42" t="n">
        <v>-12</v>
      </c>
      <c r="C487" s="42" t="n">
        <v>86</v>
      </c>
      <c r="D487" s="42" t="n">
        <v>74271001</v>
      </c>
      <c r="E487" s="43" t="n">
        <v>0.97145883033984</v>
      </c>
      <c r="F487" s="43" t="n">
        <v>0.967914527802968</v>
      </c>
      <c r="G487" s="43" t="n">
        <v>0.979675776840486</v>
      </c>
      <c r="H487" s="43" t="n">
        <v>0.968087871856429</v>
      </c>
      <c r="I487" s="42" t="n">
        <v>1</v>
      </c>
      <c r="J487" s="42" t="n">
        <v>1</v>
      </c>
      <c r="K487" s="44" t="str">
        <f aca="false">IF(AND(I487=1,J487=1),"两者都跟住",IF(AND(I487=0,J487=1),"仅 PC-TBD 跟住",IF(AND(I487=1,J487=0),"仅 VIT-LPS 跟住","都没跟住")))</f>
        <v>两者都跟住</v>
      </c>
      <c r="L487" s="45" t="n">
        <f aca="false">F487-G487</f>
        <v>-0.011761249037518</v>
      </c>
      <c r="M487" s="46" t="n">
        <v>0.2457425</v>
      </c>
      <c r="N487" s="46" t="n">
        <v>0.136405</v>
      </c>
      <c r="O487" s="46" t="n">
        <v>0.2025519</v>
      </c>
      <c r="P487" s="46" t="n">
        <v>0.5249978</v>
      </c>
      <c r="Q487" s="46" t="n">
        <v>1.8432146</v>
      </c>
      <c r="R487" s="46" t="n">
        <v>1.802259</v>
      </c>
      <c r="S487" s="47" t="n">
        <f aca="false">M487+N487+O487</f>
        <v>0.5846994</v>
      </c>
      <c r="T487" s="47" t="n">
        <f aca="false">M487+P487</f>
        <v>0.7707403</v>
      </c>
    </row>
    <row r="488" customFormat="false" ht="15" hidden="false" customHeight="false" outlineLevel="0" collapsed="false">
      <c r="A488" s="42" t="s">
        <v>44</v>
      </c>
      <c r="B488" s="42" t="n">
        <v>-12</v>
      </c>
      <c r="C488" s="42" t="n">
        <v>87</v>
      </c>
      <c r="D488" s="42" t="n">
        <v>74271002</v>
      </c>
      <c r="E488" s="43" t="n">
        <v>0.975220438992762</v>
      </c>
      <c r="F488" s="43" t="n">
        <v>0.978054526613956</v>
      </c>
      <c r="G488" s="43" t="n">
        <v>0.975032127931293</v>
      </c>
      <c r="H488" s="43" t="n">
        <v>0.976258492449242</v>
      </c>
      <c r="I488" s="42" t="n">
        <v>1</v>
      </c>
      <c r="J488" s="42" t="n">
        <v>1</v>
      </c>
      <c r="K488" s="44" t="str">
        <f aca="false">IF(AND(I488=1,J488=1),"两者都跟住",IF(AND(I488=0,J488=1),"仅 PC-TBD 跟住",IF(AND(I488=1,J488=0),"仅 VIT-LPS 跟住","都没跟住")))</f>
        <v>两者都跟住</v>
      </c>
      <c r="L488" s="45" t="n">
        <f aca="false">F488-G488</f>
        <v>0.00302239868266296</v>
      </c>
      <c r="M488" s="46" t="n">
        <v>0.1454322</v>
      </c>
      <c r="N488" s="46" t="n">
        <v>0.080419</v>
      </c>
      <c r="O488" s="46" t="n">
        <v>0.124587</v>
      </c>
      <c r="P488" s="46" t="n">
        <v>0.3700051</v>
      </c>
      <c r="Q488" s="46" t="n">
        <v>1.6564203</v>
      </c>
      <c r="R488" s="46" t="n">
        <v>1.2475458</v>
      </c>
      <c r="S488" s="47" t="n">
        <f aca="false">M488+N488+O488</f>
        <v>0.3504382</v>
      </c>
      <c r="T488" s="47" t="n">
        <f aca="false">M488+P488</f>
        <v>0.5154373</v>
      </c>
    </row>
    <row r="489" customFormat="false" ht="15" hidden="false" customHeight="false" outlineLevel="0" collapsed="false">
      <c r="A489" s="42" t="s">
        <v>44</v>
      </c>
      <c r="B489" s="42" t="n">
        <v>-12</v>
      </c>
      <c r="C489" s="42" t="n">
        <v>88</v>
      </c>
      <c r="D489" s="42" t="n">
        <v>74271003</v>
      </c>
      <c r="E489" s="43" t="n">
        <v>0.938547035437975</v>
      </c>
      <c r="F489" s="43" t="n">
        <v>0.972834110169175</v>
      </c>
      <c r="G489" s="43" t="n">
        <v>0.977818597035144</v>
      </c>
      <c r="H489" s="43" t="n">
        <v>0.970669884676307</v>
      </c>
      <c r="I489" s="42" t="n">
        <v>1</v>
      </c>
      <c r="J489" s="42" t="n">
        <v>1</v>
      </c>
      <c r="K489" s="44" t="str">
        <f aca="false">IF(AND(I489=1,J489=1),"两者都跟住",IF(AND(I489=0,J489=1),"仅 PC-TBD 跟住",IF(AND(I489=1,J489=0),"仅 VIT-LPS 跟住","都没跟住")))</f>
        <v>两者都跟住</v>
      </c>
      <c r="L489" s="45" t="n">
        <f aca="false">F489-G489</f>
        <v>-0.00498448686596897</v>
      </c>
      <c r="M489" s="46" t="n">
        <v>0.1296916</v>
      </c>
      <c r="N489" s="46" t="n">
        <v>0.1048831</v>
      </c>
      <c r="O489" s="46" t="n">
        <v>0.1273952</v>
      </c>
      <c r="P489" s="46" t="n">
        <v>0.4363972</v>
      </c>
      <c r="Q489" s="46" t="n">
        <v>1.7609405</v>
      </c>
      <c r="R489" s="46" t="n">
        <v>1.2861847</v>
      </c>
      <c r="S489" s="47" t="n">
        <f aca="false">M489+N489+O489</f>
        <v>0.3619699</v>
      </c>
      <c r="T489" s="47" t="n">
        <f aca="false">M489+P489</f>
        <v>0.5660888</v>
      </c>
    </row>
    <row r="490" customFormat="false" ht="15" hidden="false" customHeight="false" outlineLevel="0" collapsed="false">
      <c r="A490" s="42" t="s">
        <v>44</v>
      </c>
      <c r="B490" s="42" t="n">
        <v>-12</v>
      </c>
      <c r="C490" s="42" t="n">
        <v>89</v>
      </c>
      <c r="D490" s="42" t="n">
        <v>74271004</v>
      </c>
      <c r="E490" s="43" t="n">
        <v>0.730981583309755</v>
      </c>
      <c r="F490" s="43" t="n">
        <v>0.959062085686181</v>
      </c>
      <c r="G490" s="43" t="n">
        <v>0.868439723740674</v>
      </c>
      <c r="H490" s="43" t="n">
        <v>0.88729976893113</v>
      </c>
      <c r="I490" s="42" t="n">
        <v>1</v>
      </c>
      <c r="J490" s="42" t="n">
        <v>1</v>
      </c>
      <c r="K490" s="44" t="str">
        <f aca="false">IF(AND(I490=1,J490=1),"两者都跟住",IF(AND(I490=0,J490=1),"仅 PC-TBD 跟住",IF(AND(I490=1,J490=0),"仅 VIT-LPS 跟住","都没跟住")))</f>
        <v>两者都跟住</v>
      </c>
      <c r="L490" s="45" t="n">
        <f aca="false">F490-G490</f>
        <v>0.090622361945507</v>
      </c>
      <c r="M490" s="46" t="n">
        <v>0.1568218</v>
      </c>
      <c r="N490" s="46" t="n">
        <v>0.0747304</v>
      </c>
      <c r="O490" s="46" t="n">
        <v>0.1600566</v>
      </c>
      <c r="P490" s="46" t="n">
        <v>0.369348</v>
      </c>
      <c r="Q490" s="46" t="n">
        <v>1.4069407</v>
      </c>
      <c r="R490" s="46" t="n">
        <v>1.4877291</v>
      </c>
      <c r="S490" s="47" t="n">
        <f aca="false">M490+N490+O490</f>
        <v>0.3916088</v>
      </c>
      <c r="T490" s="47" t="n">
        <f aca="false">M490+P490</f>
        <v>0.5261698</v>
      </c>
    </row>
    <row r="491" customFormat="false" ht="15" hidden="false" customHeight="false" outlineLevel="0" collapsed="false">
      <c r="A491" s="42" t="s">
        <v>44</v>
      </c>
      <c r="B491" s="42" t="n">
        <v>-12</v>
      </c>
      <c r="C491" s="42" t="n">
        <v>90</v>
      </c>
      <c r="D491" s="42" t="n">
        <v>74271005</v>
      </c>
      <c r="E491" s="43" t="n">
        <v>0.975731973227668</v>
      </c>
      <c r="F491" s="43" t="n">
        <v>0.977450726197173</v>
      </c>
      <c r="G491" s="43" t="n">
        <v>0.970759262055438</v>
      </c>
      <c r="H491" s="43" t="n">
        <v>0.972597006679498</v>
      </c>
      <c r="I491" s="42" t="n">
        <v>1</v>
      </c>
      <c r="J491" s="42" t="n">
        <v>1</v>
      </c>
      <c r="K491" s="44" t="str">
        <f aca="false">IF(AND(I491=1,J491=1),"两者都跟住",IF(AND(I491=0,J491=1),"仅 PC-TBD 跟住",IF(AND(I491=1,J491=0),"仅 VIT-LPS 跟住","都没跟住")))</f>
        <v>两者都跟住</v>
      </c>
      <c r="L491" s="45" t="n">
        <f aca="false">F491-G491</f>
        <v>0.00669146414173494</v>
      </c>
      <c r="M491" s="46" t="n">
        <v>0.1521073</v>
      </c>
      <c r="N491" s="46" t="n">
        <v>0.0873703</v>
      </c>
      <c r="O491" s="46" t="n">
        <v>0.1309275</v>
      </c>
      <c r="P491" s="46" t="n">
        <v>0.4094783</v>
      </c>
      <c r="Q491" s="46" t="n">
        <v>1.4160885</v>
      </c>
      <c r="R491" s="46" t="n">
        <v>1.3191064</v>
      </c>
      <c r="S491" s="47" t="n">
        <f aca="false">M491+N491+O491</f>
        <v>0.3704051</v>
      </c>
      <c r="T491" s="47" t="n">
        <f aca="false">M491+P491</f>
        <v>0.5615856</v>
      </c>
    </row>
    <row r="492" customFormat="false" ht="15" hidden="false" customHeight="false" outlineLevel="0" collapsed="false">
      <c r="A492" s="42" t="s">
        <v>44</v>
      </c>
      <c r="B492" s="42" t="n">
        <v>-12</v>
      </c>
      <c r="C492" s="42" t="n">
        <v>91</v>
      </c>
      <c r="D492" s="42" t="n">
        <v>74271006</v>
      </c>
      <c r="E492" s="43" t="n">
        <v>0.918192692808796</v>
      </c>
      <c r="F492" s="43" t="n">
        <v>0.954093075336788</v>
      </c>
      <c r="G492" s="43" t="n">
        <v>0.94670563222135</v>
      </c>
      <c r="H492" s="43" t="n">
        <v>0.952461071127213</v>
      </c>
      <c r="I492" s="42" t="n">
        <v>1</v>
      </c>
      <c r="J492" s="42" t="n">
        <v>1</v>
      </c>
      <c r="K492" s="44" t="str">
        <f aca="false">IF(AND(I492=1,J492=1),"两者都跟住",IF(AND(I492=0,J492=1),"仅 PC-TBD 跟住",IF(AND(I492=1,J492=0),"仅 VIT-LPS 跟住","都没跟住")))</f>
        <v>两者都跟住</v>
      </c>
      <c r="L492" s="45" t="n">
        <f aca="false">F492-G492</f>
        <v>0.00738744311543804</v>
      </c>
      <c r="M492" s="46" t="n">
        <v>0.2551435</v>
      </c>
      <c r="N492" s="46" t="n">
        <v>0.1240787</v>
      </c>
      <c r="O492" s="46" t="n">
        <v>0.1796717</v>
      </c>
      <c r="P492" s="46" t="n">
        <v>0.5652027</v>
      </c>
      <c r="Q492" s="46" t="n">
        <v>2.3275486</v>
      </c>
      <c r="R492" s="46" t="n">
        <v>2.2846161</v>
      </c>
      <c r="S492" s="47" t="n">
        <f aca="false">M492+N492+O492</f>
        <v>0.5588939</v>
      </c>
      <c r="T492" s="47" t="n">
        <f aca="false">M492+P492</f>
        <v>0.8203462</v>
      </c>
    </row>
    <row r="493" customFormat="false" ht="15" hidden="false" customHeight="false" outlineLevel="0" collapsed="false">
      <c r="A493" s="42" t="s">
        <v>44</v>
      </c>
      <c r="B493" s="42" t="n">
        <v>-12</v>
      </c>
      <c r="C493" s="42" t="n">
        <v>92</v>
      </c>
      <c r="D493" s="42" t="n">
        <v>74271007</v>
      </c>
      <c r="E493" s="43" t="n">
        <v>0.950365153912032</v>
      </c>
      <c r="F493" s="43" t="n">
        <v>0.966089134602242</v>
      </c>
      <c r="G493" s="43" t="n">
        <v>0.968343393970758</v>
      </c>
      <c r="H493" s="43" t="n">
        <v>0.962302877210744</v>
      </c>
      <c r="I493" s="42" t="n">
        <v>1</v>
      </c>
      <c r="J493" s="42" t="n">
        <v>1</v>
      </c>
      <c r="K493" s="44" t="str">
        <f aca="false">IF(AND(I493=1,J493=1),"两者都跟住",IF(AND(I493=0,J493=1),"仅 PC-TBD 跟住",IF(AND(I493=1,J493=0),"仅 VIT-LPS 跟住","都没跟住")))</f>
        <v>两者都跟住</v>
      </c>
      <c r="L493" s="45" t="n">
        <f aca="false">F493-G493</f>
        <v>-0.00225425936851598</v>
      </c>
      <c r="M493" s="46" t="n">
        <v>0.2181116</v>
      </c>
      <c r="N493" s="46" t="n">
        <v>0.1437418</v>
      </c>
      <c r="O493" s="46" t="n">
        <v>0.1534886</v>
      </c>
      <c r="P493" s="46" t="n">
        <v>0.5260292</v>
      </c>
      <c r="Q493" s="46" t="n">
        <v>2.1944879</v>
      </c>
      <c r="R493" s="46" t="n">
        <v>2.0791436</v>
      </c>
      <c r="S493" s="47" t="n">
        <f aca="false">M493+N493+O493</f>
        <v>0.515342</v>
      </c>
      <c r="T493" s="47" t="n">
        <f aca="false">M493+P493</f>
        <v>0.7441408</v>
      </c>
    </row>
    <row r="494" customFormat="false" ht="15" hidden="false" customHeight="false" outlineLevel="0" collapsed="false">
      <c r="A494" s="42" t="s">
        <v>44</v>
      </c>
      <c r="B494" s="42" t="n">
        <v>-12</v>
      </c>
      <c r="C494" s="42" t="n">
        <v>93</v>
      </c>
      <c r="D494" s="42" t="n">
        <v>74271008</v>
      </c>
      <c r="E494" s="43" t="n">
        <v>0.946170026427972</v>
      </c>
      <c r="F494" s="43" t="n">
        <v>0.964568710716748</v>
      </c>
      <c r="G494" s="43" t="n">
        <v>0.967436399092652</v>
      </c>
      <c r="H494" s="43" t="n">
        <v>0.960702126734428</v>
      </c>
      <c r="I494" s="42" t="n">
        <v>1</v>
      </c>
      <c r="J494" s="42" t="n">
        <v>1</v>
      </c>
      <c r="K494" s="44" t="str">
        <f aca="false">IF(AND(I494=1,J494=1),"两者都跟住",IF(AND(I494=0,J494=1),"仅 PC-TBD 跟住",IF(AND(I494=1,J494=0),"仅 VIT-LPS 跟住","都没跟住")))</f>
        <v>两者都跟住</v>
      </c>
      <c r="L494" s="45" t="n">
        <f aca="false">F494-G494</f>
        <v>-0.00286768837590401</v>
      </c>
      <c r="M494" s="46" t="n">
        <v>0.2416351</v>
      </c>
      <c r="N494" s="46" t="n">
        <v>0.1492479</v>
      </c>
      <c r="O494" s="46" t="n">
        <v>0.2148935</v>
      </c>
      <c r="P494" s="46" t="n">
        <v>0.5723554</v>
      </c>
      <c r="Q494" s="46" t="n">
        <v>2.2393592</v>
      </c>
      <c r="R494" s="46" t="n">
        <v>1.5784103</v>
      </c>
      <c r="S494" s="47" t="n">
        <f aca="false">M494+N494+O494</f>
        <v>0.6057765</v>
      </c>
      <c r="T494" s="47" t="n">
        <f aca="false">M494+P494</f>
        <v>0.8139905</v>
      </c>
    </row>
    <row r="495" customFormat="false" ht="15" hidden="false" customHeight="false" outlineLevel="0" collapsed="false">
      <c r="A495" s="42" t="s">
        <v>44</v>
      </c>
      <c r="B495" s="42" t="n">
        <v>-12</v>
      </c>
      <c r="C495" s="42" t="n">
        <v>94</v>
      </c>
      <c r="D495" s="42" t="n">
        <v>74271009</v>
      </c>
      <c r="E495" s="43" t="n">
        <v>0.950327610575886</v>
      </c>
      <c r="F495" s="43" t="n">
        <v>0.959392286724181</v>
      </c>
      <c r="G495" s="43" t="n">
        <v>0.963944016664596</v>
      </c>
      <c r="H495" s="43" t="n">
        <v>0.961747133662706</v>
      </c>
      <c r="I495" s="42" t="n">
        <v>1</v>
      </c>
      <c r="J495" s="42" t="n">
        <v>1</v>
      </c>
      <c r="K495" s="44" t="str">
        <f aca="false">IF(AND(I495=1,J495=1),"两者都跟住",IF(AND(I495=0,J495=1),"仅 PC-TBD 跟住",IF(AND(I495=1,J495=0),"仅 VIT-LPS 跟住","都没跟住")))</f>
        <v>两者都跟住</v>
      </c>
      <c r="L495" s="45" t="n">
        <f aca="false">F495-G495</f>
        <v>-0.00455172994041497</v>
      </c>
      <c r="M495" s="46" t="n">
        <v>0.2224679</v>
      </c>
      <c r="N495" s="46" t="n">
        <v>0.1326925</v>
      </c>
      <c r="O495" s="46" t="n">
        <v>0.1841715</v>
      </c>
      <c r="P495" s="46" t="n">
        <v>0.548785</v>
      </c>
      <c r="Q495" s="46" t="n">
        <v>1.574704</v>
      </c>
      <c r="R495" s="46" t="n">
        <v>1.8088362</v>
      </c>
      <c r="S495" s="47" t="n">
        <f aca="false">M495+N495+O495</f>
        <v>0.5393319</v>
      </c>
      <c r="T495" s="47" t="n">
        <f aca="false">M495+P495</f>
        <v>0.7712529</v>
      </c>
    </row>
    <row r="496" customFormat="false" ht="15" hidden="false" customHeight="false" outlineLevel="0" collapsed="false">
      <c r="A496" s="42" t="s">
        <v>44</v>
      </c>
      <c r="B496" s="42" t="n">
        <v>-12</v>
      </c>
      <c r="C496" s="42" t="n">
        <v>95</v>
      </c>
      <c r="D496" s="42" t="n">
        <v>74271010</v>
      </c>
      <c r="E496" s="43" t="n">
        <v>0.945186704789921</v>
      </c>
      <c r="F496" s="43" t="n">
        <v>0.970001457212824</v>
      </c>
      <c r="G496" s="43" t="n">
        <v>0.957242997959078</v>
      </c>
      <c r="H496" s="43" t="n">
        <v>0.962308886163782</v>
      </c>
      <c r="I496" s="42" t="n">
        <v>1</v>
      </c>
      <c r="J496" s="42" t="n">
        <v>1</v>
      </c>
      <c r="K496" s="44" t="str">
        <f aca="false">IF(AND(I496=1,J496=1),"两者都跟住",IF(AND(I496=0,J496=1),"仅 PC-TBD 跟住",IF(AND(I496=1,J496=0),"仅 VIT-LPS 跟住","都没跟住")))</f>
        <v>两者都跟住</v>
      </c>
      <c r="L496" s="45" t="n">
        <f aca="false">F496-G496</f>
        <v>0.0127584592537461</v>
      </c>
      <c r="M496" s="46" t="n">
        <v>0.232133</v>
      </c>
      <c r="N496" s="46" t="n">
        <v>0.1392026</v>
      </c>
      <c r="O496" s="46" t="n">
        <v>0.2109296</v>
      </c>
      <c r="P496" s="46" t="n">
        <v>0.6405943</v>
      </c>
      <c r="Q496" s="46" t="n">
        <v>1.6192071</v>
      </c>
      <c r="R496" s="46" t="n">
        <v>1.793926</v>
      </c>
      <c r="S496" s="47" t="n">
        <f aca="false">M496+N496+O496</f>
        <v>0.5822652</v>
      </c>
      <c r="T496" s="47" t="n">
        <f aca="false">M496+P496</f>
        <v>0.8727273</v>
      </c>
    </row>
    <row r="497" customFormat="false" ht="15" hidden="false" customHeight="false" outlineLevel="0" collapsed="false">
      <c r="A497" s="42" t="s">
        <v>44</v>
      </c>
      <c r="B497" s="42" t="n">
        <v>-12</v>
      </c>
      <c r="C497" s="42" t="n">
        <v>96</v>
      </c>
      <c r="D497" s="42" t="n">
        <v>74271011</v>
      </c>
      <c r="E497" s="43" t="n">
        <v>0.963297500652982</v>
      </c>
      <c r="F497" s="43" t="n">
        <v>0.964191740308325</v>
      </c>
      <c r="G497" s="43" t="n">
        <v>0.961658111389341</v>
      </c>
      <c r="H497" s="43" t="n">
        <v>0.962881409650277</v>
      </c>
      <c r="I497" s="42" t="n">
        <v>1</v>
      </c>
      <c r="J497" s="42" t="n">
        <v>1</v>
      </c>
      <c r="K497" s="44" t="str">
        <f aca="false">IF(AND(I497=1,J497=1),"两者都跟住",IF(AND(I497=0,J497=1),"仅 PC-TBD 跟住",IF(AND(I497=1,J497=0),"仅 VIT-LPS 跟住","都没跟住")))</f>
        <v>两者都跟住</v>
      </c>
      <c r="L497" s="45" t="n">
        <f aca="false">F497-G497</f>
        <v>0.00253362891898401</v>
      </c>
      <c r="M497" s="46" t="n">
        <v>0.2620957</v>
      </c>
      <c r="N497" s="46" t="n">
        <v>0.107009</v>
      </c>
      <c r="O497" s="46" t="n">
        <v>0.1795892</v>
      </c>
      <c r="P497" s="46" t="n">
        <v>0.5261192</v>
      </c>
      <c r="Q497" s="46" t="n">
        <v>1.9924051</v>
      </c>
      <c r="R497" s="46" t="n">
        <v>1.8065725</v>
      </c>
      <c r="S497" s="47" t="n">
        <f aca="false">M497+N497+O497</f>
        <v>0.5486939</v>
      </c>
      <c r="T497" s="47" t="n">
        <f aca="false">M497+P497</f>
        <v>0.7882149</v>
      </c>
    </row>
    <row r="498" customFormat="false" ht="15" hidden="false" customHeight="false" outlineLevel="0" collapsed="false">
      <c r="A498" s="42" t="s">
        <v>44</v>
      </c>
      <c r="B498" s="42" t="n">
        <v>-12</v>
      </c>
      <c r="C498" s="42" t="n">
        <v>97</v>
      </c>
      <c r="D498" s="42" t="n">
        <v>74271012</v>
      </c>
      <c r="E498" s="43" t="n">
        <v>0.934907641303518</v>
      </c>
      <c r="F498" s="43" t="n">
        <v>0.959484380361664</v>
      </c>
      <c r="G498" s="43" t="n">
        <v>0.966663003658898</v>
      </c>
      <c r="H498" s="43" t="n">
        <v>0.95957554136199</v>
      </c>
      <c r="I498" s="42" t="n">
        <v>1</v>
      </c>
      <c r="J498" s="42" t="n">
        <v>1</v>
      </c>
      <c r="K498" s="44" t="str">
        <f aca="false">IF(AND(I498=1,J498=1),"两者都跟住",IF(AND(I498=0,J498=1),"仅 PC-TBD 跟住",IF(AND(I498=1,J498=0),"仅 VIT-LPS 跟住","都没跟住")))</f>
        <v>两者都跟住</v>
      </c>
      <c r="L498" s="45" t="n">
        <f aca="false">F498-G498</f>
        <v>-0.00717862329723407</v>
      </c>
      <c r="M498" s="46" t="n">
        <v>0.160515</v>
      </c>
      <c r="N498" s="46" t="n">
        <v>0.0869021</v>
      </c>
      <c r="O498" s="46" t="n">
        <v>0.1502223</v>
      </c>
      <c r="P498" s="46" t="n">
        <v>0.4543802</v>
      </c>
      <c r="Q498" s="46" t="n">
        <v>1.613415</v>
      </c>
      <c r="R498" s="46" t="n">
        <v>1.608249</v>
      </c>
      <c r="S498" s="47" t="n">
        <f aca="false">M498+N498+O498</f>
        <v>0.3976394</v>
      </c>
      <c r="T498" s="47" t="n">
        <f aca="false">M498+P498</f>
        <v>0.6148952</v>
      </c>
    </row>
    <row r="499" customFormat="false" ht="15" hidden="false" customHeight="false" outlineLevel="0" collapsed="false">
      <c r="A499" s="42" t="s">
        <v>44</v>
      </c>
      <c r="B499" s="42" t="n">
        <v>-12</v>
      </c>
      <c r="C499" s="42" t="n">
        <v>98</v>
      </c>
      <c r="D499" s="42" t="n">
        <v>74271013</v>
      </c>
      <c r="E499" s="43" t="n">
        <v>0.915365037632772</v>
      </c>
      <c r="F499" s="43" t="n">
        <v>0.962606817282233</v>
      </c>
      <c r="G499" s="43" t="n">
        <v>0.967468828267776</v>
      </c>
      <c r="H499" s="43" t="n">
        <v>0.964234730281881</v>
      </c>
      <c r="I499" s="42" t="n">
        <v>1</v>
      </c>
      <c r="J499" s="42" t="n">
        <v>1</v>
      </c>
      <c r="K499" s="44" t="str">
        <f aca="false">IF(AND(I499=1,J499=1),"两者都跟住",IF(AND(I499=0,J499=1),"仅 PC-TBD 跟住",IF(AND(I499=1,J499=0),"仅 VIT-LPS 跟住","都没跟住")))</f>
        <v>两者都跟住</v>
      </c>
      <c r="L499" s="45" t="n">
        <f aca="false">F499-G499</f>
        <v>-0.00486201098554306</v>
      </c>
      <c r="M499" s="46" t="n">
        <v>0.1628309</v>
      </c>
      <c r="N499" s="46" t="n">
        <v>0.1009231</v>
      </c>
      <c r="O499" s="46" t="n">
        <v>0.1381891</v>
      </c>
      <c r="P499" s="46" t="n">
        <v>0.4871626</v>
      </c>
      <c r="Q499" s="46" t="n">
        <v>1.4693852</v>
      </c>
      <c r="R499" s="46" t="n">
        <v>1.4518622</v>
      </c>
      <c r="S499" s="47" t="n">
        <f aca="false">M499+N499+O499</f>
        <v>0.4019431</v>
      </c>
      <c r="T499" s="47" t="n">
        <f aca="false">M499+P499</f>
        <v>0.6499935</v>
      </c>
    </row>
    <row r="500" customFormat="false" ht="15" hidden="false" customHeight="false" outlineLevel="0" collapsed="false">
      <c r="A500" s="42" t="s">
        <v>44</v>
      </c>
      <c r="B500" s="42" t="n">
        <v>-12</v>
      </c>
      <c r="C500" s="42" t="n">
        <v>99</v>
      </c>
      <c r="D500" s="42" t="n">
        <v>74271014</v>
      </c>
      <c r="E500" s="43" t="n">
        <v>0.967481696106429</v>
      </c>
      <c r="F500" s="43" t="n">
        <v>0.963610814013917</v>
      </c>
      <c r="G500" s="43" t="n">
        <v>0.946202432878661</v>
      </c>
      <c r="H500" s="43" t="n">
        <v>0.964731085227822</v>
      </c>
      <c r="I500" s="42" t="n">
        <v>1</v>
      </c>
      <c r="J500" s="42" t="n">
        <v>1</v>
      </c>
      <c r="K500" s="44" t="str">
        <f aca="false">IF(AND(I500=1,J500=1),"两者都跟住",IF(AND(I500=0,J500=1),"仅 PC-TBD 跟住",IF(AND(I500=1,J500=0),"仅 VIT-LPS 跟住","都没跟住")))</f>
        <v>两者都跟住</v>
      </c>
      <c r="L500" s="45" t="n">
        <f aca="false">F500-G500</f>
        <v>0.017408381135256</v>
      </c>
      <c r="M500" s="46" t="n">
        <v>0.1633295</v>
      </c>
      <c r="N500" s="46" t="n">
        <v>0.1018738</v>
      </c>
      <c r="O500" s="46" t="n">
        <v>0.0985641</v>
      </c>
      <c r="P500" s="46" t="n">
        <v>0.3639927</v>
      </c>
      <c r="Q500" s="46" t="n">
        <v>1.4372887</v>
      </c>
      <c r="R500" s="46" t="n">
        <v>1.2305296</v>
      </c>
      <c r="S500" s="47" t="n">
        <f aca="false">M500+N500+O500</f>
        <v>0.3637674</v>
      </c>
      <c r="T500" s="47" t="n">
        <f aca="false">M500+P500</f>
        <v>0.5273222</v>
      </c>
    </row>
    <row r="501" customFormat="false" ht="15" hidden="false" customHeight="false" outlineLevel="0" collapsed="false">
      <c r="A501" s="42" t="s">
        <v>44</v>
      </c>
      <c r="B501" s="42" t="n">
        <v>-12</v>
      </c>
      <c r="C501" s="42" t="n">
        <v>100</v>
      </c>
      <c r="D501" s="42" t="n">
        <v>74271015</v>
      </c>
      <c r="E501" s="43" t="n">
        <v>0.973207737907326</v>
      </c>
      <c r="F501" s="43" t="n">
        <v>0.970276349263324</v>
      </c>
      <c r="G501" s="43" t="n">
        <v>0.968412693433375</v>
      </c>
      <c r="H501" s="43" t="n">
        <v>0.97300596209143</v>
      </c>
      <c r="I501" s="42" t="n">
        <v>1</v>
      </c>
      <c r="J501" s="42" t="n">
        <v>1</v>
      </c>
      <c r="K501" s="44" t="str">
        <f aca="false">IF(AND(I501=1,J501=1),"两者都跟住",IF(AND(I501=0,J501=1),"仅 PC-TBD 跟住",IF(AND(I501=1,J501=0),"仅 VIT-LPS 跟住","都没跟住")))</f>
        <v>两者都跟住</v>
      </c>
      <c r="L501" s="45" t="n">
        <f aca="false">F501-G501</f>
        <v>0.00186365582994896</v>
      </c>
      <c r="M501" s="46" t="n">
        <v>0.154549</v>
      </c>
      <c r="N501" s="46" t="n">
        <v>0.0671755</v>
      </c>
      <c r="O501" s="46" t="n">
        <v>0.1304772</v>
      </c>
      <c r="P501" s="46" t="n">
        <v>0.4244548</v>
      </c>
      <c r="Q501" s="46" t="n">
        <v>1.5838474</v>
      </c>
      <c r="R501" s="46" t="n">
        <v>1.1110743</v>
      </c>
      <c r="S501" s="47" t="n">
        <f aca="false">M501+N501+O501</f>
        <v>0.3522017</v>
      </c>
      <c r="T501" s="47" t="n">
        <f aca="false">M501+P501</f>
        <v>0.5790038</v>
      </c>
    </row>
    <row r="502" customFormat="false" ht="15" hidden="false" customHeight="false" outlineLevel="0" collapsed="false">
      <c r="A502" s="42" t="s">
        <v>44</v>
      </c>
      <c r="B502" s="42" t="n">
        <v>-10</v>
      </c>
      <c r="C502" s="42" t="n">
        <v>1</v>
      </c>
      <c r="D502" s="42" t="n">
        <v>74270916</v>
      </c>
      <c r="E502" s="43" t="n">
        <v>0.98331956436716</v>
      </c>
      <c r="F502" s="43" t="n">
        <v>0.990833814541837</v>
      </c>
      <c r="G502" s="43" t="n">
        <v>0.988338136601675</v>
      </c>
      <c r="H502" s="43" t="n">
        <v>0.992508437268934</v>
      </c>
      <c r="I502" s="42" t="n">
        <v>1</v>
      </c>
      <c r="J502" s="42" t="n">
        <v>1</v>
      </c>
      <c r="K502" s="44" t="str">
        <f aca="false">IF(AND(I502=1,J502=1),"两者都跟住",IF(AND(I502=0,J502=1),"仅 PC-TBD 跟住",IF(AND(I502=1,J502=0),"仅 VIT-LPS 跟住","都没跟住")))</f>
        <v>两者都跟住</v>
      </c>
      <c r="L502" s="45" t="n">
        <f aca="false">F502-G502</f>
        <v>0.00249567794016203</v>
      </c>
      <c r="M502" s="46" t="n">
        <v>0.8587051</v>
      </c>
      <c r="N502" s="46" t="n">
        <v>0.6537681</v>
      </c>
      <c r="O502" s="46" t="n">
        <v>3.7244079</v>
      </c>
      <c r="P502" s="46" t="n">
        <v>1.1641401</v>
      </c>
      <c r="Q502" s="46" t="n">
        <v>3.5485997</v>
      </c>
      <c r="R502" s="46" t="n">
        <v>3.1232752</v>
      </c>
      <c r="S502" s="47" t="n">
        <f aca="false">M502+N502+O502</f>
        <v>5.2368811</v>
      </c>
      <c r="T502" s="47" t="n">
        <f aca="false">M502+P502</f>
        <v>2.0228452</v>
      </c>
    </row>
    <row r="503" customFormat="false" ht="15" hidden="false" customHeight="false" outlineLevel="0" collapsed="false">
      <c r="A503" s="42" t="s">
        <v>44</v>
      </c>
      <c r="B503" s="42" t="n">
        <v>-10</v>
      </c>
      <c r="C503" s="42" t="n">
        <v>2</v>
      </c>
      <c r="D503" s="42" t="n">
        <v>74270917</v>
      </c>
      <c r="E503" s="43" t="n">
        <v>0.957608093581417</v>
      </c>
      <c r="F503" s="43" t="n">
        <v>0.971444843526277</v>
      </c>
      <c r="G503" s="43" t="n">
        <v>0.97395831438704</v>
      </c>
      <c r="H503" s="43" t="n">
        <v>0.970568099781732</v>
      </c>
      <c r="I503" s="42" t="n">
        <v>1</v>
      </c>
      <c r="J503" s="42" t="n">
        <v>1</v>
      </c>
      <c r="K503" s="44" t="str">
        <f aca="false">IF(AND(I503=1,J503=1),"两者都跟住",IF(AND(I503=0,J503=1),"仅 PC-TBD 跟住",IF(AND(I503=1,J503=0),"仅 VIT-LPS 跟住","都没跟住")))</f>
        <v>两者都跟住</v>
      </c>
      <c r="L503" s="45" t="n">
        <f aca="false">F503-G503</f>
        <v>-0.00251347086076292</v>
      </c>
      <c r="M503" s="46" t="n">
        <v>0.8531942</v>
      </c>
      <c r="N503" s="46" t="n">
        <v>0.6285651</v>
      </c>
      <c r="O503" s="46" t="n">
        <v>3.7230676</v>
      </c>
      <c r="P503" s="46" t="n">
        <v>1.1748475</v>
      </c>
      <c r="Q503" s="46" t="n">
        <v>3.5750707</v>
      </c>
      <c r="R503" s="46" t="n">
        <v>3.0202481</v>
      </c>
      <c r="S503" s="47" t="n">
        <f aca="false">M503+N503+O503</f>
        <v>5.2048269</v>
      </c>
      <c r="T503" s="47" t="n">
        <f aca="false">M503+P503</f>
        <v>2.0280417</v>
      </c>
    </row>
    <row r="504" customFormat="false" ht="15" hidden="false" customHeight="false" outlineLevel="0" collapsed="false">
      <c r="A504" s="42" t="s">
        <v>44</v>
      </c>
      <c r="B504" s="42" t="n">
        <v>-10</v>
      </c>
      <c r="C504" s="42" t="n">
        <v>3</v>
      </c>
      <c r="D504" s="42" t="n">
        <v>74270918</v>
      </c>
      <c r="E504" s="43" t="n">
        <v>0.967560867166038</v>
      </c>
      <c r="F504" s="43" t="n">
        <v>0.971691466435732</v>
      </c>
      <c r="G504" s="43" t="n">
        <v>0.97401334719991</v>
      </c>
      <c r="H504" s="43" t="n">
        <v>0.973845652931803</v>
      </c>
      <c r="I504" s="42" t="n">
        <v>1</v>
      </c>
      <c r="J504" s="42" t="n">
        <v>1</v>
      </c>
      <c r="K504" s="44" t="str">
        <f aca="false">IF(AND(I504=1,J504=1),"两者都跟住",IF(AND(I504=0,J504=1),"仅 PC-TBD 跟住",IF(AND(I504=1,J504=0),"仅 VIT-LPS 跟住","都没跟住")))</f>
        <v>两者都跟住</v>
      </c>
      <c r="L504" s="45" t="n">
        <f aca="false">F504-G504</f>
        <v>-0.00232188076417794</v>
      </c>
      <c r="M504" s="46" t="n">
        <v>0.8607555</v>
      </c>
      <c r="N504" s="46" t="n">
        <v>0.6116669</v>
      </c>
      <c r="O504" s="46" t="n">
        <v>3.7102347</v>
      </c>
      <c r="P504" s="46" t="n">
        <v>1.1697056</v>
      </c>
      <c r="Q504" s="46" t="n">
        <v>3.0686371</v>
      </c>
      <c r="R504" s="46" t="n">
        <v>3.1978917</v>
      </c>
      <c r="S504" s="47" t="n">
        <f aca="false">M504+N504+O504</f>
        <v>5.1826571</v>
      </c>
      <c r="T504" s="47" t="n">
        <f aca="false">M504+P504</f>
        <v>2.0304611</v>
      </c>
    </row>
    <row r="505" customFormat="false" ht="15" hidden="false" customHeight="false" outlineLevel="0" collapsed="false">
      <c r="A505" s="42" t="s">
        <v>44</v>
      </c>
      <c r="B505" s="42" t="n">
        <v>-10</v>
      </c>
      <c r="C505" s="42" t="n">
        <v>4</v>
      </c>
      <c r="D505" s="42" t="n">
        <v>74270919</v>
      </c>
      <c r="E505" s="43" t="n">
        <v>0.983270283553271</v>
      </c>
      <c r="F505" s="43" t="n">
        <v>0.981758540901992</v>
      </c>
      <c r="G505" s="43" t="n">
        <v>0.974084033281346</v>
      </c>
      <c r="H505" s="43" t="n">
        <v>0.980817813524901</v>
      </c>
      <c r="I505" s="42" t="n">
        <v>1</v>
      </c>
      <c r="J505" s="42" t="n">
        <v>1</v>
      </c>
      <c r="K505" s="44" t="str">
        <f aca="false">IF(AND(I505=1,J505=1),"两者都跟住",IF(AND(I505=0,J505=1),"仅 PC-TBD 跟住",IF(AND(I505=1,J505=0),"仅 VIT-LPS 跟住","都没跟住")))</f>
        <v>两者都跟住</v>
      </c>
      <c r="L505" s="45" t="n">
        <f aca="false">F505-G505</f>
        <v>0.00767450762064603</v>
      </c>
      <c r="M505" s="46" t="n">
        <v>0.8274562</v>
      </c>
      <c r="N505" s="46" t="n">
        <v>0.614651</v>
      </c>
      <c r="O505" s="46" t="n">
        <v>3.7093513</v>
      </c>
      <c r="P505" s="46" t="n">
        <v>1.1650847</v>
      </c>
      <c r="Q505" s="46" t="n">
        <v>3.4574744</v>
      </c>
      <c r="R505" s="46" t="n">
        <v>2.9907967</v>
      </c>
      <c r="S505" s="47" t="n">
        <f aca="false">M505+N505+O505</f>
        <v>5.1514585</v>
      </c>
      <c r="T505" s="47" t="n">
        <f aca="false">M505+P505</f>
        <v>1.9925409</v>
      </c>
    </row>
    <row r="506" customFormat="false" ht="15" hidden="false" customHeight="false" outlineLevel="0" collapsed="false">
      <c r="A506" s="42" t="s">
        <v>44</v>
      </c>
      <c r="B506" s="42" t="n">
        <v>-10</v>
      </c>
      <c r="C506" s="42" t="n">
        <v>5</v>
      </c>
      <c r="D506" s="42" t="n">
        <v>74270920</v>
      </c>
      <c r="E506" s="43" t="n">
        <v>0.979997908807789</v>
      </c>
      <c r="F506" s="43" t="n">
        <v>0.986177186187894</v>
      </c>
      <c r="G506" s="43" t="n">
        <v>0.983548480508351</v>
      </c>
      <c r="H506" s="43" t="n">
        <v>0.987007294005473</v>
      </c>
      <c r="I506" s="42" t="n">
        <v>1</v>
      </c>
      <c r="J506" s="42" t="n">
        <v>1</v>
      </c>
      <c r="K506" s="44" t="str">
        <f aca="false">IF(AND(I506=1,J506=1),"两者都跟住",IF(AND(I506=0,J506=1),"仅 PC-TBD 跟住",IF(AND(I506=1,J506=0),"仅 VIT-LPS 跟住","都没跟住")))</f>
        <v>两者都跟住</v>
      </c>
      <c r="L506" s="45" t="n">
        <f aca="false">F506-G506</f>
        <v>0.00262870567954299</v>
      </c>
      <c r="M506" s="46" t="n">
        <v>0.8321815</v>
      </c>
      <c r="N506" s="46" t="n">
        <v>0.62909</v>
      </c>
      <c r="O506" s="46" t="n">
        <v>3.722976</v>
      </c>
      <c r="P506" s="46" t="n">
        <v>1.1605558</v>
      </c>
      <c r="Q506" s="46" t="n">
        <v>3.3227324</v>
      </c>
      <c r="R506" s="46" t="n">
        <v>3.5194092</v>
      </c>
      <c r="S506" s="47" t="n">
        <f aca="false">M506+N506+O506</f>
        <v>5.1842475</v>
      </c>
      <c r="T506" s="47" t="n">
        <f aca="false">M506+P506</f>
        <v>1.9927373</v>
      </c>
    </row>
    <row r="507" customFormat="false" ht="15" hidden="false" customHeight="false" outlineLevel="0" collapsed="false">
      <c r="A507" s="42" t="s">
        <v>44</v>
      </c>
      <c r="B507" s="42" t="n">
        <v>-10</v>
      </c>
      <c r="C507" s="42" t="n">
        <v>6</v>
      </c>
      <c r="D507" s="42" t="n">
        <v>74270921</v>
      </c>
      <c r="E507" s="43" t="n">
        <v>0.977174681384695</v>
      </c>
      <c r="F507" s="43" t="n">
        <v>0.987855066420863</v>
      </c>
      <c r="G507" s="43" t="n">
        <v>0.987634041806746</v>
      </c>
      <c r="H507" s="43" t="n">
        <v>0.98794544631927</v>
      </c>
      <c r="I507" s="42" t="n">
        <v>1</v>
      </c>
      <c r="J507" s="42" t="n">
        <v>1</v>
      </c>
      <c r="K507" s="44" t="str">
        <f aca="false">IF(AND(I507=1,J507=1),"两者都跟住",IF(AND(I507=0,J507=1),"仅 PC-TBD 跟住",IF(AND(I507=1,J507=0),"仅 VIT-LPS 跟住","都没跟住")))</f>
        <v>两者都跟住</v>
      </c>
      <c r="L507" s="45" t="n">
        <f aca="false">F507-G507</f>
        <v>0.000221024614116994</v>
      </c>
      <c r="M507" s="46" t="n">
        <v>0.8243623</v>
      </c>
      <c r="N507" s="46" t="n">
        <v>0.6123782</v>
      </c>
      <c r="O507" s="46" t="n">
        <v>3.7117408</v>
      </c>
      <c r="P507" s="46" t="n">
        <v>1.1646554</v>
      </c>
      <c r="Q507" s="46" t="n">
        <v>3.6901409</v>
      </c>
      <c r="R507" s="46" t="n">
        <v>3.273973</v>
      </c>
      <c r="S507" s="47" t="n">
        <f aca="false">M507+N507+O507</f>
        <v>5.1484813</v>
      </c>
      <c r="T507" s="47" t="n">
        <f aca="false">M507+P507</f>
        <v>1.9890177</v>
      </c>
    </row>
    <row r="508" customFormat="false" ht="15" hidden="false" customHeight="false" outlineLevel="0" collapsed="false">
      <c r="A508" s="42" t="s">
        <v>44</v>
      </c>
      <c r="B508" s="42" t="n">
        <v>-10</v>
      </c>
      <c r="C508" s="42" t="n">
        <v>7</v>
      </c>
      <c r="D508" s="42" t="n">
        <v>74270922</v>
      </c>
      <c r="E508" s="43" t="n">
        <v>0.986843767978972</v>
      </c>
      <c r="F508" s="43" t="n">
        <v>0.985612718101558</v>
      </c>
      <c r="G508" s="43" t="n">
        <v>0.987759160120342</v>
      </c>
      <c r="H508" s="43" t="n">
        <v>0.985610113730918</v>
      </c>
      <c r="I508" s="42" t="n">
        <v>1</v>
      </c>
      <c r="J508" s="42" t="n">
        <v>1</v>
      </c>
      <c r="K508" s="44" t="str">
        <f aca="false">IF(AND(I508=1,J508=1),"两者都跟住",IF(AND(I508=0,J508=1),"仅 PC-TBD 跟住",IF(AND(I508=1,J508=0),"仅 VIT-LPS 跟住","都没跟住")))</f>
        <v>两者都跟住</v>
      </c>
      <c r="L508" s="45" t="n">
        <f aca="false">F508-G508</f>
        <v>-0.002146442018784</v>
      </c>
      <c r="M508" s="46" t="n">
        <v>0.3313615</v>
      </c>
      <c r="N508" s="46" t="n">
        <v>0.2583938</v>
      </c>
      <c r="O508" s="46" t="n">
        <v>0.4251779</v>
      </c>
      <c r="P508" s="46" t="n">
        <v>1.2421728</v>
      </c>
      <c r="Q508" s="46" t="n">
        <v>2.1268484</v>
      </c>
      <c r="R508" s="46" t="n">
        <v>1.709885</v>
      </c>
      <c r="S508" s="47" t="n">
        <f aca="false">M508+N508+O508</f>
        <v>1.0149332</v>
      </c>
      <c r="T508" s="47" t="n">
        <f aca="false">M508+P508</f>
        <v>1.5735343</v>
      </c>
    </row>
    <row r="509" customFormat="false" ht="15" hidden="false" customHeight="false" outlineLevel="0" collapsed="false">
      <c r="A509" s="42" t="s">
        <v>44</v>
      </c>
      <c r="B509" s="42" t="n">
        <v>-10</v>
      </c>
      <c r="C509" s="42" t="n">
        <v>8</v>
      </c>
      <c r="D509" s="42" t="n">
        <v>74270923</v>
      </c>
      <c r="E509" s="43" t="n">
        <v>0.961034919283586</v>
      </c>
      <c r="F509" s="43" t="n">
        <v>0.977982804924794</v>
      </c>
      <c r="G509" s="43" t="n">
        <v>0.976963804958528</v>
      </c>
      <c r="H509" s="43" t="n">
        <v>0.9794931997193</v>
      </c>
      <c r="I509" s="42" t="n">
        <v>1</v>
      </c>
      <c r="J509" s="42" t="n">
        <v>1</v>
      </c>
      <c r="K509" s="44" t="str">
        <f aca="false">IF(AND(I509=1,J509=1),"两者都跟住",IF(AND(I509=0,J509=1),"仅 PC-TBD 跟住",IF(AND(I509=1,J509=0),"仅 VIT-LPS 跟住","都没跟住")))</f>
        <v>两者都跟住</v>
      </c>
      <c r="L509" s="45" t="n">
        <f aca="false">F509-G509</f>
        <v>0.00101899996626598</v>
      </c>
      <c r="M509" s="46" t="n">
        <v>0.2971328</v>
      </c>
      <c r="N509" s="46" t="n">
        <v>0.2130405</v>
      </c>
      <c r="O509" s="46" t="n">
        <v>0.6357103</v>
      </c>
      <c r="P509" s="46" t="n">
        <v>0.9956435</v>
      </c>
      <c r="Q509" s="46" t="n">
        <v>2.8007702</v>
      </c>
      <c r="R509" s="46" t="n">
        <v>1.4493078</v>
      </c>
      <c r="S509" s="47" t="n">
        <f aca="false">M509+N509+O509</f>
        <v>1.1458836</v>
      </c>
      <c r="T509" s="47" t="n">
        <f aca="false">M509+P509</f>
        <v>1.2927763</v>
      </c>
    </row>
    <row r="510" customFormat="false" ht="15" hidden="false" customHeight="false" outlineLevel="0" collapsed="false">
      <c r="A510" s="42" t="s">
        <v>44</v>
      </c>
      <c r="B510" s="42" t="n">
        <v>-10</v>
      </c>
      <c r="C510" s="42" t="n">
        <v>9</v>
      </c>
      <c r="D510" s="42" t="n">
        <v>74270924</v>
      </c>
      <c r="E510" s="43" t="n">
        <v>0.97133509871473</v>
      </c>
      <c r="F510" s="43" t="n">
        <v>0.984063591574885</v>
      </c>
      <c r="G510" s="43" t="n">
        <v>0.979016815474103</v>
      </c>
      <c r="H510" s="43" t="n">
        <v>0.984302388180084</v>
      </c>
      <c r="I510" s="42" t="n">
        <v>1</v>
      </c>
      <c r="J510" s="42" t="n">
        <v>1</v>
      </c>
      <c r="K510" s="44" t="str">
        <f aca="false">IF(AND(I510=1,J510=1),"两者都跟住",IF(AND(I510=0,J510=1),"仅 PC-TBD 跟住",IF(AND(I510=1,J510=0),"仅 VIT-LPS 跟住","都没跟住")))</f>
        <v>两者都跟住</v>
      </c>
      <c r="L510" s="45" t="n">
        <f aca="false">F510-G510</f>
        <v>0.00504677610078197</v>
      </c>
      <c r="M510" s="46" t="n">
        <v>0.1990918</v>
      </c>
      <c r="N510" s="46" t="n">
        <v>0.1641045</v>
      </c>
      <c r="O510" s="46" t="n">
        <v>0.5688645</v>
      </c>
      <c r="P510" s="46" t="n">
        <v>1.1901002</v>
      </c>
      <c r="Q510" s="46" t="n">
        <v>2.6279054</v>
      </c>
      <c r="R510" s="46" t="n">
        <v>1.609538</v>
      </c>
      <c r="S510" s="47" t="n">
        <f aca="false">M510+N510+O510</f>
        <v>0.9320608</v>
      </c>
      <c r="T510" s="47" t="n">
        <f aca="false">M510+P510</f>
        <v>1.389192</v>
      </c>
    </row>
    <row r="511" customFormat="false" ht="15" hidden="false" customHeight="false" outlineLevel="0" collapsed="false">
      <c r="A511" s="42" t="s">
        <v>44</v>
      </c>
      <c r="B511" s="42" t="n">
        <v>-10</v>
      </c>
      <c r="C511" s="42" t="n">
        <v>10</v>
      </c>
      <c r="D511" s="42" t="n">
        <v>74270925</v>
      </c>
      <c r="E511" s="43" t="n">
        <v>0.970560544427798</v>
      </c>
      <c r="F511" s="43" t="n">
        <v>0.977539818230094</v>
      </c>
      <c r="G511" s="43" t="n">
        <v>0.977380904619727</v>
      </c>
      <c r="H511" s="43" t="n">
        <v>0.976988792611761</v>
      </c>
      <c r="I511" s="42" t="n">
        <v>1</v>
      </c>
      <c r="J511" s="42" t="n">
        <v>1</v>
      </c>
      <c r="K511" s="44" t="str">
        <f aca="false">IF(AND(I511=1,J511=1),"两者都跟住",IF(AND(I511=0,J511=1),"仅 PC-TBD 跟住",IF(AND(I511=1,J511=0),"仅 VIT-LPS 跟住","都没跟住")))</f>
        <v>两者都跟住</v>
      </c>
      <c r="L511" s="45" t="n">
        <f aca="false">F511-G511</f>
        <v>0.000158913610366906</v>
      </c>
      <c r="M511" s="46" t="n">
        <v>0.3433211</v>
      </c>
      <c r="N511" s="46" t="n">
        <v>0.2204411</v>
      </c>
      <c r="O511" s="46" t="n">
        <v>0.5287725</v>
      </c>
      <c r="P511" s="46" t="n">
        <v>1.0356297</v>
      </c>
      <c r="Q511" s="46" t="n">
        <v>2.5581489</v>
      </c>
      <c r="R511" s="46" t="n">
        <v>1.4616983</v>
      </c>
      <c r="S511" s="47" t="n">
        <f aca="false">M511+N511+O511</f>
        <v>1.0925347</v>
      </c>
      <c r="T511" s="47" t="n">
        <f aca="false">M511+P511</f>
        <v>1.3789508</v>
      </c>
    </row>
    <row r="512" customFormat="false" ht="15" hidden="false" customHeight="false" outlineLevel="0" collapsed="false">
      <c r="A512" s="42" t="s">
        <v>44</v>
      </c>
      <c r="B512" s="42" t="n">
        <v>-10</v>
      </c>
      <c r="C512" s="42" t="n">
        <v>11</v>
      </c>
      <c r="D512" s="42" t="n">
        <v>74270926</v>
      </c>
      <c r="E512" s="43" t="n">
        <v>0.890970708475075</v>
      </c>
      <c r="F512" s="43" t="n">
        <v>0.977137876180181</v>
      </c>
      <c r="G512" s="43" t="n">
        <v>0.976415894575251</v>
      </c>
      <c r="H512" s="43" t="n">
        <v>0.977323823040657</v>
      </c>
      <c r="I512" s="42" t="n">
        <v>1</v>
      </c>
      <c r="J512" s="42" t="n">
        <v>1</v>
      </c>
      <c r="K512" s="44" t="str">
        <f aca="false">IF(AND(I512=1,J512=1),"两者都跟住",IF(AND(I512=0,J512=1),"仅 PC-TBD 跟住",IF(AND(I512=1,J512=0),"仅 VIT-LPS 跟住","都没跟住")))</f>
        <v>两者都跟住</v>
      </c>
      <c r="L512" s="45" t="n">
        <f aca="false">F512-G512</f>
        <v>0.000721981604929978</v>
      </c>
      <c r="M512" s="46" t="n">
        <v>0.3423184</v>
      </c>
      <c r="N512" s="46" t="n">
        <v>0.1782023</v>
      </c>
      <c r="O512" s="46" t="n">
        <v>0.2954383</v>
      </c>
      <c r="P512" s="46" t="n">
        <v>1.1284898</v>
      </c>
      <c r="Q512" s="46" t="n">
        <v>2.0358087</v>
      </c>
      <c r="R512" s="46" t="n">
        <v>1.6467147</v>
      </c>
      <c r="S512" s="47" t="n">
        <f aca="false">M512+N512+O512</f>
        <v>0.815959</v>
      </c>
      <c r="T512" s="47" t="n">
        <f aca="false">M512+P512</f>
        <v>1.4708082</v>
      </c>
    </row>
    <row r="513" customFormat="false" ht="15" hidden="false" customHeight="false" outlineLevel="0" collapsed="false">
      <c r="A513" s="42" t="s">
        <v>44</v>
      </c>
      <c r="B513" s="42" t="n">
        <v>-10</v>
      </c>
      <c r="C513" s="42" t="n">
        <v>12</v>
      </c>
      <c r="D513" s="42" t="n">
        <v>74270927</v>
      </c>
      <c r="E513" s="43" t="n">
        <v>0.976807429951967</v>
      </c>
      <c r="F513" s="43" t="n">
        <v>0.988359612795971</v>
      </c>
      <c r="G513" s="43" t="n">
        <v>0.985940441164417</v>
      </c>
      <c r="H513" s="43" t="n">
        <v>0.990124793640193</v>
      </c>
      <c r="I513" s="42" t="n">
        <v>1</v>
      </c>
      <c r="J513" s="42" t="n">
        <v>1</v>
      </c>
      <c r="K513" s="44" t="str">
        <f aca="false">IF(AND(I513=1,J513=1),"两者都跟住",IF(AND(I513=0,J513=1),"仅 PC-TBD 跟住",IF(AND(I513=1,J513=0),"仅 VIT-LPS 跟住","都没跟住")))</f>
        <v>两者都跟住</v>
      </c>
      <c r="L513" s="45" t="n">
        <f aca="false">F513-G513</f>
        <v>0.00241917163155392</v>
      </c>
      <c r="M513" s="46" t="n">
        <v>0.3788378</v>
      </c>
      <c r="N513" s="46" t="n">
        <v>0.1866772</v>
      </c>
      <c r="O513" s="46" t="n">
        <v>0.3228534</v>
      </c>
      <c r="P513" s="46" t="n">
        <v>1.1200011</v>
      </c>
      <c r="Q513" s="46" t="n">
        <v>2.1938215</v>
      </c>
      <c r="R513" s="46" t="n">
        <v>1.9148449</v>
      </c>
      <c r="S513" s="47" t="n">
        <f aca="false">M513+N513+O513</f>
        <v>0.8883684</v>
      </c>
      <c r="T513" s="47" t="n">
        <f aca="false">M513+P513</f>
        <v>1.4988389</v>
      </c>
    </row>
    <row r="514" customFormat="false" ht="15" hidden="false" customHeight="false" outlineLevel="0" collapsed="false">
      <c r="A514" s="42" t="s">
        <v>44</v>
      </c>
      <c r="B514" s="42" t="n">
        <v>-10</v>
      </c>
      <c r="C514" s="42" t="n">
        <v>13</v>
      </c>
      <c r="D514" s="42" t="n">
        <v>74270928</v>
      </c>
      <c r="E514" s="43" t="n">
        <v>0.97154178967289</v>
      </c>
      <c r="F514" s="43" t="n">
        <v>0.977719394593069</v>
      </c>
      <c r="G514" s="43" t="n">
        <v>0.978912599861481</v>
      </c>
      <c r="H514" s="43" t="n">
        <v>0.976056993482825</v>
      </c>
      <c r="I514" s="42" t="n">
        <v>1</v>
      </c>
      <c r="J514" s="42" t="n">
        <v>1</v>
      </c>
      <c r="K514" s="44" t="str">
        <f aca="false">IF(AND(I514=1,J514=1),"两者都跟住",IF(AND(I514=0,J514=1),"仅 PC-TBD 跟住",IF(AND(I514=1,J514=0),"仅 VIT-LPS 跟住","都没跟住")))</f>
        <v>两者都跟住</v>
      </c>
      <c r="L514" s="45" t="n">
        <f aca="false">F514-G514</f>
        <v>-0.00119320526841205</v>
      </c>
      <c r="M514" s="46" t="n">
        <v>0.3526703</v>
      </c>
      <c r="N514" s="46" t="n">
        <v>0.1677428</v>
      </c>
      <c r="O514" s="46" t="n">
        <v>0.3299767</v>
      </c>
      <c r="P514" s="46" t="n">
        <v>0.7622059</v>
      </c>
      <c r="Q514" s="46" t="n">
        <v>1.6020675</v>
      </c>
      <c r="R514" s="46" t="n">
        <v>2.0550386</v>
      </c>
      <c r="S514" s="47" t="n">
        <f aca="false">M514+N514+O514</f>
        <v>0.8503898</v>
      </c>
      <c r="T514" s="47" t="n">
        <f aca="false">M514+P514</f>
        <v>1.1148762</v>
      </c>
    </row>
    <row r="515" customFormat="false" ht="15" hidden="false" customHeight="false" outlineLevel="0" collapsed="false">
      <c r="A515" s="42" t="s">
        <v>44</v>
      </c>
      <c r="B515" s="42" t="n">
        <v>-10</v>
      </c>
      <c r="C515" s="42" t="n">
        <v>14</v>
      </c>
      <c r="D515" s="42" t="n">
        <v>74270929</v>
      </c>
      <c r="E515" s="43" t="n">
        <v>0.985239854852531</v>
      </c>
      <c r="F515" s="43" t="n">
        <v>0.98688491949818</v>
      </c>
      <c r="G515" s="43" t="n">
        <v>0.985999820523772</v>
      </c>
      <c r="H515" s="43" t="n">
        <v>0.986195847725302</v>
      </c>
      <c r="I515" s="42" t="n">
        <v>1</v>
      </c>
      <c r="J515" s="42" t="n">
        <v>1</v>
      </c>
      <c r="K515" s="44" t="str">
        <f aca="false">IF(AND(I515=1,J515=1),"两者都跟住",IF(AND(I515=0,J515=1),"仅 PC-TBD 跟住",IF(AND(I515=1,J515=0),"仅 VIT-LPS 跟住","都没跟住")))</f>
        <v>两者都跟住</v>
      </c>
      <c r="L515" s="45" t="n">
        <f aca="false">F515-G515</f>
        <v>0.000885098974408027</v>
      </c>
      <c r="M515" s="46" t="n">
        <v>0.3648512</v>
      </c>
      <c r="N515" s="46" t="n">
        <v>0.1753759</v>
      </c>
      <c r="O515" s="46" t="n">
        <v>0.3194765</v>
      </c>
      <c r="P515" s="46" t="n">
        <v>0.7794608</v>
      </c>
      <c r="Q515" s="46" t="n">
        <v>2.3761775</v>
      </c>
      <c r="R515" s="46" t="n">
        <v>2.1138651</v>
      </c>
      <c r="S515" s="47" t="n">
        <f aca="false">M515+N515+O515</f>
        <v>0.8597036</v>
      </c>
      <c r="T515" s="47" t="n">
        <f aca="false">M515+P515</f>
        <v>1.144312</v>
      </c>
    </row>
    <row r="516" customFormat="false" ht="15" hidden="false" customHeight="false" outlineLevel="0" collapsed="false">
      <c r="A516" s="42" t="s">
        <v>44</v>
      </c>
      <c r="B516" s="42" t="n">
        <v>-10</v>
      </c>
      <c r="C516" s="42" t="n">
        <v>15</v>
      </c>
      <c r="D516" s="42" t="n">
        <v>74270930</v>
      </c>
      <c r="E516" s="43" t="n">
        <v>0.978878415518865</v>
      </c>
      <c r="F516" s="43" t="n">
        <v>0.985938827238633</v>
      </c>
      <c r="G516" s="43" t="n">
        <v>0.982215352858871</v>
      </c>
      <c r="H516" s="43" t="n">
        <v>0.98388314048235</v>
      </c>
      <c r="I516" s="42" t="n">
        <v>1</v>
      </c>
      <c r="J516" s="42" t="n">
        <v>1</v>
      </c>
      <c r="K516" s="44" t="str">
        <f aca="false">IF(AND(I516=1,J516=1),"两者都跟住",IF(AND(I516=0,J516=1),"仅 PC-TBD 跟住",IF(AND(I516=1,J516=0),"仅 VIT-LPS 跟住","都没跟住")))</f>
        <v>两者都跟住</v>
      </c>
      <c r="L516" s="45" t="n">
        <f aca="false">F516-G516</f>
        <v>0.00372347437976206</v>
      </c>
      <c r="M516" s="46" t="n">
        <v>0.373633</v>
      </c>
      <c r="N516" s="46" t="n">
        <v>0.164986</v>
      </c>
      <c r="O516" s="46" t="n">
        <v>0.3647406</v>
      </c>
      <c r="P516" s="46" t="n">
        <v>0.8169266</v>
      </c>
      <c r="Q516" s="46" t="n">
        <v>2.2815259</v>
      </c>
      <c r="R516" s="46" t="n">
        <v>2.1090974</v>
      </c>
      <c r="S516" s="47" t="n">
        <f aca="false">M516+N516+O516</f>
        <v>0.9033596</v>
      </c>
      <c r="T516" s="47" t="n">
        <f aca="false">M516+P516</f>
        <v>1.1905596</v>
      </c>
    </row>
    <row r="517" customFormat="false" ht="15" hidden="false" customHeight="false" outlineLevel="0" collapsed="false">
      <c r="A517" s="42" t="s">
        <v>44</v>
      </c>
      <c r="B517" s="42" t="n">
        <v>-10</v>
      </c>
      <c r="C517" s="42" t="n">
        <v>16</v>
      </c>
      <c r="D517" s="42" t="n">
        <v>74270931</v>
      </c>
      <c r="E517" s="43" t="n">
        <v>0.965680163777502</v>
      </c>
      <c r="F517" s="43" t="n">
        <v>0.979846460238202</v>
      </c>
      <c r="G517" s="43" t="n">
        <v>0.984619773491478</v>
      </c>
      <c r="H517" s="43" t="n">
        <v>0.982746832326803</v>
      </c>
      <c r="I517" s="42" t="n">
        <v>1</v>
      </c>
      <c r="J517" s="42" t="n">
        <v>1</v>
      </c>
      <c r="K517" s="44" t="str">
        <f aca="false">IF(AND(I517=1,J517=1),"两者都跟住",IF(AND(I517=0,J517=1),"仅 PC-TBD 跟住",IF(AND(I517=1,J517=0),"仅 VIT-LPS 跟住","都没跟住")))</f>
        <v>两者都跟住</v>
      </c>
      <c r="L517" s="45" t="n">
        <f aca="false">F517-G517</f>
        <v>-0.00477331325327601</v>
      </c>
      <c r="M517" s="46" t="n">
        <v>0.3581001</v>
      </c>
      <c r="N517" s="46" t="n">
        <v>0.1783367</v>
      </c>
      <c r="O517" s="46" t="n">
        <v>0.3626343</v>
      </c>
      <c r="P517" s="46" t="n">
        <v>0.9585</v>
      </c>
      <c r="Q517" s="46" t="n">
        <v>1.9607534</v>
      </c>
      <c r="R517" s="46" t="n">
        <v>2.0966225</v>
      </c>
      <c r="S517" s="47" t="n">
        <f aca="false">M517+N517+O517</f>
        <v>0.8990711</v>
      </c>
      <c r="T517" s="47" t="n">
        <f aca="false">M517+P517</f>
        <v>1.3166001</v>
      </c>
    </row>
    <row r="518" customFormat="false" ht="15" hidden="false" customHeight="false" outlineLevel="0" collapsed="false">
      <c r="A518" s="42" t="s">
        <v>44</v>
      </c>
      <c r="B518" s="42" t="n">
        <v>-10</v>
      </c>
      <c r="C518" s="42" t="n">
        <v>17</v>
      </c>
      <c r="D518" s="42" t="n">
        <v>74270932</v>
      </c>
      <c r="E518" s="43" t="n">
        <v>0.969124363610616</v>
      </c>
      <c r="F518" s="43" t="n">
        <v>0.985977305448094</v>
      </c>
      <c r="G518" s="43" t="n">
        <v>0.976077247669262</v>
      </c>
      <c r="H518" s="43" t="n">
        <v>0.984130123563967</v>
      </c>
      <c r="I518" s="42" t="n">
        <v>1</v>
      </c>
      <c r="J518" s="42" t="n">
        <v>1</v>
      </c>
      <c r="K518" s="44" t="str">
        <f aca="false">IF(AND(I518=1,J518=1),"两者都跟住",IF(AND(I518=0,J518=1),"仅 PC-TBD 跟住",IF(AND(I518=1,J518=0),"仅 VIT-LPS 跟住","都没跟住")))</f>
        <v>两者都跟住</v>
      </c>
      <c r="L518" s="45" t="n">
        <f aca="false">F518-G518</f>
        <v>0.00990005777883207</v>
      </c>
      <c r="M518" s="46" t="n">
        <v>0.2121462</v>
      </c>
      <c r="N518" s="46" t="n">
        <v>0.153367</v>
      </c>
      <c r="O518" s="46" t="n">
        <v>0.303097</v>
      </c>
      <c r="P518" s="46" t="n">
        <v>0.7621395</v>
      </c>
      <c r="Q518" s="46" t="n">
        <v>1.5748284</v>
      </c>
      <c r="R518" s="46" t="n">
        <v>1.2432153</v>
      </c>
      <c r="S518" s="47" t="n">
        <f aca="false">M518+N518+O518</f>
        <v>0.6686102</v>
      </c>
      <c r="T518" s="47" t="n">
        <f aca="false">M518+P518</f>
        <v>0.9742857</v>
      </c>
    </row>
    <row r="519" customFormat="false" ht="15" hidden="false" customHeight="false" outlineLevel="0" collapsed="false">
      <c r="A519" s="42" t="s">
        <v>44</v>
      </c>
      <c r="B519" s="42" t="n">
        <v>-10</v>
      </c>
      <c r="C519" s="42" t="n">
        <v>18</v>
      </c>
      <c r="D519" s="42" t="n">
        <v>74270933</v>
      </c>
      <c r="E519" s="43" t="n">
        <v>0.980349814376943</v>
      </c>
      <c r="F519" s="43" t="n">
        <v>0.978890235805277</v>
      </c>
      <c r="G519" s="43" t="n">
        <v>0.978918374250591</v>
      </c>
      <c r="H519" s="43" t="n">
        <v>0.979385294046157</v>
      </c>
      <c r="I519" s="42" t="n">
        <v>1</v>
      </c>
      <c r="J519" s="42" t="n">
        <v>1</v>
      </c>
      <c r="K519" s="44" t="str">
        <f aca="false">IF(AND(I519=1,J519=1),"两者都跟住",IF(AND(I519=0,J519=1),"仅 PC-TBD 跟住",IF(AND(I519=1,J519=0),"仅 VIT-LPS 跟住","都没跟住")))</f>
        <v>两者都跟住</v>
      </c>
      <c r="L519" s="45" t="n">
        <f aca="false">F519-G519</f>
        <v>-2.81384453140188E-005</v>
      </c>
      <c r="M519" s="46" t="n">
        <v>0.1489173</v>
      </c>
      <c r="N519" s="46" t="n">
        <v>0.0901894</v>
      </c>
      <c r="O519" s="46" t="n">
        <v>0.2187971</v>
      </c>
      <c r="P519" s="46" t="n">
        <v>0.6112155</v>
      </c>
      <c r="Q519" s="46" t="n">
        <v>1.8356805</v>
      </c>
      <c r="R519" s="46" t="n">
        <v>1.6596189</v>
      </c>
      <c r="S519" s="47" t="n">
        <f aca="false">M519+N519+O519</f>
        <v>0.4579038</v>
      </c>
      <c r="T519" s="47" t="n">
        <f aca="false">M519+P519</f>
        <v>0.7601328</v>
      </c>
    </row>
    <row r="520" customFormat="false" ht="15" hidden="false" customHeight="false" outlineLevel="0" collapsed="false">
      <c r="A520" s="42" t="s">
        <v>44</v>
      </c>
      <c r="B520" s="42" t="n">
        <v>-10</v>
      </c>
      <c r="C520" s="42" t="n">
        <v>19</v>
      </c>
      <c r="D520" s="42" t="n">
        <v>74270934</v>
      </c>
      <c r="E520" s="43" t="n">
        <v>0.978218180077563</v>
      </c>
      <c r="F520" s="43" t="n">
        <v>0.983038341757935</v>
      </c>
      <c r="G520" s="43" t="n">
        <v>0.976879431276546</v>
      </c>
      <c r="H520" s="43" t="n">
        <v>0.980013429665408</v>
      </c>
      <c r="I520" s="42" t="n">
        <v>1</v>
      </c>
      <c r="J520" s="42" t="n">
        <v>1</v>
      </c>
      <c r="K520" s="44" t="str">
        <f aca="false">IF(AND(I520=1,J520=1),"两者都跟住",IF(AND(I520=0,J520=1),"仅 PC-TBD 跟住",IF(AND(I520=1,J520=0),"仅 VIT-LPS 跟住","都没跟住")))</f>
        <v>两者都跟住</v>
      </c>
      <c r="L520" s="45" t="n">
        <f aca="false">F520-G520</f>
        <v>0.00615891048138906</v>
      </c>
      <c r="M520" s="46" t="n">
        <v>0.2071844</v>
      </c>
      <c r="N520" s="46" t="n">
        <v>0.156163</v>
      </c>
      <c r="O520" s="46" t="n">
        <v>0.308072</v>
      </c>
      <c r="P520" s="46" t="n">
        <v>0.7692088</v>
      </c>
      <c r="Q520" s="46" t="n">
        <v>1.4388242</v>
      </c>
      <c r="R520" s="46" t="n">
        <v>1.5921581</v>
      </c>
      <c r="S520" s="47" t="n">
        <f aca="false">M520+N520+O520</f>
        <v>0.6714194</v>
      </c>
      <c r="T520" s="47" t="n">
        <f aca="false">M520+P520</f>
        <v>0.9763932</v>
      </c>
    </row>
    <row r="521" customFormat="false" ht="15" hidden="false" customHeight="false" outlineLevel="0" collapsed="false">
      <c r="A521" s="42" t="s">
        <v>44</v>
      </c>
      <c r="B521" s="42" t="n">
        <v>-10</v>
      </c>
      <c r="C521" s="42" t="n">
        <v>20</v>
      </c>
      <c r="D521" s="42" t="n">
        <v>74270935</v>
      </c>
      <c r="E521" s="43" t="n">
        <v>0.968263412015485</v>
      </c>
      <c r="F521" s="43" t="n">
        <v>0.982935408662439</v>
      </c>
      <c r="G521" s="43" t="n">
        <v>0.983852155822409</v>
      </c>
      <c r="H521" s="43" t="n">
        <v>0.985482531754835</v>
      </c>
      <c r="I521" s="42" t="n">
        <v>1</v>
      </c>
      <c r="J521" s="42" t="n">
        <v>1</v>
      </c>
      <c r="K521" s="44" t="str">
        <f aca="false">IF(AND(I521=1,J521=1),"两者都跟住",IF(AND(I521=0,J521=1),"仅 PC-TBD 跟住",IF(AND(I521=1,J521=0),"仅 VIT-LPS 跟住","都没跟住")))</f>
        <v>两者都跟住</v>
      </c>
      <c r="L521" s="45" t="n">
        <f aca="false">F521-G521</f>
        <v>-0.000916747159970033</v>
      </c>
      <c r="M521" s="46" t="n">
        <v>0.2298788</v>
      </c>
      <c r="N521" s="46" t="n">
        <v>0.1837752</v>
      </c>
      <c r="O521" s="46" t="n">
        <v>0.3547198</v>
      </c>
      <c r="P521" s="46" t="n">
        <v>0.5933564</v>
      </c>
      <c r="Q521" s="46" t="n">
        <v>1.3444782</v>
      </c>
      <c r="R521" s="46" t="n">
        <v>1.2816626</v>
      </c>
      <c r="S521" s="47" t="n">
        <f aca="false">M521+N521+O521</f>
        <v>0.7683738</v>
      </c>
      <c r="T521" s="47" t="n">
        <f aca="false">M521+P521</f>
        <v>0.8232352</v>
      </c>
    </row>
    <row r="522" customFormat="false" ht="15" hidden="false" customHeight="false" outlineLevel="0" collapsed="false">
      <c r="A522" s="42" t="s">
        <v>44</v>
      </c>
      <c r="B522" s="42" t="n">
        <v>-10</v>
      </c>
      <c r="C522" s="42" t="n">
        <v>21</v>
      </c>
      <c r="D522" s="42" t="n">
        <v>74270936</v>
      </c>
      <c r="E522" s="43" t="n">
        <v>0.96021054695066</v>
      </c>
      <c r="F522" s="43" t="n">
        <v>0.976930994355042</v>
      </c>
      <c r="G522" s="43" t="n">
        <v>0.965371064820022</v>
      </c>
      <c r="H522" s="43" t="n">
        <v>0.976474783490081</v>
      </c>
      <c r="I522" s="42" t="n">
        <v>1</v>
      </c>
      <c r="J522" s="42" t="n">
        <v>1</v>
      </c>
      <c r="K522" s="44" t="str">
        <f aca="false">IF(AND(I522=1,J522=1),"两者都跟住",IF(AND(I522=0,J522=1),"仅 PC-TBD 跟住",IF(AND(I522=1,J522=0),"仅 VIT-LPS 跟住","都没跟住")))</f>
        <v>两者都跟住</v>
      </c>
      <c r="L522" s="45" t="n">
        <f aca="false">F522-G522</f>
        <v>0.0115599295350201</v>
      </c>
      <c r="M522" s="46" t="n">
        <v>0.3398537</v>
      </c>
      <c r="N522" s="46" t="n">
        <v>0.1461857</v>
      </c>
      <c r="O522" s="46" t="n">
        <v>0.5974211</v>
      </c>
      <c r="P522" s="46" t="n">
        <v>0.8482078</v>
      </c>
      <c r="Q522" s="46" t="n">
        <v>1.9241179</v>
      </c>
      <c r="R522" s="46" t="n">
        <v>1.8133627</v>
      </c>
      <c r="S522" s="47" t="n">
        <f aca="false">M522+N522+O522</f>
        <v>1.0834605</v>
      </c>
      <c r="T522" s="47" t="n">
        <f aca="false">M522+P522</f>
        <v>1.1880615</v>
      </c>
    </row>
    <row r="523" customFormat="false" ht="15" hidden="false" customHeight="false" outlineLevel="0" collapsed="false">
      <c r="A523" s="42" t="s">
        <v>44</v>
      </c>
      <c r="B523" s="42" t="n">
        <v>-10</v>
      </c>
      <c r="C523" s="42" t="n">
        <v>22</v>
      </c>
      <c r="D523" s="42" t="n">
        <v>74270937</v>
      </c>
      <c r="E523" s="43" t="n">
        <v>0.979450590777417</v>
      </c>
      <c r="F523" s="43" t="n">
        <v>0.981326914699528</v>
      </c>
      <c r="G523" s="43" t="n">
        <v>0.98701989676997</v>
      </c>
      <c r="H523" s="43" t="n">
        <v>0.981795665391319</v>
      </c>
      <c r="I523" s="42" t="n">
        <v>1</v>
      </c>
      <c r="J523" s="42" t="n">
        <v>1</v>
      </c>
      <c r="K523" s="44" t="str">
        <f aca="false">IF(AND(I523=1,J523=1),"两者都跟住",IF(AND(I523=0,J523=1),"仅 PC-TBD 跟住",IF(AND(I523=1,J523=0),"仅 VIT-LPS 跟住","都没跟住")))</f>
        <v>两者都跟住</v>
      </c>
      <c r="L523" s="45" t="n">
        <f aca="false">F523-G523</f>
        <v>-0.005692982070442</v>
      </c>
      <c r="M523" s="46" t="n">
        <v>0.3338409</v>
      </c>
      <c r="N523" s="46" t="n">
        <v>0.1683431</v>
      </c>
      <c r="O523" s="46" t="n">
        <v>0.5097332</v>
      </c>
      <c r="P523" s="46" t="n">
        <v>0.9499262</v>
      </c>
      <c r="Q523" s="46" t="n">
        <v>2.4814165</v>
      </c>
      <c r="R523" s="46" t="n">
        <v>1.8228875</v>
      </c>
      <c r="S523" s="47" t="n">
        <f aca="false">M523+N523+O523</f>
        <v>1.0119172</v>
      </c>
      <c r="T523" s="47" t="n">
        <f aca="false">M523+P523</f>
        <v>1.2837671</v>
      </c>
    </row>
    <row r="524" customFormat="false" ht="15" hidden="false" customHeight="false" outlineLevel="0" collapsed="false">
      <c r="A524" s="42" t="s">
        <v>44</v>
      </c>
      <c r="B524" s="42" t="n">
        <v>-10</v>
      </c>
      <c r="C524" s="42" t="n">
        <v>23</v>
      </c>
      <c r="D524" s="42" t="n">
        <v>74270938</v>
      </c>
      <c r="E524" s="43" t="n">
        <v>0.96106514205262</v>
      </c>
      <c r="F524" s="43" t="n">
        <v>0.96989471092914</v>
      </c>
      <c r="G524" s="43" t="n">
        <v>0.979475143465212</v>
      </c>
      <c r="H524" s="43" t="n">
        <v>0.973534792185684</v>
      </c>
      <c r="I524" s="42" t="n">
        <v>1</v>
      </c>
      <c r="J524" s="42" t="n">
        <v>1</v>
      </c>
      <c r="K524" s="44" t="str">
        <f aca="false">IF(AND(I524=1,J524=1),"两者都跟住",IF(AND(I524=0,J524=1),"仅 PC-TBD 跟住",IF(AND(I524=1,J524=0),"仅 VIT-LPS 跟住","都没跟住")))</f>
        <v>两者都跟住</v>
      </c>
      <c r="L524" s="45" t="n">
        <f aca="false">F524-G524</f>
        <v>-0.00958043253607199</v>
      </c>
      <c r="M524" s="46" t="n">
        <v>0.3290361</v>
      </c>
      <c r="N524" s="46" t="n">
        <v>0.1292112</v>
      </c>
      <c r="O524" s="46" t="n">
        <v>0.3218037</v>
      </c>
      <c r="P524" s="46" t="n">
        <v>0.7966146</v>
      </c>
      <c r="Q524" s="46" t="n">
        <v>1.8992344</v>
      </c>
      <c r="R524" s="46" t="n">
        <v>2.2786091</v>
      </c>
      <c r="S524" s="47" t="n">
        <f aca="false">M524+N524+O524</f>
        <v>0.780051</v>
      </c>
      <c r="T524" s="47" t="n">
        <f aca="false">M524+P524</f>
        <v>1.1256507</v>
      </c>
    </row>
    <row r="525" customFormat="false" ht="15" hidden="false" customHeight="false" outlineLevel="0" collapsed="false">
      <c r="A525" s="42" t="s">
        <v>44</v>
      </c>
      <c r="B525" s="42" t="n">
        <v>-10</v>
      </c>
      <c r="C525" s="42" t="n">
        <v>24</v>
      </c>
      <c r="D525" s="42" t="n">
        <v>74270939</v>
      </c>
      <c r="E525" s="43" t="n">
        <v>0.973201739401617</v>
      </c>
      <c r="F525" s="43" t="n">
        <v>0.983896163471062</v>
      </c>
      <c r="G525" s="43" t="n">
        <v>0.983499297651609</v>
      </c>
      <c r="H525" s="43" t="n">
        <v>0.983383780288775</v>
      </c>
      <c r="I525" s="42" t="n">
        <v>1</v>
      </c>
      <c r="J525" s="42" t="n">
        <v>1</v>
      </c>
      <c r="K525" s="44" t="str">
        <f aca="false">IF(AND(I525=1,J525=1),"两者都跟住",IF(AND(I525=0,J525=1),"仅 PC-TBD 跟住",IF(AND(I525=1,J525=0),"仅 VIT-LPS 跟住","都没跟住")))</f>
        <v>两者都跟住</v>
      </c>
      <c r="L525" s="45" t="n">
        <f aca="false">F525-G525</f>
        <v>0.000396865819452974</v>
      </c>
      <c r="M525" s="46" t="n">
        <v>0.3444457</v>
      </c>
      <c r="N525" s="46" t="n">
        <v>0.1655974</v>
      </c>
      <c r="O525" s="46" t="n">
        <v>0.8376804</v>
      </c>
      <c r="P525" s="46" t="n">
        <v>0.7398944</v>
      </c>
      <c r="Q525" s="46" t="n">
        <v>2.0634282</v>
      </c>
      <c r="R525" s="46" t="n">
        <v>1.5263285</v>
      </c>
      <c r="S525" s="47" t="n">
        <f aca="false">M525+N525+O525</f>
        <v>1.3477235</v>
      </c>
      <c r="T525" s="47" t="n">
        <f aca="false">M525+P525</f>
        <v>1.0843401</v>
      </c>
    </row>
    <row r="526" customFormat="false" ht="15" hidden="false" customHeight="false" outlineLevel="0" collapsed="false">
      <c r="A526" s="42" t="s">
        <v>44</v>
      </c>
      <c r="B526" s="42" t="n">
        <v>-10</v>
      </c>
      <c r="C526" s="42" t="n">
        <v>25</v>
      </c>
      <c r="D526" s="42" t="n">
        <v>74270940</v>
      </c>
      <c r="E526" s="43" t="n">
        <v>0.98282964343463</v>
      </c>
      <c r="F526" s="43" t="n">
        <v>0.984646226979682</v>
      </c>
      <c r="G526" s="43" t="n">
        <v>0.977747901505343</v>
      </c>
      <c r="H526" s="43" t="n">
        <v>0.984410699723718</v>
      </c>
      <c r="I526" s="42" t="n">
        <v>1</v>
      </c>
      <c r="J526" s="42" t="n">
        <v>1</v>
      </c>
      <c r="K526" s="44" t="str">
        <f aca="false">IF(AND(I526=1,J526=1),"两者都跟住",IF(AND(I526=0,J526=1),"仅 PC-TBD 跟住",IF(AND(I526=1,J526=0),"仅 VIT-LPS 跟住","都没跟住")))</f>
        <v>两者都跟住</v>
      </c>
      <c r="L526" s="45" t="n">
        <f aca="false">F526-G526</f>
        <v>0.006898325474339</v>
      </c>
      <c r="M526" s="46" t="n">
        <v>0.3296359</v>
      </c>
      <c r="N526" s="46" t="n">
        <v>0.1211218</v>
      </c>
      <c r="O526" s="46" t="n">
        <v>0.4558455</v>
      </c>
      <c r="P526" s="46" t="n">
        <v>1.0495991</v>
      </c>
      <c r="Q526" s="46" t="n">
        <v>2.7535219</v>
      </c>
      <c r="R526" s="46" t="n">
        <v>2.1140192</v>
      </c>
      <c r="S526" s="47" t="n">
        <f aca="false">M526+N526+O526</f>
        <v>0.9066032</v>
      </c>
      <c r="T526" s="47" t="n">
        <f aca="false">M526+P526</f>
        <v>1.379235</v>
      </c>
    </row>
    <row r="527" customFormat="false" ht="15" hidden="false" customHeight="false" outlineLevel="0" collapsed="false">
      <c r="A527" s="42" t="s">
        <v>44</v>
      </c>
      <c r="B527" s="42" t="n">
        <v>-10</v>
      </c>
      <c r="C527" s="42" t="n">
        <v>26</v>
      </c>
      <c r="D527" s="42" t="n">
        <v>74270941</v>
      </c>
      <c r="E527" s="43" t="n">
        <v>0.957881735393543</v>
      </c>
      <c r="F527" s="43" t="n">
        <v>0.984209928687042</v>
      </c>
      <c r="G527" s="43" t="n">
        <v>0.986860529471301</v>
      </c>
      <c r="H527" s="43" t="n">
        <v>0.985558707444893</v>
      </c>
      <c r="I527" s="42" t="n">
        <v>1</v>
      </c>
      <c r="J527" s="42" t="n">
        <v>1</v>
      </c>
      <c r="K527" s="44" t="str">
        <f aca="false">IF(AND(I527=1,J527=1),"两者都跟住",IF(AND(I527=0,J527=1),"仅 PC-TBD 跟住",IF(AND(I527=1,J527=0),"仅 VIT-LPS 跟住","都没跟住")))</f>
        <v>两者都跟住</v>
      </c>
      <c r="L527" s="45" t="n">
        <f aca="false">F527-G527</f>
        <v>-0.00265060078425894</v>
      </c>
      <c r="M527" s="46" t="n">
        <v>0.3323406</v>
      </c>
      <c r="N527" s="46" t="n">
        <v>0.1374206</v>
      </c>
      <c r="O527" s="46" t="n">
        <v>0.4813098</v>
      </c>
      <c r="P527" s="46" t="n">
        <v>0.9366397</v>
      </c>
      <c r="Q527" s="46" t="n">
        <v>2.3459858</v>
      </c>
      <c r="R527" s="46" t="n">
        <v>2.0907398</v>
      </c>
      <c r="S527" s="47" t="n">
        <f aca="false">M527+N527+O527</f>
        <v>0.951071</v>
      </c>
      <c r="T527" s="47" t="n">
        <f aca="false">M527+P527</f>
        <v>1.2689803</v>
      </c>
    </row>
    <row r="528" customFormat="false" ht="15" hidden="false" customHeight="false" outlineLevel="0" collapsed="false">
      <c r="A528" s="42" t="s">
        <v>44</v>
      </c>
      <c r="B528" s="42" t="n">
        <v>-10</v>
      </c>
      <c r="C528" s="42" t="n">
        <v>27</v>
      </c>
      <c r="D528" s="42" t="n">
        <v>74270942</v>
      </c>
      <c r="E528" s="43" t="n">
        <v>0.956903791024133</v>
      </c>
      <c r="F528" s="43" t="n">
        <v>0.975241991443354</v>
      </c>
      <c r="G528" s="43" t="n">
        <v>0.975570100537128</v>
      </c>
      <c r="H528" s="43" t="n">
        <v>0.977735659743837</v>
      </c>
      <c r="I528" s="42" t="n">
        <v>1</v>
      </c>
      <c r="J528" s="42" t="n">
        <v>1</v>
      </c>
      <c r="K528" s="44" t="str">
        <f aca="false">IF(AND(I528=1,J528=1),"两者都跟住",IF(AND(I528=0,J528=1),"仅 PC-TBD 跟住",IF(AND(I528=1,J528=0),"仅 VIT-LPS 跟住","都没跟住")))</f>
        <v>两者都跟住</v>
      </c>
      <c r="L528" s="45" t="n">
        <f aca="false">F528-G528</f>
        <v>-0.000328109093774009</v>
      </c>
      <c r="M528" s="46" t="n">
        <v>0.1566947</v>
      </c>
      <c r="N528" s="46" t="n">
        <v>0.0836343</v>
      </c>
      <c r="O528" s="46" t="n">
        <v>0.137379</v>
      </c>
      <c r="P528" s="46" t="n">
        <v>0.3504132</v>
      </c>
      <c r="Q528" s="46" t="n">
        <v>1.8033238</v>
      </c>
      <c r="R528" s="46" t="n">
        <v>1.2777844</v>
      </c>
      <c r="S528" s="47" t="n">
        <f aca="false">M528+N528+O528</f>
        <v>0.377708</v>
      </c>
      <c r="T528" s="47" t="n">
        <f aca="false">M528+P528</f>
        <v>0.5071079</v>
      </c>
    </row>
    <row r="529" customFormat="false" ht="15" hidden="false" customHeight="false" outlineLevel="0" collapsed="false">
      <c r="A529" s="42" t="s">
        <v>44</v>
      </c>
      <c r="B529" s="42" t="n">
        <v>-10</v>
      </c>
      <c r="C529" s="42" t="n">
        <v>28</v>
      </c>
      <c r="D529" s="42" t="n">
        <v>74270943</v>
      </c>
      <c r="E529" s="43" t="n">
        <v>0.971841543671036</v>
      </c>
      <c r="F529" s="43" t="n">
        <v>0.976469585922472</v>
      </c>
      <c r="G529" s="43" t="n">
        <v>0.971090833225509</v>
      </c>
      <c r="H529" s="43" t="n">
        <v>0.974744573288158</v>
      </c>
      <c r="I529" s="42" t="n">
        <v>1</v>
      </c>
      <c r="J529" s="42" t="n">
        <v>1</v>
      </c>
      <c r="K529" s="44" t="str">
        <f aca="false">IF(AND(I529=1,J529=1),"两者都跟住",IF(AND(I529=0,J529=1),"仅 PC-TBD 跟住",IF(AND(I529=1,J529=0),"仅 VIT-LPS 跟住","都没跟住")))</f>
        <v>两者都跟住</v>
      </c>
      <c r="L529" s="45" t="n">
        <f aca="false">F529-G529</f>
        <v>0.00537875269696297</v>
      </c>
      <c r="M529" s="46" t="n">
        <v>0.2155557</v>
      </c>
      <c r="N529" s="46" t="n">
        <v>0.1080541</v>
      </c>
      <c r="O529" s="46" t="n">
        <v>0.2035628</v>
      </c>
      <c r="P529" s="46" t="n">
        <v>0.4108331</v>
      </c>
      <c r="Q529" s="46" t="n">
        <v>1.3042091</v>
      </c>
      <c r="R529" s="46" t="n">
        <v>1.4443638</v>
      </c>
      <c r="S529" s="47" t="n">
        <f aca="false">M529+N529+O529</f>
        <v>0.5271726</v>
      </c>
      <c r="T529" s="47" t="n">
        <f aca="false">M529+P529</f>
        <v>0.6263888</v>
      </c>
    </row>
    <row r="530" customFormat="false" ht="15" hidden="false" customHeight="false" outlineLevel="0" collapsed="false">
      <c r="A530" s="42" t="s">
        <v>44</v>
      </c>
      <c r="B530" s="42" t="n">
        <v>-10</v>
      </c>
      <c r="C530" s="42" t="n">
        <v>29</v>
      </c>
      <c r="D530" s="42" t="n">
        <v>74270944</v>
      </c>
      <c r="E530" s="43" t="n">
        <v>0.961334287326992</v>
      </c>
      <c r="F530" s="43" t="n">
        <v>0.976384353698522</v>
      </c>
      <c r="G530" s="43" t="n">
        <v>0.972708501367343</v>
      </c>
      <c r="H530" s="43" t="n">
        <v>0.975283328954207</v>
      </c>
      <c r="I530" s="42" t="n">
        <v>1</v>
      </c>
      <c r="J530" s="42" t="n">
        <v>1</v>
      </c>
      <c r="K530" s="44" t="str">
        <f aca="false">IF(AND(I530=1,J530=1),"两者都跟住",IF(AND(I530=0,J530=1),"仅 PC-TBD 跟住",IF(AND(I530=1,J530=0),"仅 VIT-LPS 跟住","都没跟住")))</f>
        <v>两者都跟住</v>
      </c>
      <c r="L530" s="45" t="n">
        <f aca="false">F530-G530</f>
        <v>0.00367585233117895</v>
      </c>
      <c r="M530" s="46" t="n">
        <v>0.209814</v>
      </c>
      <c r="N530" s="46" t="n">
        <v>0.1311704</v>
      </c>
      <c r="O530" s="46" t="n">
        <v>0.3693535</v>
      </c>
      <c r="P530" s="46" t="n">
        <v>0.4772128</v>
      </c>
      <c r="Q530" s="46" t="n">
        <v>1.4936326</v>
      </c>
      <c r="R530" s="46" t="n">
        <v>1.3791774</v>
      </c>
      <c r="S530" s="47" t="n">
        <f aca="false">M530+N530+O530</f>
        <v>0.7103379</v>
      </c>
      <c r="T530" s="47" t="n">
        <f aca="false">M530+P530</f>
        <v>0.6870268</v>
      </c>
    </row>
    <row r="531" customFormat="false" ht="15" hidden="false" customHeight="false" outlineLevel="0" collapsed="false">
      <c r="A531" s="42" t="s">
        <v>44</v>
      </c>
      <c r="B531" s="42" t="n">
        <v>-10</v>
      </c>
      <c r="C531" s="42" t="n">
        <v>30</v>
      </c>
      <c r="D531" s="42" t="n">
        <v>74270945</v>
      </c>
      <c r="E531" s="43" t="n">
        <v>0.974273981288682</v>
      </c>
      <c r="F531" s="43" t="n">
        <v>0.986352049851785</v>
      </c>
      <c r="G531" s="43" t="n">
        <v>0.984999687154093</v>
      </c>
      <c r="H531" s="43" t="n">
        <v>0.986106502445276</v>
      </c>
      <c r="I531" s="42" t="n">
        <v>1</v>
      </c>
      <c r="J531" s="42" t="n">
        <v>1</v>
      </c>
      <c r="K531" s="44" t="str">
        <f aca="false">IF(AND(I531=1,J531=1),"两者都跟住",IF(AND(I531=0,J531=1),"仅 PC-TBD 跟住",IF(AND(I531=1,J531=0),"仅 VIT-LPS 跟住","都没跟住")))</f>
        <v>两者都跟住</v>
      </c>
      <c r="L531" s="45" t="n">
        <f aca="false">F531-G531</f>
        <v>0.00135236269769201</v>
      </c>
      <c r="M531" s="46" t="n">
        <v>0.1653432</v>
      </c>
      <c r="N531" s="46" t="n">
        <v>0.0879068</v>
      </c>
      <c r="O531" s="46" t="n">
        <v>0.14963</v>
      </c>
      <c r="P531" s="46" t="n">
        <v>0.4539471</v>
      </c>
      <c r="Q531" s="46" t="n">
        <v>1.7857149</v>
      </c>
      <c r="R531" s="46" t="n">
        <v>1.4692731</v>
      </c>
      <c r="S531" s="47" t="n">
        <f aca="false">M531+N531+O531</f>
        <v>0.40288</v>
      </c>
      <c r="T531" s="47" t="n">
        <f aca="false">M531+P531</f>
        <v>0.6192903</v>
      </c>
    </row>
    <row r="532" customFormat="false" ht="15" hidden="false" customHeight="false" outlineLevel="0" collapsed="false">
      <c r="A532" s="42" t="s">
        <v>44</v>
      </c>
      <c r="B532" s="42" t="n">
        <v>-10</v>
      </c>
      <c r="C532" s="42" t="n">
        <v>31</v>
      </c>
      <c r="D532" s="42" t="n">
        <v>74270946</v>
      </c>
      <c r="E532" s="43" t="n">
        <v>0.966449706199412</v>
      </c>
      <c r="F532" s="43" t="n">
        <v>0.976037694699919</v>
      </c>
      <c r="G532" s="43" t="n">
        <v>0.967631322339129</v>
      </c>
      <c r="H532" s="43" t="n">
        <v>0.977092152275251</v>
      </c>
      <c r="I532" s="42" t="n">
        <v>1</v>
      </c>
      <c r="J532" s="42" t="n">
        <v>1</v>
      </c>
      <c r="K532" s="44" t="str">
        <f aca="false">IF(AND(I532=1,J532=1),"两者都跟住",IF(AND(I532=0,J532=1),"仅 PC-TBD 跟住",IF(AND(I532=1,J532=0),"仅 VIT-LPS 跟住","都没跟住")))</f>
        <v>两者都跟住</v>
      </c>
      <c r="L532" s="45" t="n">
        <f aca="false">F532-G532</f>
        <v>0.00840637236079</v>
      </c>
      <c r="M532" s="46" t="n">
        <v>0.2379635</v>
      </c>
      <c r="N532" s="46" t="n">
        <v>0.1310884</v>
      </c>
      <c r="O532" s="46" t="n">
        <v>0.207514</v>
      </c>
      <c r="P532" s="46" t="n">
        <v>0.7514183</v>
      </c>
      <c r="Q532" s="46" t="n">
        <v>2.2396738</v>
      </c>
      <c r="R532" s="46" t="n">
        <v>2.0185822</v>
      </c>
      <c r="S532" s="47" t="n">
        <f aca="false">M532+N532+O532</f>
        <v>0.5765659</v>
      </c>
      <c r="T532" s="47" t="n">
        <f aca="false">M532+P532</f>
        <v>0.9893818</v>
      </c>
    </row>
    <row r="533" customFormat="false" ht="15" hidden="false" customHeight="false" outlineLevel="0" collapsed="false">
      <c r="A533" s="42" t="s">
        <v>44</v>
      </c>
      <c r="B533" s="42" t="n">
        <v>-10</v>
      </c>
      <c r="C533" s="42" t="n">
        <v>32</v>
      </c>
      <c r="D533" s="42" t="n">
        <v>74270947</v>
      </c>
      <c r="E533" s="43" t="n">
        <v>0.974927067863331</v>
      </c>
      <c r="F533" s="43" t="n">
        <v>0.983058616498034</v>
      </c>
      <c r="G533" s="43" t="n">
        <v>0.983672911889958</v>
      </c>
      <c r="H533" s="43" t="n">
        <v>0.984843850423467</v>
      </c>
      <c r="I533" s="42" t="n">
        <v>1</v>
      </c>
      <c r="J533" s="42" t="n">
        <v>1</v>
      </c>
      <c r="K533" s="44" t="str">
        <f aca="false">IF(AND(I533=1,J533=1),"两者都跟住",IF(AND(I533=0,J533=1),"仅 PC-TBD 跟住",IF(AND(I533=1,J533=0),"仅 VIT-LPS 跟住","都没跟住")))</f>
        <v>两者都跟住</v>
      </c>
      <c r="L533" s="45" t="n">
        <f aca="false">F533-G533</f>
        <v>-0.000614295391923925</v>
      </c>
      <c r="M533" s="46" t="n">
        <v>0.252829</v>
      </c>
      <c r="N533" s="46" t="n">
        <v>0.1324872</v>
      </c>
      <c r="O533" s="46" t="n">
        <v>0.2255939</v>
      </c>
      <c r="P533" s="46" t="n">
        <v>0.8076399</v>
      </c>
      <c r="Q533" s="46" t="n">
        <v>2.0853998</v>
      </c>
      <c r="R533" s="46" t="n">
        <v>1.8797877</v>
      </c>
      <c r="S533" s="47" t="n">
        <f aca="false">M533+N533+O533</f>
        <v>0.6109101</v>
      </c>
      <c r="T533" s="47" t="n">
        <f aca="false">M533+P533</f>
        <v>1.0604689</v>
      </c>
    </row>
    <row r="534" customFormat="false" ht="15" hidden="false" customHeight="false" outlineLevel="0" collapsed="false">
      <c r="A534" s="42" t="s">
        <v>44</v>
      </c>
      <c r="B534" s="42" t="n">
        <v>-10</v>
      </c>
      <c r="C534" s="42" t="n">
        <v>33</v>
      </c>
      <c r="D534" s="42" t="n">
        <v>74270948</v>
      </c>
      <c r="E534" s="43" t="n">
        <v>0.974031122416368</v>
      </c>
      <c r="F534" s="43" t="n">
        <v>0.984382104429984</v>
      </c>
      <c r="G534" s="43" t="n">
        <v>0.98375805288385</v>
      </c>
      <c r="H534" s="43" t="n">
        <v>0.983876978694998</v>
      </c>
      <c r="I534" s="42" t="n">
        <v>1</v>
      </c>
      <c r="J534" s="42" t="n">
        <v>1</v>
      </c>
      <c r="K534" s="44" t="str">
        <f aca="false">IF(AND(I534=1,J534=1),"两者都跟住",IF(AND(I534=0,J534=1),"仅 PC-TBD 跟住",IF(AND(I534=1,J534=0),"仅 VIT-LPS 跟住","都没跟住")))</f>
        <v>两者都跟住</v>
      </c>
      <c r="L534" s="45" t="n">
        <f aca="false">F534-G534</f>
        <v>0.000624051546133986</v>
      </c>
      <c r="M534" s="46" t="n">
        <v>0.2542411</v>
      </c>
      <c r="N534" s="46" t="n">
        <v>0.1165287</v>
      </c>
      <c r="O534" s="46" t="n">
        <v>0.1931618</v>
      </c>
      <c r="P534" s="46" t="n">
        <v>0.7701926</v>
      </c>
      <c r="Q534" s="46" t="n">
        <v>2.2901712</v>
      </c>
      <c r="R534" s="46" t="n">
        <v>1.998383</v>
      </c>
      <c r="S534" s="47" t="n">
        <f aca="false">M534+N534+O534</f>
        <v>0.5639316</v>
      </c>
      <c r="T534" s="47" t="n">
        <f aca="false">M534+P534</f>
        <v>1.0244337</v>
      </c>
    </row>
    <row r="535" customFormat="false" ht="15" hidden="false" customHeight="false" outlineLevel="0" collapsed="false">
      <c r="A535" s="42" t="s">
        <v>44</v>
      </c>
      <c r="B535" s="42" t="n">
        <v>-10</v>
      </c>
      <c r="C535" s="42" t="n">
        <v>34</v>
      </c>
      <c r="D535" s="42" t="n">
        <v>74270949</v>
      </c>
      <c r="E535" s="43" t="n">
        <v>0.953881707032245</v>
      </c>
      <c r="F535" s="43" t="n">
        <v>0.986616867030528</v>
      </c>
      <c r="G535" s="43" t="n">
        <v>0.980898363313658</v>
      </c>
      <c r="H535" s="43" t="n">
        <v>0.983314764342418</v>
      </c>
      <c r="I535" s="42" t="n">
        <v>1</v>
      </c>
      <c r="J535" s="42" t="n">
        <v>1</v>
      </c>
      <c r="K535" s="44" t="str">
        <f aca="false">IF(AND(I535=1,J535=1),"两者都跟住",IF(AND(I535=0,J535=1),"仅 PC-TBD 跟住",IF(AND(I535=1,J535=0),"仅 VIT-LPS 跟住","都没跟住")))</f>
        <v>两者都跟住</v>
      </c>
      <c r="L535" s="45" t="n">
        <f aca="false">F535-G535</f>
        <v>0.00571850371686999</v>
      </c>
      <c r="M535" s="46" t="n">
        <v>0.2658112</v>
      </c>
      <c r="N535" s="46" t="n">
        <v>0.1219917</v>
      </c>
      <c r="O535" s="46" t="n">
        <v>0.1926682</v>
      </c>
      <c r="P535" s="46" t="n">
        <v>0.7588422</v>
      </c>
      <c r="Q535" s="46" t="n">
        <v>2.2540782</v>
      </c>
      <c r="R535" s="46" t="n">
        <v>2.1408505</v>
      </c>
      <c r="S535" s="47" t="n">
        <f aca="false">M535+N535+O535</f>
        <v>0.5804711</v>
      </c>
      <c r="T535" s="47" t="n">
        <f aca="false">M535+P535</f>
        <v>1.0246534</v>
      </c>
    </row>
    <row r="536" customFormat="false" ht="15" hidden="false" customHeight="false" outlineLevel="0" collapsed="false">
      <c r="A536" s="42" t="s">
        <v>44</v>
      </c>
      <c r="B536" s="42" t="n">
        <v>-10</v>
      </c>
      <c r="C536" s="42" t="n">
        <v>35</v>
      </c>
      <c r="D536" s="42" t="n">
        <v>74270950</v>
      </c>
      <c r="E536" s="43" t="n">
        <v>0.971504528958958</v>
      </c>
      <c r="F536" s="43" t="n">
        <v>0.972387076671029</v>
      </c>
      <c r="G536" s="43" t="n">
        <v>0.9712273713599</v>
      </c>
      <c r="H536" s="43" t="n">
        <v>0.97474069854852</v>
      </c>
      <c r="I536" s="42" t="n">
        <v>1</v>
      </c>
      <c r="J536" s="42" t="n">
        <v>1</v>
      </c>
      <c r="K536" s="44" t="str">
        <f aca="false">IF(AND(I536=1,J536=1),"两者都跟住",IF(AND(I536=0,J536=1),"仅 PC-TBD 跟住",IF(AND(I536=1,J536=0),"仅 VIT-LPS 跟住","都没跟住")))</f>
        <v>两者都跟住</v>
      </c>
      <c r="L536" s="45" t="n">
        <f aca="false">F536-G536</f>
        <v>0.00115970531112897</v>
      </c>
      <c r="M536" s="46" t="n">
        <v>0.2507205</v>
      </c>
      <c r="N536" s="46" t="n">
        <v>0.1511655</v>
      </c>
      <c r="O536" s="46" t="n">
        <v>0.4262109</v>
      </c>
      <c r="P536" s="46" t="n">
        <v>0.6612485</v>
      </c>
      <c r="Q536" s="46" t="n">
        <v>2.2305717</v>
      </c>
      <c r="R536" s="46" t="n">
        <v>2.2198431</v>
      </c>
      <c r="S536" s="47" t="n">
        <f aca="false">M536+N536+O536</f>
        <v>0.8280969</v>
      </c>
      <c r="T536" s="47" t="n">
        <f aca="false">M536+P536</f>
        <v>0.911969</v>
      </c>
    </row>
    <row r="537" customFormat="false" ht="15" hidden="false" customHeight="false" outlineLevel="0" collapsed="false">
      <c r="A537" s="42" t="s">
        <v>44</v>
      </c>
      <c r="B537" s="42" t="n">
        <v>-10</v>
      </c>
      <c r="C537" s="42" t="n">
        <v>36</v>
      </c>
      <c r="D537" s="42" t="n">
        <v>74270951</v>
      </c>
      <c r="E537" s="43" t="n">
        <v>0.97037815041157</v>
      </c>
      <c r="F537" s="43" t="n">
        <v>0.974659363535701</v>
      </c>
      <c r="G537" s="43" t="n">
        <v>0.976902853963472</v>
      </c>
      <c r="H537" s="43" t="n">
        <v>0.974879432051695</v>
      </c>
      <c r="I537" s="42" t="n">
        <v>1</v>
      </c>
      <c r="J537" s="42" t="n">
        <v>1</v>
      </c>
      <c r="K537" s="44" t="str">
        <f aca="false">IF(AND(I537=1,J537=1),"两者都跟住",IF(AND(I537=0,J537=1),"仅 PC-TBD 跟住",IF(AND(I537=1,J537=0),"仅 VIT-LPS 跟住","都没跟住")))</f>
        <v>两者都跟住</v>
      </c>
      <c r="L537" s="45" t="n">
        <f aca="false">F537-G537</f>
        <v>-0.00224349042777094</v>
      </c>
      <c r="M537" s="46" t="n">
        <v>0.2554633</v>
      </c>
      <c r="N537" s="46" t="n">
        <v>0.1205282</v>
      </c>
      <c r="O537" s="46" t="n">
        <v>0.2456197</v>
      </c>
      <c r="P537" s="46" t="n">
        <v>0.7543948</v>
      </c>
      <c r="Q537" s="46" t="n">
        <v>2.3792686</v>
      </c>
      <c r="R537" s="46" t="n">
        <v>2.409471</v>
      </c>
      <c r="S537" s="47" t="n">
        <f aca="false">M537+N537+O537</f>
        <v>0.6216112</v>
      </c>
      <c r="T537" s="47" t="n">
        <f aca="false">M537+P537</f>
        <v>1.0098581</v>
      </c>
    </row>
    <row r="538" customFormat="false" ht="15" hidden="false" customHeight="false" outlineLevel="0" collapsed="false">
      <c r="A538" s="42" t="s">
        <v>44</v>
      </c>
      <c r="B538" s="42" t="n">
        <v>-10</v>
      </c>
      <c r="C538" s="42" t="n">
        <v>37</v>
      </c>
      <c r="D538" s="42" t="n">
        <v>74270952</v>
      </c>
      <c r="E538" s="43" t="n">
        <v>0.982501706234631</v>
      </c>
      <c r="F538" s="43" t="n">
        <v>0.98407517264482</v>
      </c>
      <c r="G538" s="43" t="n">
        <v>0.983595559885922</v>
      </c>
      <c r="H538" s="43" t="n">
        <v>0.987901893095966</v>
      </c>
      <c r="I538" s="42" t="n">
        <v>1</v>
      </c>
      <c r="J538" s="42" t="n">
        <v>1</v>
      </c>
      <c r="K538" s="44" t="str">
        <f aca="false">IF(AND(I538=1,J538=1),"两者都跟住",IF(AND(I538=0,J538=1),"仅 PC-TBD 跟住",IF(AND(I538=1,J538=0),"仅 VIT-LPS 跟住","都没跟住")))</f>
        <v>两者都跟住</v>
      </c>
      <c r="L538" s="45" t="n">
        <f aca="false">F538-G538</f>
        <v>0.000479612758898074</v>
      </c>
      <c r="M538" s="46" t="n">
        <v>0.1492141</v>
      </c>
      <c r="N538" s="46" t="n">
        <v>0.1070272</v>
      </c>
      <c r="O538" s="46" t="n">
        <v>0.1649847</v>
      </c>
      <c r="P538" s="46" t="n">
        <v>0.4511754</v>
      </c>
      <c r="Q538" s="46" t="n">
        <v>1.2056482</v>
      </c>
      <c r="R538" s="46" t="n">
        <v>1.2673315</v>
      </c>
      <c r="S538" s="47" t="n">
        <f aca="false">M538+N538+O538</f>
        <v>0.421226</v>
      </c>
      <c r="T538" s="47" t="n">
        <f aca="false">M538+P538</f>
        <v>0.6003895</v>
      </c>
    </row>
    <row r="539" customFormat="false" ht="15" hidden="false" customHeight="false" outlineLevel="0" collapsed="false">
      <c r="A539" s="42" t="s">
        <v>44</v>
      </c>
      <c r="B539" s="42" t="n">
        <v>-10</v>
      </c>
      <c r="C539" s="42" t="n">
        <v>38</v>
      </c>
      <c r="D539" s="42" t="n">
        <v>74270953</v>
      </c>
      <c r="E539" s="43" t="n">
        <v>0.96751151415717</v>
      </c>
      <c r="F539" s="43" t="n">
        <v>0.97996743996165</v>
      </c>
      <c r="G539" s="43" t="n">
        <v>0.978944268825846</v>
      </c>
      <c r="H539" s="43" t="n">
        <v>0.975899898825008</v>
      </c>
      <c r="I539" s="42" t="n">
        <v>1</v>
      </c>
      <c r="J539" s="42" t="n">
        <v>1</v>
      </c>
      <c r="K539" s="44" t="str">
        <f aca="false">IF(AND(I539=1,J539=1),"两者都跟住",IF(AND(I539=0,J539=1),"仅 PC-TBD 跟住",IF(AND(I539=1,J539=0),"仅 VIT-LPS 跟住","都没跟住")))</f>
        <v>两者都跟住</v>
      </c>
      <c r="L539" s="45" t="n">
        <f aca="false">F539-G539</f>
        <v>0.00102317113580408</v>
      </c>
      <c r="M539" s="46" t="n">
        <v>0.1396339</v>
      </c>
      <c r="N539" s="46" t="n">
        <v>0.1261309</v>
      </c>
      <c r="O539" s="46" t="n">
        <v>0.1423494</v>
      </c>
      <c r="P539" s="46" t="n">
        <v>0.4008771</v>
      </c>
      <c r="Q539" s="46" t="n">
        <v>1.6305205</v>
      </c>
      <c r="R539" s="46" t="n">
        <v>1.4866382</v>
      </c>
      <c r="S539" s="47" t="n">
        <f aca="false">M539+N539+O539</f>
        <v>0.4081142</v>
      </c>
      <c r="T539" s="47" t="n">
        <f aca="false">M539+P539</f>
        <v>0.540511</v>
      </c>
    </row>
    <row r="540" customFormat="false" ht="15" hidden="false" customHeight="false" outlineLevel="0" collapsed="false">
      <c r="A540" s="42" t="s">
        <v>44</v>
      </c>
      <c r="B540" s="42" t="n">
        <v>-10</v>
      </c>
      <c r="C540" s="42" t="n">
        <v>39</v>
      </c>
      <c r="D540" s="42" t="n">
        <v>74270954</v>
      </c>
      <c r="E540" s="43" t="n">
        <v>0.962051069128799</v>
      </c>
      <c r="F540" s="43" t="n">
        <v>0.979981954011805</v>
      </c>
      <c r="G540" s="43" t="n">
        <v>0.970685802721289</v>
      </c>
      <c r="H540" s="43" t="n">
        <v>0.981294271620933</v>
      </c>
      <c r="I540" s="42" t="n">
        <v>1</v>
      </c>
      <c r="J540" s="42" t="n">
        <v>1</v>
      </c>
      <c r="K540" s="44" t="str">
        <f aca="false">IF(AND(I540=1,J540=1),"两者都跟住",IF(AND(I540=0,J540=1),"仅 PC-TBD 跟住",IF(AND(I540=1,J540=0),"仅 VIT-LPS 跟住","都没跟住")))</f>
        <v>两者都跟住</v>
      </c>
      <c r="L540" s="45" t="n">
        <f aca="false">F540-G540</f>
        <v>0.00929615129051598</v>
      </c>
      <c r="M540" s="46" t="n">
        <v>0.1328516</v>
      </c>
      <c r="N540" s="46" t="n">
        <v>0.0720025</v>
      </c>
      <c r="O540" s="46" t="n">
        <v>0.1611244</v>
      </c>
      <c r="P540" s="46" t="n">
        <v>0.4531139</v>
      </c>
      <c r="Q540" s="46" t="n">
        <v>1.5107253</v>
      </c>
      <c r="R540" s="46" t="n">
        <v>1.3921381</v>
      </c>
      <c r="S540" s="47" t="n">
        <f aca="false">M540+N540+O540</f>
        <v>0.3659785</v>
      </c>
      <c r="T540" s="47" t="n">
        <f aca="false">M540+P540</f>
        <v>0.5859655</v>
      </c>
    </row>
    <row r="541" customFormat="false" ht="15" hidden="false" customHeight="false" outlineLevel="0" collapsed="false">
      <c r="A541" s="42" t="s">
        <v>44</v>
      </c>
      <c r="B541" s="42" t="n">
        <v>-10</v>
      </c>
      <c r="C541" s="42" t="n">
        <v>40</v>
      </c>
      <c r="D541" s="42" t="n">
        <v>74270955</v>
      </c>
      <c r="E541" s="43" t="n">
        <v>0.969491071816489</v>
      </c>
      <c r="F541" s="43" t="n">
        <v>0.978357418914548</v>
      </c>
      <c r="G541" s="43" t="n">
        <v>0.980217518045131</v>
      </c>
      <c r="H541" s="43" t="n">
        <v>0.982082992150933</v>
      </c>
      <c r="I541" s="42" t="n">
        <v>1</v>
      </c>
      <c r="J541" s="42" t="n">
        <v>1</v>
      </c>
      <c r="K541" s="44" t="str">
        <f aca="false">IF(AND(I541=1,J541=1),"两者都跟住",IF(AND(I541=0,J541=1),"仅 PC-TBD 跟住",IF(AND(I541=1,J541=0),"仅 VIT-LPS 跟住","都没跟住")))</f>
        <v>两者都跟住</v>
      </c>
      <c r="L541" s="45" t="n">
        <f aca="false">F541-G541</f>
        <v>-0.00186009913058305</v>
      </c>
      <c r="M541" s="46" t="n">
        <v>0.1483421</v>
      </c>
      <c r="N541" s="46" t="n">
        <v>0.093509</v>
      </c>
      <c r="O541" s="46" t="n">
        <v>0.1085585</v>
      </c>
      <c r="P541" s="46" t="n">
        <v>0.3518934</v>
      </c>
      <c r="Q541" s="46" t="n">
        <v>1.3199308</v>
      </c>
      <c r="R541" s="46" t="n">
        <v>1.0346703</v>
      </c>
      <c r="S541" s="47" t="n">
        <f aca="false">M541+N541+O541</f>
        <v>0.3504096</v>
      </c>
      <c r="T541" s="47" t="n">
        <f aca="false">M541+P541</f>
        <v>0.5002355</v>
      </c>
    </row>
    <row r="542" customFormat="false" ht="15" hidden="false" customHeight="false" outlineLevel="0" collapsed="false">
      <c r="A542" s="42" t="s">
        <v>44</v>
      </c>
      <c r="B542" s="42" t="n">
        <v>-10</v>
      </c>
      <c r="C542" s="42" t="n">
        <v>41</v>
      </c>
      <c r="D542" s="42" t="n">
        <v>74270956</v>
      </c>
      <c r="E542" s="43" t="n">
        <v>0.977902457365795</v>
      </c>
      <c r="F542" s="43" t="n">
        <v>0.975831777420348</v>
      </c>
      <c r="G542" s="43" t="n">
        <v>0.978160108737713</v>
      </c>
      <c r="H542" s="43" t="n">
        <v>0.974921904820452</v>
      </c>
      <c r="I542" s="42" t="n">
        <v>1</v>
      </c>
      <c r="J542" s="42" t="n">
        <v>1</v>
      </c>
      <c r="K542" s="44" t="str">
        <f aca="false">IF(AND(I542=1,J542=1),"两者都跟住",IF(AND(I542=0,J542=1),"仅 PC-TBD 跟住",IF(AND(I542=1,J542=0),"仅 VIT-LPS 跟住","都没跟住")))</f>
        <v>两者都跟住</v>
      </c>
      <c r="L542" s="45" t="n">
        <f aca="false">F542-G542</f>
        <v>-0.00232833131736498</v>
      </c>
      <c r="M542" s="46" t="n">
        <v>0.260197</v>
      </c>
      <c r="N542" s="46" t="n">
        <v>0.1338996</v>
      </c>
      <c r="O542" s="46" t="n">
        <v>0.2463293</v>
      </c>
      <c r="P542" s="46" t="n">
        <v>0.7150549</v>
      </c>
      <c r="Q542" s="46" t="n">
        <v>2.2739554</v>
      </c>
      <c r="R542" s="46" t="n">
        <v>2.2031637</v>
      </c>
      <c r="S542" s="47" t="n">
        <f aca="false">M542+N542+O542</f>
        <v>0.6404259</v>
      </c>
      <c r="T542" s="47" t="n">
        <f aca="false">M542+P542</f>
        <v>0.9752519</v>
      </c>
    </row>
    <row r="543" customFormat="false" ht="15" hidden="false" customHeight="false" outlineLevel="0" collapsed="false">
      <c r="A543" s="42" t="s">
        <v>44</v>
      </c>
      <c r="B543" s="42" t="n">
        <v>-10</v>
      </c>
      <c r="C543" s="42" t="n">
        <v>42</v>
      </c>
      <c r="D543" s="42" t="n">
        <v>74270957</v>
      </c>
      <c r="E543" s="43" t="n">
        <v>0.963792138114244</v>
      </c>
      <c r="F543" s="43" t="n">
        <v>0.981409753165657</v>
      </c>
      <c r="G543" s="43" t="n">
        <v>0.969985912109985</v>
      </c>
      <c r="H543" s="43" t="n">
        <v>0.979343456664718</v>
      </c>
      <c r="I543" s="42" t="n">
        <v>1</v>
      </c>
      <c r="J543" s="42" t="n">
        <v>1</v>
      </c>
      <c r="K543" s="44" t="str">
        <f aca="false">IF(AND(I543=1,J543=1),"两者都跟住",IF(AND(I543=0,J543=1),"仅 PC-TBD 跟住",IF(AND(I543=1,J543=0),"仅 VIT-LPS 跟住","都没跟住")))</f>
        <v>两者都跟住</v>
      </c>
      <c r="L543" s="45" t="n">
        <f aca="false">F543-G543</f>
        <v>0.0114238410556721</v>
      </c>
      <c r="M543" s="46" t="n">
        <v>0.2533592</v>
      </c>
      <c r="N543" s="46" t="n">
        <v>0.1583239</v>
      </c>
      <c r="O543" s="46" t="n">
        <v>0.2234454</v>
      </c>
      <c r="P543" s="46" t="n">
        <v>0.6765978</v>
      </c>
      <c r="Q543" s="46" t="n">
        <v>2.1584463</v>
      </c>
      <c r="R543" s="46" t="n">
        <v>1.951704</v>
      </c>
      <c r="S543" s="47" t="n">
        <f aca="false">M543+N543+O543</f>
        <v>0.6351285</v>
      </c>
      <c r="T543" s="47" t="n">
        <f aca="false">M543+P543</f>
        <v>0.929957</v>
      </c>
    </row>
    <row r="544" customFormat="false" ht="15" hidden="false" customHeight="false" outlineLevel="0" collapsed="false">
      <c r="A544" s="42" t="s">
        <v>44</v>
      </c>
      <c r="B544" s="42" t="n">
        <v>-10</v>
      </c>
      <c r="C544" s="42" t="n">
        <v>43</v>
      </c>
      <c r="D544" s="42" t="n">
        <v>74270958</v>
      </c>
      <c r="E544" s="43" t="n">
        <v>0.975192844533587</v>
      </c>
      <c r="F544" s="43" t="n">
        <v>0.975224243475051</v>
      </c>
      <c r="G544" s="43" t="n">
        <v>0.965699949948695</v>
      </c>
      <c r="H544" s="43" t="n">
        <v>0.975384140512518</v>
      </c>
      <c r="I544" s="42" t="n">
        <v>1</v>
      </c>
      <c r="J544" s="42" t="n">
        <v>1</v>
      </c>
      <c r="K544" s="44" t="str">
        <f aca="false">IF(AND(I544=1,J544=1),"两者都跟住",IF(AND(I544=0,J544=1),"仅 PC-TBD 跟住",IF(AND(I544=1,J544=0),"仅 VIT-LPS 跟住","都没跟住")))</f>
        <v>两者都跟住</v>
      </c>
      <c r="L544" s="45" t="n">
        <f aca="false">F544-G544</f>
        <v>0.00952429352635598</v>
      </c>
      <c r="M544" s="46" t="n">
        <v>0.3099472</v>
      </c>
      <c r="N544" s="46" t="n">
        <v>0.1468813</v>
      </c>
      <c r="O544" s="46" t="n">
        <v>0.2426777</v>
      </c>
      <c r="P544" s="46" t="n">
        <v>0.6534169</v>
      </c>
      <c r="Q544" s="46" t="n">
        <v>2.2679172</v>
      </c>
      <c r="R544" s="46" t="n">
        <v>1.6896486</v>
      </c>
      <c r="S544" s="47" t="n">
        <f aca="false">M544+N544+O544</f>
        <v>0.6995062</v>
      </c>
      <c r="T544" s="47" t="n">
        <f aca="false">M544+P544</f>
        <v>0.9633641</v>
      </c>
    </row>
    <row r="545" customFormat="false" ht="15" hidden="false" customHeight="false" outlineLevel="0" collapsed="false">
      <c r="A545" s="42" t="s">
        <v>44</v>
      </c>
      <c r="B545" s="42" t="n">
        <v>-10</v>
      </c>
      <c r="C545" s="42" t="n">
        <v>44</v>
      </c>
      <c r="D545" s="42" t="n">
        <v>74270959</v>
      </c>
      <c r="E545" s="43" t="n">
        <v>0.955541104698586</v>
      </c>
      <c r="F545" s="43" t="n">
        <v>0.980588635022875</v>
      </c>
      <c r="G545" s="43" t="n">
        <v>0.980391759714167</v>
      </c>
      <c r="H545" s="43" t="n">
        <v>0.982543887577244</v>
      </c>
      <c r="I545" s="42" t="n">
        <v>1</v>
      </c>
      <c r="J545" s="42" t="n">
        <v>1</v>
      </c>
      <c r="K545" s="44" t="str">
        <f aca="false">IF(AND(I545=1,J545=1),"两者都跟住",IF(AND(I545=0,J545=1),"仅 PC-TBD 跟住",IF(AND(I545=1,J545=0),"仅 VIT-LPS 跟住","都没跟住")))</f>
        <v>两者都跟住</v>
      </c>
      <c r="L545" s="45" t="n">
        <f aca="false">F545-G545</f>
        <v>0.000196875308707933</v>
      </c>
      <c r="M545" s="46" t="n">
        <v>0.3167272</v>
      </c>
      <c r="N545" s="46" t="n">
        <v>0.1352521</v>
      </c>
      <c r="O545" s="46" t="n">
        <v>0.264888</v>
      </c>
      <c r="P545" s="46" t="n">
        <v>0.6830628</v>
      </c>
      <c r="Q545" s="46" t="n">
        <v>2.5828049</v>
      </c>
      <c r="R545" s="46" t="n">
        <v>2.1962823</v>
      </c>
      <c r="S545" s="47" t="n">
        <f aca="false">M545+N545+O545</f>
        <v>0.7168673</v>
      </c>
      <c r="T545" s="47" t="n">
        <f aca="false">M545+P545</f>
        <v>0.99979</v>
      </c>
    </row>
    <row r="546" customFormat="false" ht="15" hidden="false" customHeight="false" outlineLevel="0" collapsed="false">
      <c r="A546" s="42" t="s">
        <v>44</v>
      </c>
      <c r="B546" s="42" t="n">
        <v>-10</v>
      </c>
      <c r="C546" s="42" t="n">
        <v>45</v>
      </c>
      <c r="D546" s="42" t="n">
        <v>74270960</v>
      </c>
      <c r="E546" s="43" t="n">
        <v>0.980884648843961</v>
      </c>
      <c r="F546" s="43" t="n">
        <v>0.979479097850696</v>
      </c>
      <c r="G546" s="43" t="n">
        <v>0.985016043318914</v>
      </c>
      <c r="H546" s="43" t="n">
        <v>0.981237814577452</v>
      </c>
      <c r="I546" s="42" t="n">
        <v>1</v>
      </c>
      <c r="J546" s="42" t="n">
        <v>1</v>
      </c>
      <c r="K546" s="44" t="str">
        <f aca="false">IF(AND(I546=1,J546=1),"两者都跟住",IF(AND(I546=0,J546=1),"仅 PC-TBD 跟住",IF(AND(I546=1,J546=0),"仅 VIT-LPS 跟住","都没跟住")))</f>
        <v>两者都跟住</v>
      </c>
      <c r="L546" s="45" t="n">
        <f aca="false">F546-G546</f>
        <v>-0.00553694546821804</v>
      </c>
      <c r="M546" s="46" t="n">
        <v>0.2558312</v>
      </c>
      <c r="N546" s="46" t="n">
        <v>0.143428</v>
      </c>
      <c r="O546" s="46" t="n">
        <v>0.2392814</v>
      </c>
      <c r="P546" s="46" t="n">
        <v>0.7084472</v>
      </c>
      <c r="Q546" s="46" t="n">
        <v>2.4151643</v>
      </c>
      <c r="R546" s="46" t="n">
        <v>2.2117842</v>
      </c>
      <c r="S546" s="47" t="n">
        <f aca="false">M546+N546+O546</f>
        <v>0.6385406</v>
      </c>
      <c r="T546" s="47" t="n">
        <f aca="false">M546+P546</f>
        <v>0.9642784</v>
      </c>
    </row>
    <row r="547" customFormat="false" ht="15" hidden="false" customHeight="false" outlineLevel="0" collapsed="false">
      <c r="A547" s="42" t="s">
        <v>44</v>
      </c>
      <c r="B547" s="42" t="n">
        <v>-10</v>
      </c>
      <c r="C547" s="42" t="n">
        <v>46</v>
      </c>
      <c r="D547" s="42" t="n">
        <v>74270961</v>
      </c>
      <c r="E547" s="43" t="n">
        <v>0.947776326632804</v>
      </c>
      <c r="F547" s="43" t="n">
        <v>0.973577147394992</v>
      </c>
      <c r="G547" s="43" t="n">
        <v>0.97416381785145</v>
      </c>
      <c r="H547" s="43" t="n">
        <v>0.9738445069069</v>
      </c>
      <c r="I547" s="42" t="n">
        <v>1</v>
      </c>
      <c r="J547" s="42" t="n">
        <v>1</v>
      </c>
      <c r="K547" s="44" t="str">
        <f aca="false">IF(AND(I547=1,J547=1),"两者都跟住",IF(AND(I547=0,J547=1),"仅 PC-TBD 跟住",IF(AND(I547=1,J547=0),"仅 VIT-LPS 跟住","都没跟住")))</f>
        <v>两者都跟住</v>
      </c>
      <c r="L547" s="45" t="n">
        <f aca="false">F547-G547</f>
        <v>-0.000586670456457994</v>
      </c>
      <c r="M547" s="46" t="n">
        <v>0.3232243</v>
      </c>
      <c r="N547" s="46" t="n">
        <v>0.1692664</v>
      </c>
      <c r="O547" s="46" t="n">
        <v>0.4059105</v>
      </c>
      <c r="P547" s="46" t="n">
        <v>0.6853359</v>
      </c>
      <c r="Q547" s="46" t="n">
        <v>1.8849333</v>
      </c>
      <c r="R547" s="46" t="n">
        <v>1.5992711</v>
      </c>
      <c r="S547" s="47" t="n">
        <f aca="false">M547+N547+O547</f>
        <v>0.8984012</v>
      </c>
      <c r="T547" s="47" t="n">
        <f aca="false">M547+P547</f>
        <v>1.0085602</v>
      </c>
    </row>
    <row r="548" customFormat="false" ht="15" hidden="false" customHeight="false" outlineLevel="0" collapsed="false">
      <c r="A548" s="42" t="s">
        <v>44</v>
      </c>
      <c r="B548" s="42" t="n">
        <v>-10</v>
      </c>
      <c r="C548" s="42" t="n">
        <v>47</v>
      </c>
      <c r="D548" s="42" t="n">
        <v>74270962</v>
      </c>
      <c r="E548" s="43" t="n">
        <v>0.970027914299889</v>
      </c>
      <c r="F548" s="43" t="n">
        <v>0.977061016713899</v>
      </c>
      <c r="G548" s="43" t="n">
        <v>0.97585391074293</v>
      </c>
      <c r="H548" s="43" t="n">
        <v>0.978216863225479</v>
      </c>
      <c r="I548" s="42" t="n">
        <v>1</v>
      </c>
      <c r="J548" s="42" t="n">
        <v>1</v>
      </c>
      <c r="K548" s="44" t="str">
        <f aca="false">IF(AND(I548=1,J548=1),"两者都跟住",IF(AND(I548=0,J548=1),"仅 PC-TBD 跟住",IF(AND(I548=1,J548=0),"仅 VIT-LPS 跟住","都没跟住")))</f>
        <v>两者都跟住</v>
      </c>
      <c r="L548" s="45" t="n">
        <f aca="false">F548-G548</f>
        <v>0.00120710597096896</v>
      </c>
      <c r="M548" s="46" t="n">
        <v>0.1518367</v>
      </c>
      <c r="N548" s="46" t="n">
        <v>0.0708324</v>
      </c>
      <c r="O548" s="46" t="n">
        <v>0.0983257</v>
      </c>
      <c r="P548" s="46" t="n">
        <v>0.3641856</v>
      </c>
      <c r="Q548" s="46" t="n">
        <v>1.3305542</v>
      </c>
      <c r="R548" s="46" t="n">
        <v>1.316425</v>
      </c>
      <c r="S548" s="47" t="n">
        <f aca="false">M548+N548+O548</f>
        <v>0.3209948</v>
      </c>
      <c r="T548" s="47" t="n">
        <f aca="false">M548+P548</f>
        <v>0.5160223</v>
      </c>
    </row>
    <row r="549" customFormat="false" ht="15" hidden="false" customHeight="false" outlineLevel="0" collapsed="false">
      <c r="A549" s="42" t="s">
        <v>44</v>
      </c>
      <c r="B549" s="42" t="n">
        <v>-10</v>
      </c>
      <c r="C549" s="42" t="n">
        <v>48</v>
      </c>
      <c r="D549" s="42" t="n">
        <v>74270963</v>
      </c>
      <c r="E549" s="43" t="n">
        <v>0.988489892227497</v>
      </c>
      <c r="F549" s="43" t="n">
        <v>0.983028575884363</v>
      </c>
      <c r="G549" s="43" t="n">
        <v>0.982986539869667</v>
      </c>
      <c r="H549" s="43" t="n">
        <v>0.983575224004693</v>
      </c>
      <c r="I549" s="42" t="n">
        <v>1</v>
      </c>
      <c r="J549" s="42" t="n">
        <v>1</v>
      </c>
      <c r="K549" s="44" t="str">
        <f aca="false">IF(AND(I549=1,J549=1),"两者都跟住",IF(AND(I549=0,J549=1),"仅 PC-TBD 跟住",IF(AND(I549=1,J549=0),"仅 VIT-LPS 跟住","都没跟住")))</f>
        <v>两者都跟住</v>
      </c>
      <c r="L549" s="45" t="n">
        <f aca="false">F549-G549</f>
        <v>4.20360146959897E-005</v>
      </c>
      <c r="M549" s="46" t="n">
        <v>0.1344412</v>
      </c>
      <c r="N549" s="46" t="n">
        <v>0.0727517</v>
      </c>
      <c r="O549" s="46" t="n">
        <v>0.1724284</v>
      </c>
      <c r="P549" s="46" t="n">
        <v>0.493864</v>
      </c>
      <c r="Q549" s="46" t="n">
        <v>1.212693</v>
      </c>
      <c r="R549" s="46" t="n">
        <v>1.1433985</v>
      </c>
      <c r="S549" s="47" t="n">
        <f aca="false">M549+N549+O549</f>
        <v>0.3796213</v>
      </c>
      <c r="T549" s="47" t="n">
        <f aca="false">M549+P549</f>
        <v>0.6283052</v>
      </c>
    </row>
    <row r="550" customFormat="false" ht="15" hidden="false" customHeight="false" outlineLevel="0" collapsed="false">
      <c r="A550" s="42" t="s">
        <v>44</v>
      </c>
      <c r="B550" s="42" t="n">
        <v>-10</v>
      </c>
      <c r="C550" s="42" t="n">
        <v>49</v>
      </c>
      <c r="D550" s="42" t="n">
        <v>74270964</v>
      </c>
      <c r="E550" s="43" t="n">
        <v>0.976437830746123</v>
      </c>
      <c r="F550" s="43" t="n">
        <v>0.973400386636021</v>
      </c>
      <c r="G550" s="43" t="n">
        <v>0.975594835370026</v>
      </c>
      <c r="H550" s="43" t="n">
        <v>0.975497561953845</v>
      </c>
      <c r="I550" s="42" t="n">
        <v>1</v>
      </c>
      <c r="J550" s="42" t="n">
        <v>1</v>
      </c>
      <c r="K550" s="44" t="str">
        <f aca="false">IF(AND(I550=1,J550=1),"两者都跟住",IF(AND(I550=0,J550=1),"仅 PC-TBD 跟住",IF(AND(I550=1,J550=0),"仅 VIT-LPS 跟住","都没跟住")))</f>
        <v>两者都跟住</v>
      </c>
      <c r="L550" s="45" t="n">
        <f aca="false">F550-G550</f>
        <v>-0.00219444873400498</v>
      </c>
      <c r="M550" s="46" t="n">
        <v>0.1318316</v>
      </c>
      <c r="N550" s="46" t="n">
        <v>0.0741465</v>
      </c>
      <c r="O550" s="46" t="n">
        <v>0.1272537</v>
      </c>
      <c r="P550" s="46" t="n">
        <v>0.3811637</v>
      </c>
      <c r="Q550" s="46" t="n">
        <v>1.4030621</v>
      </c>
      <c r="R550" s="46" t="n">
        <v>1.2047079</v>
      </c>
      <c r="S550" s="47" t="n">
        <f aca="false">M550+N550+O550</f>
        <v>0.3332318</v>
      </c>
      <c r="T550" s="47" t="n">
        <f aca="false">M550+P550</f>
        <v>0.5129953</v>
      </c>
    </row>
    <row r="551" customFormat="false" ht="15" hidden="false" customHeight="false" outlineLevel="0" collapsed="false">
      <c r="A551" s="42" t="s">
        <v>44</v>
      </c>
      <c r="B551" s="42" t="n">
        <v>-10</v>
      </c>
      <c r="C551" s="42" t="n">
        <v>50</v>
      </c>
      <c r="D551" s="42" t="n">
        <v>74270965</v>
      </c>
      <c r="E551" s="43" t="n">
        <v>0.968159745147307</v>
      </c>
      <c r="F551" s="43" t="n">
        <v>0.975057207792409</v>
      </c>
      <c r="G551" s="43" t="n">
        <v>0.97038703913839</v>
      </c>
      <c r="H551" s="43" t="n">
        <v>0.973427715362607</v>
      </c>
      <c r="I551" s="42" t="n">
        <v>1</v>
      </c>
      <c r="J551" s="42" t="n">
        <v>1</v>
      </c>
      <c r="K551" s="44" t="str">
        <f aca="false">IF(AND(I551=1,J551=1),"两者都跟住",IF(AND(I551=0,J551=1),"仅 PC-TBD 跟住",IF(AND(I551=1,J551=0),"仅 VIT-LPS 跟住","都没跟住")))</f>
        <v>两者都跟住</v>
      </c>
      <c r="L551" s="45" t="n">
        <f aca="false">F551-G551</f>
        <v>0.00467016865401904</v>
      </c>
      <c r="M551" s="46" t="n">
        <v>0.1317016</v>
      </c>
      <c r="N551" s="46" t="n">
        <v>0.108898</v>
      </c>
      <c r="O551" s="46" t="n">
        <v>0.1169325</v>
      </c>
      <c r="P551" s="46" t="n">
        <v>0.4383496</v>
      </c>
      <c r="Q551" s="46" t="n">
        <v>1.64704</v>
      </c>
      <c r="R551" s="46" t="n">
        <v>1.5232771</v>
      </c>
      <c r="S551" s="47" t="n">
        <f aca="false">M551+N551+O551</f>
        <v>0.3575321</v>
      </c>
      <c r="T551" s="47" t="n">
        <f aca="false">M551+P551</f>
        <v>0.5700512</v>
      </c>
    </row>
    <row r="552" customFormat="false" ht="15" hidden="false" customHeight="false" outlineLevel="0" collapsed="false">
      <c r="A552" s="42" t="s">
        <v>44</v>
      </c>
      <c r="B552" s="42" t="n">
        <v>-10</v>
      </c>
      <c r="C552" s="42" t="n">
        <v>51</v>
      </c>
      <c r="D552" s="42" t="n">
        <v>74270966</v>
      </c>
      <c r="E552" s="43" t="n">
        <v>0.973385202295524</v>
      </c>
      <c r="F552" s="43" t="n">
        <v>0.987030521772713</v>
      </c>
      <c r="G552" s="43" t="n">
        <v>0.982371166450678</v>
      </c>
      <c r="H552" s="43" t="n">
        <v>0.987190473047579</v>
      </c>
      <c r="I552" s="42" t="n">
        <v>1</v>
      </c>
      <c r="J552" s="42" t="n">
        <v>1</v>
      </c>
      <c r="K552" s="44" t="str">
        <f aca="false">IF(AND(I552=1,J552=1),"两者都跟住",IF(AND(I552=0,J552=1),"仅 PC-TBD 跟住",IF(AND(I552=1,J552=0),"仅 VIT-LPS 跟住","都没跟住")))</f>
        <v>两者都跟住</v>
      </c>
      <c r="L552" s="45" t="n">
        <f aca="false">F552-G552</f>
        <v>0.00465935532203499</v>
      </c>
      <c r="M552" s="46" t="n">
        <v>0.2486086</v>
      </c>
      <c r="N552" s="46" t="n">
        <v>0.1391869</v>
      </c>
      <c r="O552" s="46" t="n">
        <v>0.1827805</v>
      </c>
      <c r="P552" s="46" t="n">
        <v>0.5473311</v>
      </c>
      <c r="Q552" s="46" t="n">
        <v>1.9945441</v>
      </c>
      <c r="R552" s="46" t="n">
        <v>2.0024894</v>
      </c>
      <c r="S552" s="47" t="n">
        <f aca="false">M552+N552+O552</f>
        <v>0.570576</v>
      </c>
      <c r="T552" s="47" t="n">
        <f aca="false">M552+P552</f>
        <v>0.7959397</v>
      </c>
    </row>
    <row r="553" customFormat="false" ht="15" hidden="false" customHeight="false" outlineLevel="0" collapsed="false">
      <c r="A553" s="42" t="s">
        <v>44</v>
      </c>
      <c r="B553" s="42" t="n">
        <v>-10</v>
      </c>
      <c r="C553" s="42" t="n">
        <v>52</v>
      </c>
      <c r="D553" s="42" t="n">
        <v>74270967</v>
      </c>
      <c r="E553" s="43" t="n">
        <v>0.978178949591407</v>
      </c>
      <c r="F553" s="43" t="n">
        <v>0.980468824331773</v>
      </c>
      <c r="G553" s="43" t="n">
        <v>0.975428889665101</v>
      </c>
      <c r="H553" s="43" t="n">
        <v>0.983421970639007</v>
      </c>
      <c r="I553" s="42" t="n">
        <v>1</v>
      </c>
      <c r="J553" s="42" t="n">
        <v>1</v>
      </c>
      <c r="K553" s="44" t="str">
        <f aca="false">IF(AND(I553=1,J553=1),"两者都跟住",IF(AND(I553=0,J553=1),"仅 PC-TBD 跟住",IF(AND(I553=1,J553=0),"仅 VIT-LPS 跟住","都没跟住")))</f>
        <v>两者都跟住</v>
      </c>
      <c r="L553" s="45" t="n">
        <f aca="false">F553-G553</f>
        <v>0.00503993466667196</v>
      </c>
      <c r="M553" s="46" t="n">
        <v>0.2603937</v>
      </c>
      <c r="N553" s="46" t="n">
        <v>0.1312052</v>
      </c>
      <c r="O553" s="46" t="n">
        <v>0.1901092</v>
      </c>
      <c r="P553" s="46" t="n">
        <v>0.6030468</v>
      </c>
      <c r="Q553" s="46" t="n">
        <v>2.1337593</v>
      </c>
      <c r="R553" s="46" t="n">
        <v>1.6986715</v>
      </c>
      <c r="S553" s="47" t="n">
        <f aca="false">M553+N553+O553</f>
        <v>0.5817081</v>
      </c>
      <c r="T553" s="47" t="n">
        <f aca="false">M553+P553</f>
        <v>0.8634405</v>
      </c>
    </row>
    <row r="554" customFormat="false" ht="15" hidden="false" customHeight="false" outlineLevel="0" collapsed="false">
      <c r="A554" s="42" t="s">
        <v>44</v>
      </c>
      <c r="B554" s="42" t="n">
        <v>-10</v>
      </c>
      <c r="C554" s="42" t="n">
        <v>53</v>
      </c>
      <c r="D554" s="42" t="n">
        <v>74270968</v>
      </c>
      <c r="E554" s="43" t="n">
        <v>0.983211757113041</v>
      </c>
      <c r="F554" s="43" t="n">
        <v>0.988064888679205</v>
      </c>
      <c r="G554" s="43" t="n">
        <v>0.986005329664132</v>
      </c>
      <c r="H554" s="43" t="n">
        <v>0.98842508448938</v>
      </c>
      <c r="I554" s="42" t="n">
        <v>1</v>
      </c>
      <c r="J554" s="42" t="n">
        <v>1</v>
      </c>
      <c r="K554" s="44" t="str">
        <f aca="false">IF(AND(I554=1,J554=1),"两者都跟住",IF(AND(I554=0,J554=1),"仅 PC-TBD 跟住",IF(AND(I554=1,J554=0),"仅 VIT-LPS 跟住","都没跟住")))</f>
        <v>两者都跟住</v>
      </c>
      <c r="L554" s="45" t="n">
        <f aca="false">F554-G554</f>
        <v>0.00205955901507293</v>
      </c>
      <c r="M554" s="46" t="n">
        <v>0.2542102</v>
      </c>
      <c r="N554" s="46" t="n">
        <v>0.1419093</v>
      </c>
      <c r="O554" s="46" t="n">
        <v>0.1835923</v>
      </c>
      <c r="P554" s="46" t="n">
        <v>0.5953257</v>
      </c>
      <c r="Q554" s="46" t="n">
        <v>1.6274945</v>
      </c>
      <c r="R554" s="46" t="n">
        <v>1.357675</v>
      </c>
      <c r="S554" s="47" t="n">
        <f aca="false">M554+N554+O554</f>
        <v>0.5797118</v>
      </c>
      <c r="T554" s="47" t="n">
        <f aca="false">M554+P554</f>
        <v>0.8495359</v>
      </c>
    </row>
    <row r="555" customFormat="false" ht="15" hidden="false" customHeight="false" outlineLevel="0" collapsed="false">
      <c r="A555" s="42" t="s">
        <v>44</v>
      </c>
      <c r="B555" s="42" t="n">
        <v>-10</v>
      </c>
      <c r="C555" s="42" t="n">
        <v>54</v>
      </c>
      <c r="D555" s="42" t="n">
        <v>74270969</v>
      </c>
      <c r="E555" s="43" t="n">
        <v>0.971026707520198</v>
      </c>
      <c r="F555" s="43" t="n">
        <v>0.985896732688462</v>
      </c>
      <c r="G555" s="43" t="n">
        <v>0.979047583331272</v>
      </c>
      <c r="H555" s="43" t="n">
        <v>0.985946189789066</v>
      </c>
      <c r="I555" s="42" t="n">
        <v>1</v>
      </c>
      <c r="J555" s="42" t="n">
        <v>1</v>
      </c>
      <c r="K555" s="44" t="str">
        <f aca="false">IF(AND(I555=1,J555=1),"两者都跟住",IF(AND(I555=0,J555=1),"仅 PC-TBD 跟住",IF(AND(I555=1,J555=0),"仅 VIT-LPS 跟住","都没跟住")))</f>
        <v>两者都跟住</v>
      </c>
      <c r="L555" s="45" t="n">
        <f aca="false">F555-G555</f>
        <v>0.00684914935719005</v>
      </c>
      <c r="M555" s="46" t="n">
        <v>0.2625367</v>
      </c>
      <c r="N555" s="46" t="n">
        <v>0.0932507</v>
      </c>
      <c r="O555" s="46" t="n">
        <v>0.1619581</v>
      </c>
      <c r="P555" s="46" t="n">
        <v>0.5381543</v>
      </c>
      <c r="Q555" s="46" t="n">
        <v>2.1321354</v>
      </c>
      <c r="R555" s="46" t="n">
        <v>2.1442445</v>
      </c>
      <c r="S555" s="47" t="n">
        <f aca="false">M555+N555+O555</f>
        <v>0.5177455</v>
      </c>
      <c r="T555" s="47" t="n">
        <f aca="false">M555+P555</f>
        <v>0.800691</v>
      </c>
    </row>
    <row r="556" customFormat="false" ht="15" hidden="false" customHeight="false" outlineLevel="0" collapsed="false">
      <c r="A556" s="42" t="s">
        <v>44</v>
      </c>
      <c r="B556" s="42" t="n">
        <v>-10</v>
      </c>
      <c r="C556" s="42" t="n">
        <v>55</v>
      </c>
      <c r="D556" s="42" t="n">
        <v>74270970</v>
      </c>
      <c r="E556" s="43" t="n">
        <v>0.962307444877848</v>
      </c>
      <c r="F556" s="43" t="n">
        <v>0.979476213597296</v>
      </c>
      <c r="G556" s="43" t="n">
        <v>0.970753434279931</v>
      </c>
      <c r="H556" s="43" t="n">
        <v>0.976810264454009</v>
      </c>
      <c r="I556" s="42" t="n">
        <v>1</v>
      </c>
      <c r="J556" s="42" t="n">
        <v>1</v>
      </c>
      <c r="K556" s="44" t="str">
        <f aca="false">IF(AND(I556=1,J556=1),"两者都跟住",IF(AND(I556=0,J556=1),"仅 PC-TBD 跟住",IF(AND(I556=1,J556=0),"仅 VIT-LPS 跟住","都没跟住")))</f>
        <v>两者都跟住</v>
      </c>
      <c r="L556" s="45" t="n">
        <f aca="false">F556-G556</f>
        <v>0.00872277931736498</v>
      </c>
      <c r="M556" s="46" t="n">
        <v>0.253629</v>
      </c>
      <c r="N556" s="46" t="n">
        <v>0.1257956</v>
      </c>
      <c r="O556" s="46" t="n">
        <v>0.2182916</v>
      </c>
      <c r="P556" s="46" t="n">
        <v>0.474716</v>
      </c>
      <c r="Q556" s="46" t="n">
        <v>1.9406008</v>
      </c>
      <c r="R556" s="46" t="n">
        <v>1.6943643</v>
      </c>
      <c r="S556" s="47" t="n">
        <f aca="false">M556+N556+O556</f>
        <v>0.5977162</v>
      </c>
      <c r="T556" s="47" t="n">
        <f aca="false">M556+P556</f>
        <v>0.728345</v>
      </c>
    </row>
    <row r="557" customFormat="false" ht="15" hidden="false" customHeight="false" outlineLevel="0" collapsed="false">
      <c r="A557" s="42" t="s">
        <v>44</v>
      </c>
      <c r="B557" s="42" t="n">
        <v>-10</v>
      </c>
      <c r="C557" s="42" t="n">
        <v>56</v>
      </c>
      <c r="D557" s="42" t="n">
        <v>74270971</v>
      </c>
      <c r="E557" s="43" t="n">
        <v>0.961301022347951</v>
      </c>
      <c r="F557" s="43" t="n">
        <v>0.968137867341793</v>
      </c>
      <c r="G557" s="43" t="n">
        <v>0.971485347040511</v>
      </c>
      <c r="H557" s="43" t="n">
        <v>0.966949317466727</v>
      </c>
      <c r="I557" s="42" t="n">
        <v>1</v>
      </c>
      <c r="J557" s="42" t="n">
        <v>1</v>
      </c>
      <c r="K557" s="44" t="str">
        <f aca="false">IF(AND(I557=1,J557=1),"两者都跟住",IF(AND(I557=0,J557=1),"仅 PC-TBD 跟住",IF(AND(I557=1,J557=0),"仅 VIT-LPS 跟住","都没跟住")))</f>
        <v>两者都跟住</v>
      </c>
      <c r="L557" s="45" t="n">
        <f aca="false">F557-G557</f>
        <v>-0.00334747969871807</v>
      </c>
      <c r="M557" s="46" t="n">
        <v>0.2311823</v>
      </c>
      <c r="N557" s="46" t="n">
        <v>0.124945</v>
      </c>
      <c r="O557" s="46" t="n">
        <v>0.2070552</v>
      </c>
      <c r="P557" s="46" t="n">
        <v>0.5673012</v>
      </c>
      <c r="Q557" s="46" t="n">
        <v>1.9579286</v>
      </c>
      <c r="R557" s="46" t="n">
        <v>1.6557857</v>
      </c>
      <c r="S557" s="47" t="n">
        <f aca="false">M557+N557+O557</f>
        <v>0.5631825</v>
      </c>
      <c r="T557" s="47" t="n">
        <f aca="false">M557+P557</f>
        <v>0.7984835</v>
      </c>
    </row>
    <row r="558" customFormat="false" ht="15" hidden="false" customHeight="false" outlineLevel="0" collapsed="false">
      <c r="A558" s="42" t="s">
        <v>44</v>
      </c>
      <c r="B558" s="42" t="n">
        <v>-10</v>
      </c>
      <c r="C558" s="42" t="n">
        <v>57</v>
      </c>
      <c r="D558" s="42" t="n">
        <v>74270972</v>
      </c>
      <c r="E558" s="43" t="n">
        <v>0.968871440860217</v>
      </c>
      <c r="F558" s="43" t="n">
        <v>0.989052925438594</v>
      </c>
      <c r="G558" s="43" t="n">
        <v>0.990470484423943</v>
      </c>
      <c r="H558" s="43" t="n">
        <v>0.98812601019529</v>
      </c>
      <c r="I558" s="42" t="n">
        <v>1</v>
      </c>
      <c r="J558" s="42" t="n">
        <v>1</v>
      </c>
      <c r="K558" s="44" t="str">
        <f aca="false">IF(AND(I558=1,J558=1),"两者都跟住",IF(AND(I558=0,J558=1),"仅 PC-TBD 跟住",IF(AND(I558=1,J558=0),"仅 VIT-LPS 跟住","都没跟住")))</f>
        <v>两者都跟住</v>
      </c>
      <c r="L558" s="45" t="n">
        <f aca="false">F558-G558</f>
        <v>-0.00141755898534901</v>
      </c>
      <c r="M558" s="46" t="n">
        <v>0.1577313</v>
      </c>
      <c r="N558" s="46" t="n">
        <v>0.082353</v>
      </c>
      <c r="O558" s="46" t="n">
        <v>0.169145</v>
      </c>
      <c r="P558" s="46" t="n">
        <v>0.4657311</v>
      </c>
      <c r="Q558" s="46" t="n">
        <v>1.455049</v>
      </c>
      <c r="R558" s="46" t="n">
        <v>1.4160883</v>
      </c>
      <c r="S558" s="47" t="n">
        <f aca="false">M558+N558+O558</f>
        <v>0.4092293</v>
      </c>
      <c r="T558" s="47" t="n">
        <f aca="false">M558+P558</f>
        <v>0.6234624</v>
      </c>
    </row>
    <row r="559" customFormat="false" ht="15" hidden="false" customHeight="false" outlineLevel="0" collapsed="false">
      <c r="A559" s="42" t="s">
        <v>44</v>
      </c>
      <c r="B559" s="42" t="n">
        <v>-10</v>
      </c>
      <c r="C559" s="42" t="n">
        <v>58</v>
      </c>
      <c r="D559" s="42" t="n">
        <v>74270973</v>
      </c>
      <c r="E559" s="43" t="n">
        <v>0.973865277314571</v>
      </c>
      <c r="F559" s="43" t="n">
        <v>0.97638486559604</v>
      </c>
      <c r="G559" s="43" t="n">
        <v>0.975058241247961</v>
      </c>
      <c r="H559" s="43" t="n">
        <v>0.974857479130552</v>
      </c>
      <c r="I559" s="42" t="n">
        <v>1</v>
      </c>
      <c r="J559" s="42" t="n">
        <v>1</v>
      </c>
      <c r="K559" s="44" t="str">
        <f aca="false">IF(AND(I559=1,J559=1),"两者都跟住",IF(AND(I559=0,J559=1),"仅 PC-TBD 跟住",IF(AND(I559=1,J559=0),"仅 VIT-LPS 跟住","都没跟住")))</f>
        <v>两者都跟住</v>
      </c>
      <c r="L559" s="45" t="n">
        <f aca="false">F559-G559</f>
        <v>0.00132662434807895</v>
      </c>
      <c r="M559" s="46" t="n">
        <v>0.1606019</v>
      </c>
      <c r="N559" s="46" t="n">
        <v>0.1032834</v>
      </c>
      <c r="O559" s="46" t="n">
        <v>0.1116983</v>
      </c>
      <c r="P559" s="46" t="n">
        <v>0.4430457</v>
      </c>
      <c r="Q559" s="46" t="n">
        <v>1.5184869</v>
      </c>
      <c r="R559" s="46" t="n">
        <v>1.4396949</v>
      </c>
      <c r="S559" s="47" t="n">
        <f aca="false">M559+N559+O559</f>
        <v>0.3755836</v>
      </c>
      <c r="T559" s="47" t="n">
        <f aca="false">M559+P559</f>
        <v>0.6036476</v>
      </c>
    </row>
    <row r="560" customFormat="false" ht="15" hidden="false" customHeight="false" outlineLevel="0" collapsed="false">
      <c r="A560" s="42" t="s">
        <v>44</v>
      </c>
      <c r="B560" s="42" t="n">
        <v>-10</v>
      </c>
      <c r="C560" s="42" t="n">
        <v>59</v>
      </c>
      <c r="D560" s="42" t="n">
        <v>74270974</v>
      </c>
      <c r="E560" s="43" t="n">
        <v>0.947068498616011</v>
      </c>
      <c r="F560" s="43" t="n">
        <v>0.986412696700286</v>
      </c>
      <c r="G560" s="43" t="n">
        <v>0.973554592715789</v>
      </c>
      <c r="H560" s="43" t="n">
        <v>0.983573956182305</v>
      </c>
      <c r="I560" s="42" t="n">
        <v>1</v>
      </c>
      <c r="J560" s="42" t="n">
        <v>1</v>
      </c>
      <c r="K560" s="44" t="str">
        <f aca="false">IF(AND(I560=1,J560=1),"两者都跟住",IF(AND(I560=0,J560=1),"仅 PC-TBD 跟住",IF(AND(I560=1,J560=0),"仅 VIT-LPS 跟住","都没跟住")))</f>
        <v>两者都跟住</v>
      </c>
      <c r="L560" s="45" t="n">
        <f aca="false">F560-G560</f>
        <v>0.0128581039844969</v>
      </c>
      <c r="M560" s="46" t="n">
        <v>0.1223863</v>
      </c>
      <c r="N560" s="46" t="n">
        <v>0.0696052</v>
      </c>
      <c r="O560" s="46" t="n">
        <v>0.1190358</v>
      </c>
      <c r="P560" s="46" t="n">
        <v>0.3834226</v>
      </c>
      <c r="Q560" s="46" t="n">
        <v>1.5085756</v>
      </c>
      <c r="R560" s="46" t="n">
        <v>1.1684291</v>
      </c>
      <c r="S560" s="47" t="n">
        <f aca="false">M560+N560+O560</f>
        <v>0.3110273</v>
      </c>
      <c r="T560" s="47" t="n">
        <f aca="false">M560+P560</f>
        <v>0.5058089</v>
      </c>
    </row>
    <row r="561" customFormat="false" ht="15" hidden="false" customHeight="false" outlineLevel="0" collapsed="false">
      <c r="A561" s="42" t="s">
        <v>44</v>
      </c>
      <c r="B561" s="42" t="n">
        <v>-10</v>
      </c>
      <c r="C561" s="42" t="n">
        <v>60</v>
      </c>
      <c r="D561" s="42" t="n">
        <v>74270975</v>
      </c>
      <c r="E561" s="43" t="n">
        <v>0.972074020150764</v>
      </c>
      <c r="F561" s="43" t="n">
        <v>0.976837518108988</v>
      </c>
      <c r="G561" s="43" t="n">
        <v>0.975094039824332</v>
      </c>
      <c r="H561" s="43" t="n">
        <v>0.977431603792777</v>
      </c>
      <c r="I561" s="42" t="n">
        <v>1</v>
      </c>
      <c r="J561" s="42" t="n">
        <v>1</v>
      </c>
      <c r="K561" s="44" t="str">
        <f aca="false">IF(AND(I561=1,J561=1),"两者都跟住",IF(AND(I561=0,J561=1),"仅 PC-TBD 跟住",IF(AND(I561=1,J561=0),"仅 VIT-LPS 跟住","都没跟住")))</f>
        <v>两者都跟住</v>
      </c>
      <c r="L561" s="45" t="n">
        <f aca="false">F561-G561</f>
        <v>0.00174347828465604</v>
      </c>
      <c r="M561" s="46" t="n">
        <v>0.1260114</v>
      </c>
      <c r="N561" s="46" t="n">
        <v>0.0814304</v>
      </c>
      <c r="O561" s="46" t="n">
        <v>0.1268125</v>
      </c>
      <c r="P561" s="46" t="n">
        <v>0.3833455</v>
      </c>
      <c r="Q561" s="46" t="n">
        <v>1.3251206</v>
      </c>
      <c r="R561" s="46" t="n">
        <v>1.4704406</v>
      </c>
      <c r="S561" s="47" t="n">
        <f aca="false">M561+N561+O561</f>
        <v>0.3342543</v>
      </c>
      <c r="T561" s="47" t="n">
        <f aca="false">M561+P561</f>
        <v>0.5093569</v>
      </c>
    </row>
    <row r="562" customFormat="false" ht="15" hidden="false" customHeight="false" outlineLevel="0" collapsed="false">
      <c r="A562" s="42" t="s">
        <v>44</v>
      </c>
      <c r="B562" s="42" t="n">
        <v>-10</v>
      </c>
      <c r="C562" s="42" t="n">
        <v>61</v>
      </c>
      <c r="D562" s="42" t="n">
        <v>74270976</v>
      </c>
      <c r="E562" s="43" t="n">
        <v>0.973041271746623</v>
      </c>
      <c r="F562" s="43" t="n">
        <v>0.982112252272579</v>
      </c>
      <c r="G562" s="43" t="n">
        <v>0.984060155319852</v>
      </c>
      <c r="H562" s="43" t="n">
        <v>0.982925143126526</v>
      </c>
      <c r="I562" s="42" t="n">
        <v>1</v>
      </c>
      <c r="J562" s="42" t="n">
        <v>1</v>
      </c>
      <c r="K562" s="44" t="str">
        <f aca="false">IF(AND(I562=1,J562=1),"两者都跟住",IF(AND(I562=0,J562=1),"仅 PC-TBD 跟住",IF(AND(I562=1,J562=0),"仅 VIT-LPS 跟住","都没跟住")))</f>
        <v>两者都跟住</v>
      </c>
      <c r="L562" s="45" t="n">
        <f aca="false">F562-G562</f>
        <v>-0.00194790304727299</v>
      </c>
      <c r="M562" s="46" t="n">
        <v>0.2183089</v>
      </c>
      <c r="N562" s="46" t="n">
        <v>0.1127179</v>
      </c>
      <c r="O562" s="46" t="n">
        <v>0.1966097</v>
      </c>
      <c r="P562" s="46" t="n">
        <v>0.5004425</v>
      </c>
      <c r="Q562" s="46" t="n">
        <v>1.8422573</v>
      </c>
      <c r="R562" s="46" t="n">
        <v>2.3834236</v>
      </c>
      <c r="S562" s="47" t="n">
        <f aca="false">M562+N562+O562</f>
        <v>0.5276365</v>
      </c>
      <c r="T562" s="47" t="n">
        <f aca="false">M562+P562</f>
        <v>0.7187514</v>
      </c>
    </row>
    <row r="563" customFormat="false" ht="15" hidden="false" customHeight="false" outlineLevel="0" collapsed="false">
      <c r="A563" s="42" t="s">
        <v>44</v>
      </c>
      <c r="B563" s="42" t="n">
        <v>-10</v>
      </c>
      <c r="C563" s="42" t="n">
        <v>62</v>
      </c>
      <c r="D563" s="42" t="n">
        <v>74270977</v>
      </c>
      <c r="E563" s="43" t="n">
        <v>0.967210209238815</v>
      </c>
      <c r="F563" s="43" t="n">
        <v>0.978276265305726</v>
      </c>
      <c r="G563" s="43" t="n">
        <v>0.979426418081518</v>
      </c>
      <c r="H563" s="43" t="n">
        <v>0.977015830525476</v>
      </c>
      <c r="I563" s="42" t="n">
        <v>1</v>
      </c>
      <c r="J563" s="42" t="n">
        <v>1</v>
      </c>
      <c r="K563" s="44" t="str">
        <f aca="false">IF(AND(I563=1,J563=1),"两者都跟住",IF(AND(I563=0,J563=1),"仅 PC-TBD 跟住",IF(AND(I563=1,J563=0),"仅 VIT-LPS 跟住","都没跟住")))</f>
        <v>两者都跟住</v>
      </c>
      <c r="L563" s="45" t="n">
        <f aca="false">F563-G563</f>
        <v>-0.001150152775792</v>
      </c>
      <c r="M563" s="46" t="n">
        <v>0.2259432</v>
      </c>
      <c r="N563" s="46" t="n">
        <v>0.125744</v>
      </c>
      <c r="O563" s="46" t="n">
        <v>0.1453072</v>
      </c>
      <c r="P563" s="46" t="n">
        <v>0.5598608</v>
      </c>
      <c r="Q563" s="46" t="n">
        <v>2.1479666</v>
      </c>
      <c r="R563" s="46" t="n">
        <v>2.1452196</v>
      </c>
      <c r="S563" s="47" t="n">
        <f aca="false">M563+N563+O563</f>
        <v>0.4969944</v>
      </c>
      <c r="T563" s="47" t="n">
        <f aca="false">M563+P563</f>
        <v>0.785804</v>
      </c>
    </row>
    <row r="564" customFormat="false" ht="15" hidden="false" customHeight="false" outlineLevel="0" collapsed="false">
      <c r="A564" s="42" t="s">
        <v>44</v>
      </c>
      <c r="B564" s="42" t="n">
        <v>-10</v>
      </c>
      <c r="C564" s="42" t="n">
        <v>63</v>
      </c>
      <c r="D564" s="42" t="n">
        <v>74270978</v>
      </c>
      <c r="E564" s="43" t="n">
        <v>0.980774626257694</v>
      </c>
      <c r="F564" s="43" t="n">
        <v>0.983363595273599</v>
      </c>
      <c r="G564" s="43" t="n">
        <v>0.989924991105472</v>
      </c>
      <c r="H564" s="43" t="n">
        <v>0.987070780723299</v>
      </c>
      <c r="I564" s="42" t="n">
        <v>1</v>
      </c>
      <c r="J564" s="42" t="n">
        <v>1</v>
      </c>
      <c r="K564" s="44" t="str">
        <f aca="false">IF(AND(I564=1,J564=1),"两者都跟住",IF(AND(I564=0,J564=1),"仅 PC-TBD 跟住",IF(AND(I564=1,J564=0),"仅 VIT-LPS 跟住","都没跟住")))</f>
        <v>两者都跟住</v>
      </c>
      <c r="L564" s="45" t="n">
        <f aca="false">F564-G564</f>
        <v>-0.0065613958318731</v>
      </c>
      <c r="M564" s="46" t="n">
        <v>0.2358707</v>
      </c>
      <c r="N564" s="46" t="n">
        <v>0.1038213</v>
      </c>
      <c r="O564" s="46" t="n">
        <v>0.1451238</v>
      </c>
      <c r="P564" s="46" t="n">
        <v>0.4812163</v>
      </c>
      <c r="Q564" s="46" t="n">
        <v>2.1929991</v>
      </c>
      <c r="R564" s="46" t="n">
        <v>2.1771217</v>
      </c>
      <c r="S564" s="47" t="n">
        <f aca="false">M564+N564+O564</f>
        <v>0.4848158</v>
      </c>
      <c r="T564" s="47" t="n">
        <f aca="false">M564+P564</f>
        <v>0.717087</v>
      </c>
    </row>
    <row r="565" customFormat="false" ht="15" hidden="false" customHeight="false" outlineLevel="0" collapsed="false">
      <c r="A565" s="42" t="s">
        <v>44</v>
      </c>
      <c r="B565" s="42" t="n">
        <v>-10</v>
      </c>
      <c r="C565" s="42" t="n">
        <v>64</v>
      </c>
      <c r="D565" s="42" t="n">
        <v>74270979</v>
      </c>
      <c r="E565" s="43" t="n">
        <v>0.97293038911312</v>
      </c>
      <c r="F565" s="43" t="n">
        <v>0.97715947969507</v>
      </c>
      <c r="G565" s="43" t="n">
        <v>0.963612359655091</v>
      </c>
      <c r="H565" s="43" t="n">
        <v>0.972224245845636</v>
      </c>
      <c r="I565" s="42" t="n">
        <v>1</v>
      </c>
      <c r="J565" s="42" t="n">
        <v>1</v>
      </c>
      <c r="K565" s="44" t="str">
        <f aca="false">IF(AND(I565=1,J565=1),"两者都跟住",IF(AND(I565=0,J565=1),"仅 PC-TBD 跟住",IF(AND(I565=1,J565=0),"仅 VIT-LPS 跟住","都没跟住")))</f>
        <v>两者都跟住</v>
      </c>
      <c r="L565" s="45" t="n">
        <f aca="false">F565-G565</f>
        <v>0.013547120039979</v>
      </c>
      <c r="M565" s="46" t="n">
        <v>0.2331585</v>
      </c>
      <c r="N565" s="46" t="n">
        <v>0.0976678</v>
      </c>
      <c r="O565" s="46" t="n">
        <v>0.1320588</v>
      </c>
      <c r="P565" s="46" t="n">
        <v>0.5200156</v>
      </c>
      <c r="Q565" s="46" t="n">
        <v>2.2405447</v>
      </c>
      <c r="R565" s="46" t="n">
        <v>2.1798806</v>
      </c>
      <c r="S565" s="47" t="n">
        <f aca="false">M565+N565+O565</f>
        <v>0.4628851</v>
      </c>
      <c r="T565" s="47" t="n">
        <f aca="false">M565+P565</f>
        <v>0.7531741</v>
      </c>
    </row>
    <row r="566" customFormat="false" ht="15" hidden="false" customHeight="false" outlineLevel="0" collapsed="false">
      <c r="A566" s="42" t="s">
        <v>44</v>
      </c>
      <c r="B566" s="42" t="n">
        <v>-10</v>
      </c>
      <c r="C566" s="42" t="n">
        <v>65</v>
      </c>
      <c r="D566" s="42" t="n">
        <v>74270980</v>
      </c>
      <c r="E566" s="43" t="n">
        <v>0.95879188522821</v>
      </c>
      <c r="F566" s="43" t="n">
        <v>0.984504574861685</v>
      </c>
      <c r="G566" s="43" t="n">
        <v>0.977200022330505</v>
      </c>
      <c r="H566" s="43" t="n">
        <v>0.985049633563698</v>
      </c>
      <c r="I566" s="42" t="n">
        <v>1</v>
      </c>
      <c r="J566" s="42" t="n">
        <v>1</v>
      </c>
      <c r="K566" s="44" t="str">
        <f aca="false">IF(AND(I566=1,J566=1),"两者都跟住",IF(AND(I566=0,J566=1),"仅 PC-TBD 跟住",IF(AND(I566=1,J566=0),"仅 VIT-LPS 跟住","都没跟住")))</f>
        <v>两者都跟住</v>
      </c>
      <c r="L566" s="45" t="n">
        <f aca="false">F566-G566</f>
        <v>0.00730455253118001</v>
      </c>
      <c r="M566" s="46" t="n">
        <v>0.2303874</v>
      </c>
      <c r="N566" s="46" t="n">
        <v>0.1332145</v>
      </c>
      <c r="O566" s="46" t="n">
        <v>0.1301233</v>
      </c>
      <c r="P566" s="46" t="n">
        <v>0.5075579</v>
      </c>
      <c r="Q566" s="46" t="n">
        <v>1.9948267</v>
      </c>
      <c r="R566" s="46" t="n">
        <v>1.7865557</v>
      </c>
      <c r="S566" s="47" t="n">
        <f aca="false">M566+N566+O566</f>
        <v>0.4937252</v>
      </c>
      <c r="T566" s="47" t="n">
        <f aca="false">M566+P566</f>
        <v>0.7379453</v>
      </c>
    </row>
    <row r="567" customFormat="false" ht="15" hidden="false" customHeight="false" outlineLevel="0" collapsed="false">
      <c r="A567" s="42" t="s">
        <v>44</v>
      </c>
      <c r="B567" s="42" t="n">
        <v>-10</v>
      </c>
      <c r="C567" s="42" t="n">
        <v>66</v>
      </c>
      <c r="D567" s="42" t="n">
        <v>74270981</v>
      </c>
      <c r="E567" s="43" t="n">
        <v>0.97761636185928</v>
      </c>
      <c r="F567" s="43" t="n">
        <v>0.987224391619723</v>
      </c>
      <c r="G567" s="43" t="n">
        <v>0.983372606088958</v>
      </c>
      <c r="H567" s="43" t="n">
        <v>0.987005147259287</v>
      </c>
      <c r="I567" s="42" t="n">
        <v>1</v>
      </c>
      <c r="J567" s="42" t="n">
        <v>1</v>
      </c>
      <c r="K567" s="44" t="str">
        <f aca="false">IF(AND(I567=1,J567=1),"两者都跟住",IF(AND(I567=0,J567=1),"仅 PC-TBD 跟住",IF(AND(I567=1,J567=0),"仅 VIT-LPS 跟住","都没跟住")))</f>
        <v>两者都跟住</v>
      </c>
      <c r="L567" s="45" t="n">
        <f aca="false">F567-G567</f>
        <v>0.00385178553076493</v>
      </c>
      <c r="M567" s="46" t="n">
        <v>0.2150016</v>
      </c>
      <c r="N567" s="46" t="n">
        <v>0.1180838</v>
      </c>
      <c r="O567" s="46" t="n">
        <v>0.1480459</v>
      </c>
      <c r="P567" s="46" t="n">
        <v>0.5094177</v>
      </c>
      <c r="Q567" s="46" t="n">
        <v>2.5463784</v>
      </c>
      <c r="R567" s="46" t="n">
        <v>2.2771718</v>
      </c>
      <c r="S567" s="47" t="n">
        <f aca="false">M567+N567+O567</f>
        <v>0.4811313</v>
      </c>
      <c r="T567" s="47" t="n">
        <f aca="false">M567+P567</f>
        <v>0.7244193</v>
      </c>
    </row>
    <row r="568" customFormat="false" ht="15" hidden="false" customHeight="false" outlineLevel="0" collapsed="false">
      <c r="A568" s="42" t="s">
        <v>44</v>
      </c>
      <c r="B568" s="42" t="n">
        <v>-10</v>
      </c>
      <c r="C568" s="42" t="n">
        <v>67</v>
      </c>
      <c r="D568" s="42" t="n">
        <v>74270982</v>
      </c>
      <c r="E568" s="43" t="n">
        <v>0.981849107001265</v>
      </c>
      <c r="F568" s="43" t="n">
        <v>0.980016460300727</v>
      </c>
      <c r="G568" s="43" t="n">
        <v>0.978935894205448</v>
      </c>
      <c r="H568" s="43" t="n">
        <v>0.980597656074862</v>
      </c>
      <c r="I568" s="42" t="n">
        <v>1</v>
      </c>
      <c r="J568" s="42" t="n">
        <v>1</v>
      </c>
      <c r="K568" s="44" t="str">
        <f aca="false">IF(AND(I568=1,J568=1),"两者都跟住",IF(AND(I568=0,J568=1),"仅 PC-TBD 跟住",IF(AND(I568=1,J568=0),"仅 VIT-LPS 跟住","都没跟住")))</f>
        <v>两者都跟住</v>
      </c>
      <c r="L568" s="45" t="n">
        <f aca="false">F568-G568</f>
        <v>0.00108056609527896</v>
      </c>
      <c r="M568" s="46" t="n">
        <v>0.149708</v>
      </c>
      <c r="N568" s="46" t="n">
        <v>0.0813839</v>
      </c>
      <c r="O568" s="46" t="n">
        <v>0.123438</v>
      </c>
      <c r="P568" s="46" t="n">
        <v>0.4251167</v>
      </c>
      <c r="Q568" s="46" t="n">
        <v>1.3362948</v>
      </c>
      <c r="R568" s="46" t="n">
        <v>1.2160126</v>
      </c>
      <c r="S568" s="47" t="n">
        <f aca="false">M568+N568+O568</f>
        <v>0.3545299</v>
      </c>
      <c r="T568" s="47" t="n">
        <f aca="false">M568+P568</f>
        <v>0.5748247</v>
      </c>
    </row>
    <row r="569" customFormat="false" ht="15" hidden="false" customHeight="false" outlineLevel="0" collapsed="false">
      <c r="A569" s="42" t="s">
        <v>44</v>
      </c>
      <c r="B569" s="42" t="n">
        <v>-10</v>
      </c>
      <c r="C569" s="42" t="n">
        <v>68</v>
      </c>
      <c r="D569" s="42" t="n">
        <v>74270983</v>
      </c>
      <c r="E569" s="43" t="n">
        <v>0.964864065734383</v>
      </c>
      <c r="F569" s="43" t="n">
        <v>0.961313294992626</v>
      </c>
      <c r="G569" s="43" t="n">
        <v>0.964301858448896</v>
      </c>
      <c r="H569" s="43" t="n">
        <v>0.962559939998572</v>
      </c>
      <c r="I569" s="42" t="n">
        <v>1</v>
      </c>
      <c r="J569" s="42" t="n">
        <v>1</v>
      </c>
      <c r="K569" s="44" t="str">
        <f aca="false">IF(AND(I569=1,J569=1),"两者都跟住",IF(AND(I569=0,J569=1),"仅 PC-TBD 跟住",IF(AND(I569=1,J569=0),"仅 VIT-LPS 跟住","都没跟住")))</f>
        <v>两者都跟住</v>
      </c>
      <c r="L569" s="45" t="n">
        <f aca="false">F569-G569</f>
        <v>-0.00298856345627008</v>
      </c>
      <c r="M569" s="46" t="n">
        <v>0.1561789</v>
      </c>
      <c r="N569" s="46" t="n">
        <v>0.1206567</v>
      </c>
      <c r="O569" s="46" t="n">
        <v>0.1043439</v>
      </c>
      <c r="P569" s="46" t="n">
        <v>0.4624576</v>
      </c>
      <c r="Q569" s="46" t="n">
        <v>1.3510544</v>
      </c>
      <c r="R569" s="46" t="n">
        <v>1.4129936</v>
      </c>
      <c r="S569" s="47" t="n">
        <f aca="false">M569+N569+O569</f>
        <v>0.3811795</v>
      </c>
      <c r="T569" s="47" t="n">
        <f aca="false">M569+P569</f>
        <v>0.6186365</v>
      </c>
    </row>
    <row r="570" customFormat="false" ht="15" hidden="false" customHeight="false" outlineLevel="0" collapsed="false">
      <c r="A570" s="42" t="s">
        <v>44</v>
      </c>
      <c r="B570" s="42" t="n">
        <v>-10</v>
      </c>
      <c r="C570" s="42" t="n">
        <v>69</v>
      </c>
      <c r="D570" s="42" t="n">
        <v>74270984</v>
      </c>
      <c r="E570" s="43" t="n">
        <v>0.965002606598628</v>
      </c>
      <c r="F570" s="43" t="n">
        <v>0.984713947636108</v>
      </c>
      <c r="G570" s="43" t="n">
        <v>0.981283136644585</v>
      </c>
      <c r="H570" s="43" t="n">
        <v>0.984387665698922</v>
      </c>
      <c r="I570" s="42" t="n">
        <v>1</v>
      </c>
      <c r="J570" s="42" t="n">
        <v>1</v>
      </c>
      <c r="K570" s="44" t="str">
        <f aca="false">IF(AND(I570=1,J570=1),"两者都跟住",IF(AND(I570=0,J570=1),"仅 PC-TBD 跟住",IF(AND(I570=1,J570=0),"仅 VIT-LPS 跟住","都没跟住")))</f>
        <v>两者都跟住</v>
      </c>
      <c r="L570" s="45" t="n">
        <f aca="false">F570-G570</f>
        <v>0.00343081099152298</v>
      </c>
      <c r="M570" s="46" t="n">
        <v>0.1706682</v>
      </c>
      <c r="N570" s="46" t="n">
        <v>0.0695029</v>
      </c>
      <c r="O570" s="46" t="n">
        <v>0.1378698</v>
      </c>
      <c r="P570" s="46" t="n">
        <v>0.387873</v>
      </c>
      <c r="Q570" s="46" t="n">
        <v>1.6800518</v>
      </c>
      <c r="R570" s="46" t="n">
        <v>1.4322498</v>
      </c>
      <c r="S570" s="47" t="n">
        <f aca="false">M570+N570+O570</f>
        <v>0.3780409</v>
      </c>
      <c r="T570" s="47" t="n">
        <f aca="false">M570+P570</f>
        <v>0.5585412</v>
      </c>
    </row>
    <row r="571" customFormat="false" ht="15" hidden="false" customHeight="false" outlineLevel="0" collapsed="false">
      <c r="A571" s="42" t="s">
        <v>44</v>
      </c>
      <c r="B571" s="42" t="n">
        <v>-10</v>
      </c>
      <c r="C571" s="42" t="n">
        <v>70</v>
      </c>
      <c r="D571" s="42" t="n">
        <v>74270985</v>
      </c>
      <c r="E571" s="43" t="n">
        <v>0.958468516961103</v>
      </c>
      <c r="F571" s="43" t="n">
        <v>0.972122024753022</v>
      </c>
      <c r="G571" s="43" t="n">
        <v>0.968304828675178</v>
      </c>
      <c r="H571" s="43" t="n">
        <v>0.973729967472867</v>
      </c>
      <c r="I571" s="42" t="n">
        <v>1</v>
      </c>
      <c r="J571" s="42" t="n">
        <v>1</v>
      </c>
      <c r="K571" s="44" t="str">
        <f aca="false">IF(AND(I571=1,J571=1),"两者都跟住",IF(AND(I571=0,J571=1),"仅 PC-TBD 跟住",IF(AND(I571=1,J571=0),"仅 VIT-LPS 跟住","都没跟住")))</f>
        <v>两者都跟住</v>
      </c>
      <c r="L571" s="45" t="n">
        <f aca="false">F571-G571</f>
        <v>0.00381719607784403</v>
      </c>
      <c r="M571" s="46" t="n">
        <v>0.1608436</v>
      </c>
      <c r="N571" s="46" t="n">
        <v>0.0782113</v>
      </c>
      <c r="O571" s="46" t="n">
        <v>0.1426653</v>
      </c>
      <c r="P571" s="46" t="n">
        <v>0.5117431</v>
      </c>
      <c r="Q571" s="46" t="n">
        <v>1.471325</v>
      </c>
      <c r="R571" s="46" t="n">
        <v>1.352826</v>
      </c>
      <c r="S571" s="47" t="n">
        <f aca="false">M571+N571+O571</f>
        <v>0.3817202</v>
      </c>
      <c r="T571" s="47" t="n">
        <f aca="false">M571+P571</f>
        <v>0.6725867</v>
      </c>
    </row>
    <row r="572" customFormat="false" ht="15" hidden="false" customHeight="false" outlineLevel="0" collapsed="false">
      <c r="A572" s="42" t="s">
        <v>44</v>
      </c>
      <c r="B572" s="42" t="n">
        <v>-10</v>
      </c>
      <c r="C572" s="42" t="n">
        <v>71</v>
      </c>
      <c r="D572" s="42" t="n">
        <v>74270986</v>
      </c>
      <c r="E572" s="43" t="n">
        <v>0.962573425943472</v>
      </c>
      <c r="F572" s="43" t="n">
        <v>0.98294159705197</v>
      </c>
      <c r="G572" s="43" t="n">
        <v>0.977685198686442</v>
      </c>
      <c r="H572" s="43" t="n">
        <v>0.983026241414178</v>
      </c>
      <c r="I572" s="42" t="n">
        <v>1</v>
      </c>
      <c r="J572" s="42" t="n">
        <v>1</v>
      </c>
      <c r="K572" s="44" t="str">
        <f aca="false">IF(AND(I572=1,J572=1),"两者都跟住",IF(AND(I572=0,J572=1),"仅 PC-TBD 跟住",IF(AND(I572=1,J572=0),"仅 VIT-LPS 跟住","都没跟住")))</f>
        <v>两者都跟住</v>
      </c>
      <c r="L572" s="45" t="n">
        <f aca="false">F572-G572</f>
        <v>0.00525639836552805</v>
      </c>
      <c r="M572" s="46" t="n">
        <v>0.2417596</v>
      </c>
      <c r="N572" s="46" t="n">
        <v>0.1157647</v>
      </c>
      <c r="O572" s="46" t="n">
        <v>0.1689927</v>
      </c>
      <c r="P572" s="46" t="n">
        <v>0.5455695</v>
      </c>
      <c r="Q572" s="46" t="n">
        <v>2.2517665</v>
      </c>
      <c r="R572" s="46" t="n">
        <v>2.123829</v>
      </c>
      <c r="S572" s="47" t="n">
        <f aca="false">M572+N572+O572</f>
        <v>0.526517</v>
      </c>
      <c r="T572" s="47" t="n">
        <f aca="false">M572+P572</f>
        <v>0.7873291</v>
      </c>
    </row>
    <row r="573" customFormat="false" ht="15" hidden="false" customHeight="false" outlineLevel="0" collapsed="false">
      <c r="A573" s="42" t="s">
        <v>44</v>
      </c>
      <c r="B573" s="42" t="n">
        <v>-10</v>
      </c>
      <c r="C573" s="42" t="n">
        <v>72</v>
      </c>
      <c r="D573" s="42" t="n">
        <v>74270987</v>
      </c>
      <c r="E573" s="43" t="n">
        <v>0.974170694779213</v>
      </c>
      <c r="F573" s="43" t="n">
        <v>0.98063288554248</v>
      </c>
      <c r="G573" s="43" t="n">
        <v>0.974545380274237</v>
      </c>
      <c r="H573" s="43" t="n">
        <v>0.977290162809581</v>
      </c>
      <c r="I573" s="42" t="n">
        <v>1</v>
      </c>
      <c r="J573" s="42" t="n">
        <v>1</v>
      </c>
      <c r="K573" s="44" t="str">
        <f aca="false">IF(AND(I573=1,J573=1),"两者都跟住",IF(AND(I573=0,J573=1),"仅 PC-TBD 跟住",IF(AND(I573=1,J573=0),"仅 VIT-LPS 跟住","都没跟住")))</f>
        <v>两者都跟住</v>
      </c>
      <c r="L573" s="45" t="n">
        <f aca="false">F573-G573</f>
        <v>0.00608750526824298</v>
      </c>
      <c r="M573" s="46" t="n">
        <v>0.2155523</v>
      </c>
      <c r="N573" s="46" t="n">
        <v>0.1416449</v>
      </c>
      <c r="O573" s="46" t="n">
        <v>0.1892285</v>
      </c>
      <c r="P573" s="46" t="n">
        <v>0.5174854</v>
      </c>
      <c r="Q573" s="46" t="n">
        <v>2.1829271</v>
      </c>
      <c r="R573" s="46" t="n">
        <v>2.0147929</v>
      </c>
      <c r="S573" s="47" t="n">
        <f aca="false">M573+N573+O573</f>
        <v>0.5464257</v>
      </c>
      <c r="T573" s="47" t="n">
        <f aca="false">M573+P573</f>
        <v>0.7330377</v>
      </c>
    </row>
    <row r="574" customFormat="false" ht="15" hidden="false" customHeight="false" outlineLevel="0" collapsed="false">
      <c r="A574" s="42" t="s">
        <v>44</v>
      </c>
      <c r="B574" s="42" t="n">
        <v>-10</v>
      </c>
      <c r="C574" s="42" t="n">
        <v>73</v>
      </c>
      <c r="D574" s="42" t="n">
        <v>74270988</v>
      </c>
      <c r="E574" s="43" t="n">
        <v>0.981398056284709</v>
      </c>
      <c r="F574" s="43" t="n">
        <v>0.978392894160943</v>
      </c>
      <c r="G574" s="43" t="n">
        <v>0.977136713361681</v>
      </c>
      <c r="H574" s="43" t="n">
        <v>0.978585807203081</v>
      </c>
      <c r="I574" s="42" t="n">
        <v>1</v>
      </c>
      <c r="J574" s="42" t="n">
        <v>1</v>
      </c>
      <c r="K574" s="44" t="str">
        <f aca="false">IF(AND(I574=1,J574=1),"两者都跟住",IF(AND(I574=0,J574=1),"仅 PC-TBD 跟住",IF(AND(I574=1,J574=0),"仅 VIT-LPS 跟住","都没跟住")))</f>
        <v>两者都跟住</v>
      </c>
      <c r="L574" s="45" t="n">
        <f aca="false">F574-G574</f>
        <v>0.00125618079926204</v>
      </c>
      <c r="M574" s="46" t="n">
        <v>0.248682</v>
      </c>
      <c r="N574" s="46" t="n">
        <v>0.133635</v>
      </c>
      <c r="O574" s="46" t="n">
        <v>0.2028083</v>
      </c>
      <c r="P574" s="46" t="n">
        <v>0.5639924</v>
      </c>
      <c r="Q574" s="46" t="n">
        <v>1.7826865</v>
      </c>
      <c r="R574" s="46" t="n">
        <v>1.7359875</v>
      </c>
      <c r="S574" s="47" t="n">
        <f aca="false">M574+N574+O574</f>
        <v>0.5851253</v>
      </c>
      <c r="T574" s="47" t="n">
        <f aca="false">M574+P574</f>
        <v>0.8126744</v>
      </c>
    </row>
    <row r="575" customFormat="false" ht="15" hidden="false" customHeight="false" outlineLevel="0" collapsed="false">
      <c r="A575" s="42" t="s">
        <v>44</v>
      </c>
      <c r="B575" s="42" t="n">
        <v>-10</v>
      </c>
      <c r="C575" s="42" t="n">
        <v>74</v>
      </c>
      <c r="D575" s="42" t="n">
        <v>74270989</v>
      </c>
      <c r="E575" s="43" t="n">
        <v>0.975933049184386</v>
      </c>
      <c r="F575" s="43" t="n">
        <v>0.985181554933814</v>
      </c>
      <c r="G575" s="43" t="n">
        <v>0.964547458583736</v>
      </c>
      <c r="H575" s="43" t="n">
        <v>0.985850279468986</v>
      </c>
      <c r="I575" s="42" t="n">
        <v>1</v>
      </c>
      <c r="J575" s="42" t="n">
        <v>1</v>
      </c>
      <c r="K575" s="44" t="str">
        <f aca="false">IF(AND(I575=1,J575=1),"两者都跟住",IF(AND(I575=0,J575=1),"仅 PC-TBD 跟住",IF(AND(I575=1,J575=0),"仅 VIT-LPS 跟住","都没跟住")))</f>
        <v>两者都跟住</v>
      </c>
      <c r="L575" s="45" t="n">
        <f aca="false">F575-G575</f>
        <v>0.020634096350078</v>
      </c>
      <c r="M575" s="46" t="n">
        <v>0.2010862</v>
      </c>
      <c r="N575" s="46" t="n">
        <v>0.1149702</v>
      </c>
      <c r="O575" s="46" t="n">
        <v>0.1574207</v>
      </c>
      <c r="P575" s="46" t="n">
        <v>0.5465425</v>
      </c>
      <c r="Q575" s="46" t="n">
        <v>1.9320539</v>
      </c>
      <c r="R575" s="46" t="n">
        <v>1.4193533</v>
      </c>
      <c r="S575" s="47" t="n">
        <f aca="false">M575+N575+O575</f>
        <v>0.4734771</v>
      </c>
      <c r="T575" s="47" t="n">
        <f aca="false">M575+P575</f>
        <v>0.7476287</v>
      </c>
    </row>
    <row r="576" customFormat="false" ht="15" hidden="false" customHeight="false" outlineLevel="0" collapsed="false">
      <c r="A576" s="42" t="s">
        <v>44</v>
      </c>
      <c r="B576" s="42" t="n">
        <v>-10</v>
      </c>
      <c r="C576" s="42" t="n">
        <v>75</v>
      </c>
      <c r="D576" s="42" t="n">
        <v>74270990</v>
      </c>
      <c r="E576" s="43" t="n">
        <v>0.968612201557519</v>
      </c>
      <c r="F576" s="43" t="n">
        <v>0.984952714829366</v>
      </c>
      <c r="G576" s="43" t="n">
        <v>0.983887207164206</v>
      </c>
      <c r="H576" s="43" t="n">
        <v>0.984464065037099</v>
      </c>
      <c r="I576" s="42" t="n">
        <v>1</v>
      </c>
      <c r="J576" s="42" t="n">
        <v>1</v>
      </c>
      <c r="K576" s="44" t="str">
        <f aca="false">IF(AND(I576=1,J576=1),"两者都跟住",IF(AND(I576=0,J576=1),"仅 PC-TBD 跟住",IF(AND(I576=1,J576=0),"仅 VIT-LPS 跟住","都没跟住")))</f>
        <v>两者都跟住</v>
      </c>
      <c r="L576" s="45" t="n">
        <f aca="false">F576-G576</f>
        <v>0.00106550766516</v>
      </c>
      <c r="M576" s="46" t="n">
        <v>0.2501449</v>
      </c>
      <c r="N576" s="46" t="n">
        <v>0.1033866</v>
      </c>
      <c r="O576" s="46" t="n">
        <v>0.2039134</v>
      </c>
      <c r="P576" s="46" t="n">
        <v>0.4591146</v>
      </c>
      <c r="Q576" s="46" t="n">
        <v>1.9984292</v>
      </c>
      <c r="R576" s="46" t="n">
        <v>1.7801978</v>
      </c>
      <c r="S576" s="47" t="n">
        <f aca="false">M576+N576+O576</f>
        <v>0.5574449</v>
      </c>
      <c r="T576" s="47" t="n">
        <f aca="false">M576+P576</f>
        <v>0.7092595</v>
      </c>
    </row>
    <row r="577" customFormat="false" ht="15" hidden="false" customHeight="false" outlineLevel="0" collapsed="false">
      <c r="A577" s="42" t="s">
        <v>44</v>
      </c>
      <c r="B577" s="42" t="n">
        <v>-10</v>
      </c>
      <c r="C577" s="42" t="n">
        <v>76</v>
      </c>
      <c r="D577" s="42" t="n">
        <v>74270991</v>
      </c>
      <c r="E577" s="43" t="n">
        <v>0.963989753573271</v>
      </c>
      <c r="F577" s="43" t="n">
        <v>0.981922543975107</v>
      </c>
      <c r="G577" s="43" t="n">
        <v>0.979246262508846</v>
      </c>
      <c r="H577" s="43" t="n">
        <v>0.983168868352642</v>
      </c>
      <c r="I577" s="42" t="n">
        <v>1</v>
      </c>
      <c r="J577" s="42" t="n">
        <v>1</v>
      </c>
      <c r="K577" s="44" t="str">
        <f aca="false">IF(AND(I577=1,J577=1),"两者都跟住",IF(AND(I577=0,J577=1),"仅 PC-TBD 跟住",IF(AND(I577=1,J577=0),"仅 VIT-LPS 跟住","都没跟住")))</f>
        <v>两者都跟住</v>
      </c>
      <c r="L577" s="45" t="n">
        <f aca="false">F577-G577</f>
        <v>0.00267628146626098</v>
      </c>
      <c r="M577" s="46" t="n">
        <v>0.2438036</v>
      </c>
      <c r="N577" s="46" t="n">
        <v>0.1379111</v>
      </c>
      <c r="O577" s="46" t="n">
        <v>0.2024429</v>
      </c>
      <c r="P577" s="46" t="n">
        <v>0.5297654</v>
      </c>
      <c r="Q577" s="46" t="n">
        <v>2.3807639</v>
      </c>
      <c r="R577" s="46" t="n">
        <v>1.9201125</v>
      </c>
      <c r="S577" s="47" t="n">
        <f aca="false">M577+N577+O577</f>
        <v>0.5841576</v>
      </c>
      <c r="T577" s="47" t="n">
        <f aca="false">M577+P577</f>
        <v>0.773569</v>
      </c>
    </row>
    <row r="578" customFormat="false" ht="15" hidden="false" customHeight="false" outlineLevel="0" collapsed="false">
      <c r="A578" s="42" t="s">
        <v>44</v>
      </c>
      <c r="B578" s="42" t="n">
        <v>-10</v>
      </c>
      <c r="C578" s="42" t="n">
        <v>77</v>
      </c>
      <c r="D578" s="42" t="n">
        <v>74270992</v>
      </c>
      <c r="E578" s="43" t="n">
        <v>0.964722209472743</v>
      </c>
      <c r="F578" s="43" t="n">
        <v>0.985442843864937</v>
      </c>
      <c r="G578" s="43" t="n">
        <v>0.984428632816635</v>
      </c>
      <c r="H578" s="43" t="n">
        <v>0.98518757602781</v>
      </c>
      <c r="I578" s="42" t="n">
        <v>1</v>
      </c>
      <c r="J578" s="42" t="n">
        <v>1</v>
      </c>
      <c r="K578" s="44" t="str">
        <f aca="false">IF(AND(I578=1,J578=1),"两者都跟住",IF(AND(I578=0,J578=1),"仅 PC-TBD 跟住",IF(AND(I578=1,J578=0),"仅 VIT-LPS 跟住","都没跟住")))</f>
        <v>两者都跟住</v>
      </c>
      <c r="L578" s="45" t="n">
        <f aca="false">F578-G578</f>
        <v>0.00101421104830202</v>
      </c>
      <c r="M578" s="46" t="n">
        <v>0.1466397</v>
      </c>
      <c r="N578" s="46" t="n">
        <v>0.0707874</v>
      </c>
      <c r="O578" s="46" t="n">
        <v>0.0914863</v>
      </c>
      <c r="P578" s="46" t="n">
        <v>0.4509916</v>
      </c>
      <c r="Q578" s="46" t="n">
        <v>1.25434</v>
      </c>
      <c r="R578" s="46" t="n">
        <v>1.3113305</v>
      </c>
      <c r="S578" s="47" t="n">
        <f aca="false">M578+N578+O578</f>
        <v>0.3089134</v>
      </c>
      <c r="T578" s="47" t="n">
        <f aca="false">M578+P578</f>
        <v>0.5976313</v>
      </c>
    </row>
    <row r="579" customFormat="false" ht="15" hidden="false" customHeight="false" outlineLevel="0" collapsed="false">
      <c r="A579" s="42" t="s">
        <v>44</v>
      </c>
      <c r="B579" s="42" t="n">
        <v>-10</v>
      </c>
      <c r="C579" s="42" t="n">
        <v>78</v>
      </c>
      <c r="D579" s="42" t="n">
        <v>74270993</v>
      </c>
      <c r="E579" s="43" t="n">
        <v>0.973011757847363</v>
      </c>
      <c r="F579" s="43" t="n">
        <v>0.969681805763796</v>
      </c>
      <c r="G579" s="43" t="n">
        <v>0.970404173439397</v>
      </c>
      <c r="H579" s="43" t="n">
        <v>0.970361575838125</v>
      </c>
      <c r="I579" s="42" t="n">
        <v>1</v>
      </c>
      <c r="J579" s="42" t="n">
        <v>1</v>
      </c>
      <c r="K579" s="44" t="str">
        <f aca="false">IF(AND(I579=1,J579=1),"两者都跟住",IF(AND(I579=0,J579=1),"仅 PC-TBD 跟住",IF(AND(I579=1,J579=0),"仅 VIT-LPS 跟住","都没跟住")))</f>
        <v>两者都跟住</v>
      </c>
      <c r="L579" s="45" t="n">
        <f aca="false">F579-G579</f>
        <v>-0.000722367675600966</v>
      </c>
      <c r="M579" s="46" t="n">
        <v>0.1568438</v>
      </c>
      <c r="N579" s="46" t="n">
        <v>0.0808249</v>
      </c>
      <c r="O579" s="46" t="n">
        <v>0.154685</v>
      </c>
      <c r="P579" s="46" t="n">
        <v>0.3969411</v>
      </c>
      <c r="Q579" s="46" t="n">
        <v>1.1627355</v>
      </c>
      <c r="R579" s="46" t="n">
        <v>1.4146831</v>
      </c>
      <c r="S579" s="47" t="n">
        <f aca="false">M579+N579+O579</f>
        <v>0.3923537</v>
      </c>
      <c r="T579" s="47" t="n">
        <f aca="false">M579+P579</f>
        <v>0.5537849</v>
      </c>
    </row>
    <row r="580" customFormat="false" ht="15" hidden="false" customHeight="false" outlineLevel="0" collapsed="false">
      <c r="A580" s="42" t="s">
        <v>44</v>
      </c>
      <c r="B580" s="42" t="n">
        <v>-10</v>
      </c>
      <c r="C580" s="42" t="n">
        <v>79</v>
      </c>
      <c r="D580" s="42" t="n">
        <v>74270994</v>
      </c>
      <c r="E580" s="43" t="n">
        <v>0.979038168424548</v>
      </c>
      <c r="F580" s="43" t="n">
        <v>0.984628207610859</v>
      </c>
      <c r="G580" s="43" t="n">
        <v>0.976782202402386</v>
      </c>
      <c r="H580" s="43" t="n">
        <v>0.983831809503887</v>
      </c>
      <c r="I580" s="42" t="n">
        <v>1</v>
      </c>
      <c r="J580" s="42" t="n">
        <v>1</v>
      </c>
      <c r="K580" s="44" t="str">
        <f aca="false">IF(AND(I580=1,J580=1),"两者都跟住",IF(AND(I580=0,J580=1),"仅 PC-TBD 跟住",IF(AND(I580=1,J580=0),"仅 VIT-LPS 跟住","都没跟住")))</f>
        <v>两者都跟住</v>
      </c>
      <c r="L580" s="45" t="n">
        <f aca="false">F580-G580</f>
        <v>0.00784600520847301</v>
      </c>
      <c r="M580" s="46" t="n">
        <v>0.1543666</v>
      </c>
      <c r="N580" s="46" t="n">
        <v>0.0903546</v>
      </c>
      <c r="O580" s="46" t="n">
        <v>0.162569</v>
      </c>
      <c r="P580" s="46" t="n">
        <v>0.4806562</v>
      </c>
      <c r="Q580" s="46" t="n">
        <v>1.0968517</v>
      </c>
      <c r="R580" s="46" t="n">
        <v>1.451975</v>
      </c>
      <c r="S580" s="47" t="n">
        <f aca="false">M580+N580+O580</f>
        <v>0.4072902</v>
      </c>
      <c r="T580" s="47" t="n">
        <f aca="false">M580+P580</f>
        <v>0.6350228</v>
      </c>
    </row>
    <row r="581" customFormat="false" ht="15" hidden="false" customHeight="false" outlineLevel="0" collapsed="false">
      <c r="A581" s="42" t="s">
        <v>44</v>
      </c>
      <c r="B581" s="42" t="n">
        <v>-10</v>
      </c>
      <c r="C581" s="42" t="n">
        <v>80</v>
      </c>
      <c r="D581" s="42" t="n">
        <v>74270995</v>
      </c>
      <c r="E581" s="43" t="n">
        <v>0.978908688142858</v>
      </c>
      <c r="F581" s="43" t="n">
        <v>0.977808654526342</v>
      </c>
      <c r="G581" s="43" t="n">
        <v>0.970848390493968</v>
      </c>
      <c r="H581" s="43" t="n">
        <v>0.979334355926411</v>
      </c>
      <c r="I581" s="42" t="n">
        <v>1</v>
      </c>
      <c r="J581" s="42" t="n">
        <v>1</v>
      </c>
      <c r="K581" s="44" t="str">
        <f aca="false">IF(AND(I581=1,J581=1),"两者都跟住",IF(AND(I581=0,J581=1),"仅 PC-TBD 跟住",IF(AND(I581=1,J581=0),"仅 VIT-LPS 跟住","都没跟住")))</f>
        <v>两者都跟住</v>
      </c>
      <c r="L581" s="45" t="n">
        <f aca="false">F581-G581</f>
        <v>0.00696026403237404</v>
      </c>
      <c r="M581" s="46" t="n">
        <v>0.1665323</v>
      </c>
      <c r="N581" s="46" t="n">
        <v>0.0911206</v>
      </c>
      <c r="O581" s="46" t="n">
        <v>0.1606556</v>
      </c>
      <c r="P581" s="46" t="n">
        <v>0.4410996</v>
      </c>
      <c r="Q581" s="46" t="n">
        <v>1.366532</v>
      </c>
      <c r="R581" s="46" t="n">
        <v>1.2888172</v>
      </c>
      <c r="S581" s="47" t="n">
        <f aca="false">M581+N581+O581</f>
        <v>0.4183085</v>
      </c>
      <c r="T581" s="47" t="n">
        <f aca="false">M581+P581</f>
        <v>0.6076319</v>
      </c>
    </row>
    <row r="582" customFormat="false" ht="15" hidden="false" customHeight="false" outlineLevel="0" collapsed="false">
      <c r="A582" s="42" t="s">
        <v>44</v>
      </c>
      <c r="B582" s="42" t="n">
        <v>-10</v>
      </c>
      <c r="C582" s="42" t="n">
        <v>81</v>
      </c>
      <c r="D582" s="42" t="n">
        <v>74270996</v>
      </c>
      <c r="E582" s="43" t="n">
        <v>0.977011916077851</v>
      </c>
      <c r="F582" s="43" t="n">
        <v>0.983840914623827</v>
      </c>
      <c r="G582" s="43" t="n">
        <v>0.981657996607664</v>
      </c>
      <c r="H582" s="43" t="n">
        <v>0.98321172551693</v>
      </c>
      <c r="I582" s="42" t="n">
        <v>1</v>
      </c>
      <c r="J582" s="42" t="n">
        <v>1</v>
      </c>
      <c r="K582" s="44" t="str">
        <f aca="false">IF(AND(I582=1,J582=1),"两者都跟住",IF(AND(I582=0,J582=1),"仅 PC-TBD 跟住",IF(AND(I582=1,J582=0),"仅 VIT-LPS 跟住","都没跟住")))</f>
        <v>两者都跟住</v>
      </c>
      <c r="L582" s="45" t="n">
        <f aca="false">F582-G582</f>
        <v>0.00218291801616299</v>
      </c>
      <c r="M582" s="46" t="n">
        <v>0.2349837</v>
      </c>
      <c r="N582" s="46" t="n">
        <v>0.1375655</v>
      </c>
      <c r="O582" s="46" t="n">
        <v>0.1944162</v>
      </c>
      <c r="P582" s="46" t="n">
        <v>0.5301732</v>
      </c>
      <c r="Q582" s="46" t="n">
        <v>2.0680552</v>
      </c>
      <c r="R582" s="46" t="n">
        <v>1.9385322</v>
      </c>
      <c r="S582" s="47" t="n">
        <f aca="false">M582+N582+O582</f>
        <v>0.5669654</v>
      </c>
      <c r="T582" s="47" t="n">
        <f aca="false">M582+P582</f>
        <v>0.7651569</v>
      </c>
    </row>
    <row r="583" customFormat="false" ht="15" hidden="false" customHeight="false" outlineLevel="0" collapsed="false">
      <c r="A583" s="42" t="s">
        <v>44</v>
      </c>
      <c r="B583" s="42" t="n">
        <v>-10</v>
      </c>
      <c r="C583" s="42" t="n">
        <v>82</v>
      </c>
      <c r="D583" s="42" t="n">
        <v>74270997</v>
      </c>
      <c r="E583" s="43" t="n">
        <v>0.956534797491232</v>
      </c>
      <c r="F583" s="43" t="n">
        <v>0.98114622573187</v>
      </c>
      <c r="G583" s="43" t="n">
        <v>0.984405551062491</v>
      </c>
      <c r="H583" s="43" t="n">
        <v>0.981382477423526</v>
      </c>
      <c r="I583" s="42" t="n">
        <v>1</v>
      </c>
      <c r="J583" s="42" t="n">
        <v>1</v>
      </c>
      <c r="K583" s="44" t="str">
        <f aca="false">IF(AND(I583=1,J583=1),"两者都跟住",IF(AND(I583=0,J583=1),"仅 PC-TBD 跟住",IF(AND(I583=1,J583=0),"仅 VIT-LPS 跟住","都没跟住")))</f>
        <v>两者都跟住</v>
      </c>
      <c r="L583" s="45" t="n">
        <f aca="false">F583-G583</f>
        <v>-0.0032593253306209</v>
      </c>
      <c r="M583" s="46" t="n">
        <v>0.2413797</v>
      </c>
      <c r="N583" s="46" t="n">
        <v>0.1492499</v>
      </c>
      <c r="O583" s="46" t="n">
        <v>0.19505</v>
      </c>
      <c r="P583" s="46" t="n">
        <v>0.5644736</v>
      </c>
      <c r="Q583" s="46" t="n">
        <v>2.3374479</v>
      </c>
      <c r="R583" s="46" t="n">
        <v>2.0420411</v>
      </c>
      <c r="S583" s="47" t="n">
        <f aca="false">M583+N583+O583</f>
        <v>0.5856796</v>
      </c>
      <c r="T583" s="47" t="n">
        <f aca="false">M583+P583</f>
        <v>0.8058533</v>
      </c>
    </row>
    <row r="584" customFormat="false" ht="15" hidden="false" customHeight="false" outlineLevel="0" collapsed="false">
      <c r="A584" s="42" t="s">
        <v>44</v>
      </c>
      <c r="B584" s="42" t="n">
        <v>-10</v>
      </c>
      <c r="C584" s="42" t="n">
        <v>83</v>
      </c>
      <c r="D584" s="42" t="n">
        <v>74270998</v>
      </c>
      <c r="E584" s="43" t="n">
        <v>0.981945259309949</v>
      </c>
      <c r="F584" s="43" t="n">
        <v>0.981702607406869</v>
      </c>
      <c r="G584" s="43" t="n">
        <v>0.982565558632577</v>
      </c>
      <c r="H584" s="43" t="n">
        <v>0.984838752113174</v>
      </c>
      <c r="I584" s="42" t="n">
        <v>1</v>
      </c>
      <c r="J584" s="42" t="n">
        <v>1</v>
      </c>
      <c r="K584" s="44" t="str">
        <f aca="false">IF(AND(I584=1,J584=1),"两者都跟住",IF(AND(I584=0,J584=1),"仅 PC-TBD 跟住",IF(AND(I584=1,J584=0),"仅 VIT-LPS 跟住","都没跟住")))</f>
        <v>两者都跟住</v>
      </c>
      <c r="L584" s="45" t="n">
        <f aca="false">F584-G584</f>
        <v>-0.000862951225708009</v>
      </c>
      <c r="M584" s="46" t="n">
        <v>0.2378302</v>
      </c>
      <c r="N584" s="46" t="n">
        <v>0.1333998</v>
      </c>
      <c r="O584" s="46" t="n">
        <v>0.1996439</v>
      </c>
      <c r="P584" s="46" t="n">
        <v>0.5016666</v>
      </c>
      <c r="Q584" s="46" t="n">
        <v>2.6973864</v>
      </c>
      <c r="R584" s="46" t="n">
        <v>2.3464665</v>
      </c>
      <c r="S584" s="47" t="n">
        <f aca="false">M584+N584+O584</f>
        <v>0.5708739</v>
      </c>
      <c r="T584" s="47" t="n">
        <f aca="false">M584+P584</f>
        <v>0.7394968</v>
      </c>
    </row>
    <row r="585" customFormat="false" ht="15" hidden="false" customHeight="false" outlineLevel="0" collapsed="false">
      <c r="A585" s="42" t="s">
        <v>44</v>
      </c>
      <c r="B585" s="42" t="n">
        <v>-10</v>
      </c>
      <c r="C585" s="42" t="n">
        <v>84</v>
      </c>
      <c r="D585" s="42" t="n">
        <v>74270999</v>
      </c>
      <c r="E585" s="43" t="n">
        <v>0.981863668371358</v>
      </c>
      <c r="F585" s="43" t="n">
        <v>0.987497182632025</v>
      </c>
      <c r="G585" s="43" t="n">
        <v>0.985862351485095</v>
      </c>
      <c r="H585" s="43" t="n">
        <v>0.986562832050822</v>
      </c>
      <c r="I585" s="42" t="n">
        <v>1</v>
      </c>
      <c r="J585" s="42" t="n">
        <v>1</v>
      </c>
      <c r="K585" s="44" t="str">
        <f aca="false">IF(AND(I585=1,J585=1),"两者都跟住",IF(AND(I585=0,J585=1),"仅 PC-TBD 跟住",IF(AND(I585=1,J585=0),"仅 VIT-LPS 跟住","都没跟住")))</f>
        <v>两者都跟住</v>
      </c>
      <c r="L585" s="45" t="n">
        <f aca="false">F585-G585</f>
        <v>0.00163483114692997</v>
      </c>
      <c r="M585" s="46" t="n">
        <v>0.2301181</v>
      </c>
      <c r="N585" s="46" t="n">
        <v>0.1260657</v>
      </c>
      <c r="O585" s="46" t="n">
        <v>0.1940827</v>
      </c>
      <c r="P585" s="46" t="n">
        <v>0.5839617</v>
      </c>
      <c r="Q585" s="46" t="n">
        <v>2.4740841</v>
      </c>
      <c r="R585" s="46" t="n">
        <v>1.9187177</v>
      </c>
      <c r="S585" s="47" t="n">
        <f aca="false">M585+N585+O585</f>
        <v>0.5502665</v>
      </c>
      <c r="T585" s="47" t="n">
        <f aca="false">M585+P585</f>
        <v>0.8140798</v>
      </c>
    </row>
    <row r="586" customFormat="false" ht="15" hidden="false" customHeight="false" outlineLevel="0" collapsed="false">
      <c r="A586" s="42" t="s">
        <v>44</v>
      </c>
      <c r="B586" s="42" t="n">
        <v>-10</v>
      </c>
      <c r="C586" s="42" t="n">
        <v>85</v>
      </c>
      <c r="D586" s="42" t="n">
        <v>74271000</v>
      </c>
      <c r="E586" s="43" t="n">
        <v>0.979455851376436</v>
      </c>
      <c r="F586" s="43" t="n">
        <v>0.985684130034259</v>
      </c>
      <c r="G586" s="43" t="n">
        <v>0.986630846300315</v>
      </c>
      <c r="H586" s="43" t="n">
        <v>0.987084467002781</v>
      </c>
      <c r="I586" s="42" t="n">
        <v>1</v>
      </c>
      <c r="J586" s="42" t="n">
        <v>1</v>
      </c>
      <c r="K586" s="44" t="str">
        <f aca="false">IF(AND(I586=1,J586=1),"两者都跟住",IF(AND(I586=0,J586=1),"仅 PC-TBD 跟住",IF(AND(I586=1,J586=0),"仅 VIT-LPS 跟住","都没跟住")))</f>
        <v>两者都跟住</v>
      </c>
      <c r="L586" s="45" t="n">
        <f aca="false">F586-G586</f>
        <v>-0.000946716266055914</v>
      </c>
      <c r="M586" s="46" t="n">
        <v>0.2572112</v>
      </c>
      <c r="N586" s="46" t="n">
        <v>0.1051418</v>
      </c>
      <c r="O586" s="46" t="n">
        <v>0.1925134</v>
      </c>
      <c r="P586" s="46" t="n">
        <v>0.5454716</v>
      </c>
      <c r="Q586" s="46" t="n">
        <v>2.4480175</v>
      </c>
      <c r="R586" s="46" t="n">
        <v>1.8289532</v>
      </c>
      <c r="S586" s="47" t="n">
        <f aca="false">M586+N586+O586</f>
        <v>0.5548664</v>
      </c>
      <c r="T586" s="47" t="n">
        <f aca="false">M586+P586</f>
        <v>0.8026828</v>
      </c>
    </row>
    <row r="587" customFormat="false" ht="15" hidden="false" customHeight="false" outlineLevel="0" collapsed="false">
      <c r="A587" s="42" t="s">
        <v>44</v>
      </c>
      <c r="B587" s="42" t="n">
        <v>-10</v>
      </c>
      <c r="C587" s="42" t="n">
        <v>86</v>
      </c>
      <c r="D587" s="42" t="n">
        <v>74271001</v>
      </c>
      <c r="E587" s="43" t="n">
        <v>0.977123577194801</v>
      </c>
      <c r="F587" s="43" t="n">
        <v>0.975936642321099</v>
      </c>
      <c r="G587" s="43" t="n">
        <v>0.988725867003209</v>
      </c>
      <c r="H587" s="43" t="n">
        <v>0.978614011239102</v>
      </c>
      <c r="I587" s="42" t="n">
        <v>1</v>
      </c>
      <c r="J587" s="42" t="n">
        <v>1</v>
      </c>
      <c r="K587" s="44" t="str">
        <f aca="false">IF(AND(I587=1,J587=1),"两者都跟住",IF(AND(I587=0,J587=1),"仅 PC-TBD 跟住",IF(AND(I587=1,J587=0),"仅 VIT-LPS 跟住","都没跟住")))</f>
        <v>两者都跟住</v>
      </c>
      <c r="L587" s="45" t="n">
        <f aca="false">F587-G587</f>
        <v>-0.01278922468211</v>
      </c>
      <c r="M587" s="46" t="n">
        <v>0.2365701</v>
      </c>
      <c r="N587" s="46" t="n">
        <v>0.1261019</v>
      </c>
      <c r="O587" s="46" t="n">
        <v>0.1892571</v>
      </c>
      <c r="P587" s="46" t="n">
        <v>0.4935196</v>
      </c>
      <c r="Q587" s="46" t="n">
        <v>2.2903647</v>
      </c>
      <c r="R587" s="46" t="n">
        <v>1.9994466</v>
      </c>
      <c r="S587" s="47" t="n">
        <f aca="false">M587+N587+O587</f>
        <v>0.5519291</v>
      </c>
      <c r="T587" s="47" t="n">
        <f aca="false">M587+P587</f>
        <v>0.7300897</v>
      </c>
    </row>
    <row r="588" customFormat="false" ht="15" hidden="false" customHeight="false" outlineLevel="0" collapsed="false">
      <c r="A588" s="42" t="s">
        <v>44</v>
      </c>
      <c r="B588" s="42" t="n">
        <v>-10</v>
      </c>
      <c r="C588" s="42" t="n">
        <v>87</v>
      </c>
      <c r="D588" s="42" t="n">
        <v>74271002</v>
      </c>
      <c r="E588" s="43" t="n">
        <v>0.983189163819996</v>
      </c>
      <c r="F588" s="43" t="n">
        <v>0.985220279079586</v>
      </c>
      <c r="G588" s="43" t="n">
        <v>0.981058357795163</v>
      </c>
      <c r="H588" s="43" t="n">
        <v>0.98577217201978</v>
      </c>
      <c r="I588" s="42" t="n">
        <v>1</v>
      </c>
      <c r="J588" s="42" t="n">
        <v>1</v>
      </c>
      <c r="K588" s="44" t="str">
        <f aca="false">IF(AND(I588=1,J588=1),"两者都跟住",IF(AND(I588=0,J588=1),"仅 PC-TBD 跟住",IF(AND(I588=1,J588=0),"仅 VIT-LPS 跟住","都没跟住")))</f>
        <v>两者都跟住</v>
      </c>
      <c r="L588" s="45" t="n">
        <f aca="false">F588-G588</f>
        <v>0.00416192128442294</v>
      </c>
      <c r="M588" s="46" t="n">
        <v>0.1336765</v>
      </c>
      <c r="N588" s="46" t="n">
        <v>0.0923662</v>
      </c>
      <c r="O588" s="46" t="n">
        <v>0.1402905</v>
      </c>
      <c r="P588" s="46" t="n">
        <v>0.3857879</v>
      </c>
      <c r="Q588" s="46" t="n">
        <v>1.6768626</v>
      </c>
      <c r="R588" s="46" t="n">
        <v>1.2262362</v>
      </c>
      <c r="S588" s="47" t="n">
        <f aca="false">M588+N588+O588</f>
        <v>0.3663332</v>
      </c>
      <c r="T588" s="47" t="n">
        <f aca="false">M588+P588</f>
        <v>0.5194644</v>
      </c>
    </row>
    <row r="589" customFormat="false" ht="15" hidden="false" customHeight="false" outlineLevel="0" collapsed="false">
      <c r="A589" s="42" t="s">
        <v>44</v>
      </c>
      <c r="B589" s="42" t="n">
        <v>-10</v>
      </c>
      <c r="C589" s="42" t="n">
        <v>88</v>
      </c>
      <c r="D589" s="42" t="n">
        <v>74271003</v>
      </c>
      <c r="E589" s="43" t="n">
        <v>0.981708573627371</v>
      </c>
      <c r="F589" s="43" t="n">
        <v>0.982143633585864</v>
      </c>
      <c r="G589" s="43" t="n">
        <v>0.980463919414033</v>
      </c>
      <c r="H589" s="43" t="n">
        <v>0.981351288961779</v>
      </c>
      <c r="I589" s="42" t="n">
        <v>1</v>
      </c>
      <c r="J589" s="42" t="n">
        <v>1</v>
      </c>
      <c r="K589" s="44" t="str">
        <f aca="false">IF(AND(I589=1,J589=1),"两者都跟住",IF(AND(I589=0,J589=1),"仅 PC-TBD 跟住",IF(AND(I589=1,J589=0),"仅 VIT-LPS 跟住","都没跟住")))</f>
        <v>两者都跟住</v>
      </c>
      <c r="L589" s="45" t="n">
        <f aca="false">F589-G589</f>
        <v>0.00167971417183099</v>
      </c>
      <c r="M589" s="46" t="n">
        <v>0.1371019</v>
      </c>
      <c r="N589" s="46" t="n">
        <v>0.0654378</v>
      </c>
      <c r="O589" s="46" t="n">
        <v>0.1370834</v>
      </c>
      <c r="P589" s="46" t="n">
        <v>0.3986094</v>
      </c>
      <c r="Q589" s="46" t="n">
        <v>1.2609983</v>
      </c>
      <c r="R589" s="46" t="n">
        <v>1.2450227</v>
      </c>
      <c r="S589" s="47" t="n">
        <f aca="false">M589+N589+O589</f>
        <v>0.3396231</v>
      </c>
      <c r="T589" s="47" t="n">
        <f aca="false">M589+P589</f>
        <v>0.5357113</v>
      </c>
    </row>
    <row r="590" customFormat="false" ht="15" hidden="false" customHeight="false" outlineLevel="0" collapsed="false">
      <c r="A590" s="42" t="s">
        <v>44</v>
      </c>
      <c r="B590" s="42" t="n">
        <v>-10</v>
      </c>
      <c r="C590" s="42" t="n">
        <v>89</v>
      </c>
      <c r="D590" s="42" t="n">
        <v>74271004</v>
      </c>
      <c r="E590" s="43" t="n">
        <v>0.967387129237951</v>
      </c>
      <c r="F590" s="43" t="n">
        <v>0.978733699990207</v>
      </c>
      <c r="G590" s="43" t="n">
        <v>0.891410381776554</v>
      </c>
      <c r="H590" s="43" t="n">
        <v>0.900477782822402</v>
      </c>
      <c r="I590" s="42" t="n">
        <v>1</v>
      </c>
      <c r="J590" s="42" t="n">
        <v>1</v>
      </c>
      <c r="K590" s="44" t="str">
        <f aca="false">IF(AND(I590=1,J590=1),"两者都跟住",IF(AND(I590=0,J590=1),"仅 PC-TBD 跟住",IF(AND(I590=1,J590=0),"仅 VIT-LPS 跟住","都没跟住")))</f>
        <v>两者都跟住</v>
      </c>
      <c r="L590" s="45" t="n">
        <f aca="false">F590-G590</f>
        <v>0.087323318213653</v>
      </c>
      <c r="M590" s="46" t="n">
        <v>0.1633896</v>
      </c>
      <c r="N590" s="46" t="n">
        <v>0.1320197</v>
      </c>
      <c r="O590" s="46" t="n">
        <v>0.163856</v>
      </c>
      <c r="P590" s="46" t="n">
        <v>0.4276819</v>
      </c>
      <c r="Q590" s="46" t="n">
        <v>1.2917568</v>
      </c>
      <c r="R590" s="46" t="n">
        <v>1.2723171</v>
      </c>
      <c r="S590" s="47" t="n">
        <f aca="false">M590+N590+O590</f>
        <v>0.4592653</v>
      </c>
      <c r="T590" s="47" t="n">
        <f aca="false">M590+P590</f>
        <v>0.5910715</v>
      </c>
    </row>
    <row r="591" customFormat="false" ht="15" hidden="false" customHeight="false" outlineLevel="0" collapsed="false">
      <c r="A591" s="42" t="s">
        <v>44</v>
      </c>
      <c r="B591" s="42" t="n">
        <v>-10</v>
      </c>
      <c r="C591" s="42" t="n">
        <v>90</v>
      </c>
      <c r="D591" s="42" t="n">
        <v>74271005</v>
      </c>
      <c r="E591" s="43" t="n">
        <v>0.983453386976809</v>
      </c>
      <c r="F591" s="43" t="n">
        <v>0.984113193505951</v>
      </c>
      <c r="G591" s="43" t="n">
        <v>0.984095892663296</v>
      </c>
      <c r="H591" s="43" t="n">
        <v>0.983204727407143</v>
      </c>
      <c r="I591" s="42" t="n">
        <v>1</v>
      </c>
      <c r="J591" s="42" t="n">
        <v>1</v>
      </c>
      <c r="K591" s="44" t="str">
        <f aca="false">IF(AND(I591=1,J591=1),"两者都跟住",IF(AND(I591=0,J591=1),"仅 PC-TBD 跟住",IF(AND(I591=1,J591=0),"仅 VIT-LPS 跟住","都没跟住")))</f>
        <v>两者都跟住</v>
      </c>
      <c r="L591" s="45" t="n">
        <f aca="false">F591-G591</f>
        <v>1.73008426549437E-005</v>
      </c>
      <c r="M591" s="46" t="n">
        <v>0.1267279</v>
      </c>
      <c r="N591" s="46" t="n">
        <v>0.0793904</v>
      </c>
      <c r="O591" s="46" t="n">
        <v>0.0988514</v>
      </c>
      <c r="P591" s="46" t="n">
        <v>0.4688851</v>
      </c>
      <c r="Q591" s="46" t="n">
        <v>1.4285404</v>
      </c>
      <c r="R591" s="46" t="n">
        <v>1.3194776</v>
      </c>
      <c r="S591" s="47" t="n">
        <f aca="false">M591+N591+O591</f>
        <v>0.3049697</v>
      </c>
      <c r="T591" s="47" t="n">
        <f aca="false">M591+P591</f>
        <v>0.595613</v>
      </c>
    </row>
    <row r="592" customFormat="false" ht="15" hidden="false" customHeight="false" outlineLevel="0" collapsed="false">
      <c r="A592" s="42" t="s">
        <v>44</v>
      </c>
      <c r="B592" s="42" t="n">
        <v>-10</v>
      </c>
      <c r="C592" s="42" t="n">
        <v>91</v>
      </c>
      <c r="D592" s="42" t="n">
        <v>74271006</v>
      </c>
      <c r="E592" s="43" t="n">
        <v>0.96879015824934</v>
      </c>
      <c r="F592" s="43" t="n">
        <v>0.970182252425979</v>
      </c>
      <c r="G592" s="43" t="n">
        <v>0.964015463592297</v>
      </c>
      <c r="H592" s="43" t="n">
        <v>0.968980472763365</v>
      </c>
      <c r="I592" s="42" t="n">
        <v>1</v>
      </c>
      <c r="J592" s="42" t="n">
        <v>1</v>
      </c>
      <c r="K592" s="44" t="str">
        <f aca="false">IF(AND(I592=1,J592=1),"两者都跟住",IF(AND(I592=0,J592=1),"仅 PC-TBD 跟住",IF(AND(I592=1,J592=0),"仅 VIT-LPS 跟住","都没跟住")))</f>
        <v>两者都跟住</v>
      </c>
      <c r="L592" s="45" t="n">
        <f aca="false">F592-G592</f>
        <v>0.00616678883368205</v>
      </c>
      <c r="M592" s="46" t="n">
        <v>0.2762505</v>
      </c>
      <c r="N592" s="46" t="n">
        <v>0.109143</v>
      </c>
      <c r="O592" s="46" t="n">
        <v>0.1790329</v>
      </c>
      <c r="P592" s="46" t="n">
        <v>0.5719348</v>
      </c>
      <c r="Q592" s="46" t="n">
        <v>2.6353574</v>
      </c>
      <c r="R592" s="46" t="n">
        <v>2.2512828</v>
      </c>
      <c r="S592" s="47" t="n">
        <f aca="false">M592+N592+O592</f>
        <v>0.5644264</v>
      </c>
      <c r="T592" s="47" t="n">
        <f aca="false">M592+P592</f>
        <v>0.8481853</v>
      </c>
    </row>
    <row r="593" customFormat="false" ht="15" hidden="false" customHeight="false" outlineLevel="0" collapsed="false">
      <c r="A593" s="42" t="s">
        <v>44</v>
      </c>
      <c r="B593" s="42" t="n">
        <v>-10</v>
      </c>
      <c r="C593" s="42" t="n">
        <v>92</v>
      </c>
      <c r="D593" s="42" t="n">
        <v>74271007</v>
      </c>
      <c r="E593" s="43" t="n">
        <v>0.967884822964838</v>
      </c>
      <c r="F593" s="43" t="n">
        <v>0.975043918110489</v>
      </c>
      <c r="G593" s="43" t="n">
        <v>0.974669322451583</v>
      </c>
      <c r="H593" s="43" t="n">
        <v>0.974677754924614</v>
      </c>
      <c r="I593" s="42" t="n">
        <v>1</v>
      </c>
      <c r="J593" s="42" t="n">
        <v>1</v>
      </c>
      <c r="K593" s="44" t="str">
        <f aca="false">IF(AND(I593=1,J593=1),"两者都跟住",IF(AND(I593=0,J593=1),"仅 PC-TBD 跟住",IF(AND(I593=1,J593=0),"仅 VIT-LPS 跟住","都没跟住")))</f>
        <v>两者都跟住</v>
      </c>
      <c r="L593" s="45" t="n">
        <f aca="false">F593-G593</f>
        <v>0.000374595658905963</v>
      </c>
      <c r="M593" s="46" t="n">
        <v>0.294501</v>
      </c>
      <c r="N593" s="46" t="n">
        <v>0.1205119</v>
      </c>
      <c r="O593" s="46" t="n">
        <v>0.1525054</v>
      </c>
      <c r="P593" s="46" t="n">
        <v>0.5970324</v>
      </c>
      <c r="Q593" s="46" t="n">
        <v>1.8959192</v>
      </c>
      <c r="R593" s="46" t="n">
        <v>2.0561894</v>
      </c>
      <c r="S593" s="47" t="n">
        <f aca="false">M593+N593+O593</f>
        <v>0.5675183</v>
      </c>
      <c r="T593" s="47" t="n">
        <f aca="false">M593+P593</f>
        <v>0.8915334</v>
      </c>
    </row>
    <row r="594" customFormat="false" ht="15" hidden="false" customHeight="false" outlineLevel="0" collapsed="false">
      <c r="A594" s="42" t="s">
        <v>44</v>
      </c>
      <c r="B594" s="42" t="n">
        <v>-10</v>
      </c>
      <c r="C594" s="42" t="n">
        <v>93</v>
      </c>
      <c r="D594" s="42" t="n">
        <v>74271008</v>
      </c>
      <c r="E594" s="43" t="n">
        <v>0.971413438477757</v>
      </c>
      <c r="F594" s="43" t="n">
        <v>0.977177517139345</v>
      </c>
      <c r="G594" s="43" t="n">
        <v>0.981700278951206</v>
      </c>
      <c r="H594" s="43" t="n">
        <v>0.976751119414745</v>
      </c>
      <c r="I594" s="42" t="n">
        <v>1</v>
      </c>
      <c r="J594" s="42" t="n">
        <v>1</v>
      </c>
      <c r="K594" s="44" t="str">
        <f aca="false">IF(AND(I594=1,J594=1),"两者都跟住",IF(AND(I594=0,J594=1),"仅 PC-TBD 跟住",IF(AND(I594=1,J594=0),"仅 VIT-LPS 跟住","都没跟住")))</f>
        <v>两者都跟住</v>
      </c>
      <c r="L594" s="45" t="n">
        <f aca="false">F594-G594</f>
        <v>-0.00452276181186107</v>
      </c>
      <c r="M594" s="46" t="n">
        <v>0.2733616</v>
      </c>
      <c r="N594" s="46" t="n">
        <v>0.1396711</v>
      </c>
      <c r="O594" s="46" t="n">
        <v>0.1899232</v>
      </c>
      <c r="P594" s="46" t="n">
        <v>0.505881</v>
      </c>
      <c r="Q594" s="46" t="n">
        <v>2.316424</v>
      </c>
      <c r="R594" s="46" t="n">
        <v>2.2723323</v>
      </c>
      <c r="S594" s="47" t="n">
        <f aca="false">M594+N594+O594</f>
        <v>0.6029559</v>
      </c>
      <c r="T594" s="47" t="n">
        <f aca="false">M594+P594</f>
        <v>0.7792426</v>
      </c>
    </row>
    <row r="595" customFormat="false" ht="15" hidden="false" customHeight="false" outlineLevel="0" collapsed="false">
      <c r="A595" s="42" t="s">
        <v>44</v>
      </c>
      <c r="B595" s="42" t="n">
        <v>-10</v>
      </c>
      <c r="C595" s="42" t="n">
        <v>94</v>
      </c>
      <c r="D595" s="42" t="n">
        <v>74271009</v>
      </c>
      <c r="E595" s="43" t="n">
        <v>0.971694755406509</v>
      </c>
      <c r="F595" s="43" t="n">
        <v>0.973306355268789</v>
      </c>
      <c r="G595" s="43" t="n">
        <v>0.97281350052165</v>
      </c>
      <c r="H595" s="43" t="n">
        <v>0.974508654654932</v>
      </c>
      <c r="I595" s="42" t="n">
        <v>1</v>
      </c>
      <c r="J595" s="42" t="n">
        <v>1</v>
      </c>
      <c r="K595" s="44" t="str">
        <f aca="false">IF(AND(I595=1,J595=1),"两者都跟住",IF(AND(I595=0,J595=1),"仅 PC-TBD 跟住",IF(AND(I595=1,J595=0),"仅 VIT-LPS 跟住","都没跟住")))</f>
        <v>两者都跟住</v>
      </c>
      <c r="L595" s="45" t="n">
        <f aca="false">F595-G595</f>
        <v>0.000492854747138893</v>
      </c>
      <c r="M595" s="46" t="n">
        <v>0.2892041</v>
      </c>
      <c r="N595" s="46" t="n">
        <v>0.1402372</v>
      </c>
      <c r="O595" s="46" t="n">
        <v>0.1609022</v>
      </c>
      <c r="P595" s="46" t="n">
        <v>0.6127009</v>
      </c>
      <c r="Q595" s="46" t="n">
        <v>1.5269781</v>
      </c>
      <c r="R595" s="46" t="n">
        <v>2.0059943</v>
      </c>
      <c r="S595" s="47" t="n">
        <f aca="false">M595+N595+O595</f>
        <v>0.5903435</v>
      </c>
      <c r="T595" s="47" t="n">
        <f aca="false">M595+P595</f>
        <v>0.901905</v>
      </c>
    </row>
    <row r="596" customFormat="false" ht="15" hidden="false" customHeight="false" outlineLevel="0" collapsed="false">
      <c r="A596" s="42" t="s">
        <v>44</v>
      </c>
      <c r="B596" s="42" t="n">
        <v>-10</v>
      </c>
      <c r="C596" s="42" t="n">
        <v>95</v>
      </c>
      <c r="D596" s="42" t="n">
        <v>74271010</v>
      </c>
      <c r="E596" s="43" t="n">
        <v>0.963578423724507</v>
      </c>
      <c r="F596" s="43" t="n">
        <v>0.978699460950379</v>
      </c>
      <c r="G596" s="43" t="n">
        <v>0.977148095198838</v>
      </c>
      <c r="H596" s="43" t="n">
        <v>0.977546445527223</v>
      </c>
      <c r="I596" s="42" t="n">
        <v>1</v>
      </c>
      <c r="J596" s="42" t="n">
        <v>1</v>
      </c>
      <c r="K596" s="44" t="str">
        <f aca="false">IF(AND(I596=1,J596=1),"两者都跟住",IF(AND(I596=0,J596=1),"仅 PC-TBD 跟住",IF(AND(I596=1,J596=0),"仅 VIT-LPS 跟住","都没跟住")))</f>
        <v>两者都跟住</v>
      </c>
      <c r="L596" s="45" t="n">
        <f aca="false">F596-G596</f>
        <v>0.00155136575154091</v>
      </c>
      <c r="M596" s="46" t="n">
        <v>0.2556281</v>
      </c>
      <c r="N596" s="46" t="n">
        <v>0.1290918</v>
      </c>
      <c r="O596" s="46" t="n">
        <v>0.174151</v>
      </c>
      <c r="P596" s="46" t="n">
        <v>0.5396379</v>
      </c>
      <c r="Q596" s="46" t="n">
        <v>1.9682322</v>
      </c>
      <c r="R596" s="46" t="n">
        <v>1.7031023</v>
      </c>
      <c r="S596" s="47" t="n">
        <f aca="false">M596+N596+O596</f>
        <v>0.5588709</v>
      </c>
      <c r="T596" s="47" t="n">
        <f aca="false">M596+P596</f>
        <v>0.795266</v>
      </c>
    </row>
    <row r="597" customFormat="false" ht="15" hidden="false" customHeight="false" outlineLevel="0" collapsed="false">
      <c r="A597" s="42" t="s">
        <v>44</v>
      </c>
      <c r="B597" s="42" t="n">
        <v>-10</v>
      </c>
      <c r="C597" s="42" t="n">
        <v>96</v>
      </c>
      <c r="D597" s="42" t="n">
        <v>74271011</v>
      </c>
      <c r="E597" s="43" t="n">
        <v>0.97306587259369</v>
      </c>
      <c r="F597" s="43" t="n">
        <v>0.974981310854775</v>
      </c>
      <c r="G597" s="43" t="n">
        <v>0.977612306610302</v>
      </c>
      <c r="H597" s="43" t="n">
        <v>0.977112858879795</v>
      </c>
      <c r="I597" s="42" t="n">
        <v>1</v>
      </c>
      <c r="J597" s="42" t="n">
        <v>1</v>
      </c>
      <c r="K597" s="44" t="str">
        <f aca="false">IF(AND(I597=1,J597=1),"两者都跟住",IF(AND(I597=0,J597=1),"仅 PC-TBD 跟住",IF(AND(I597=1,J597=0),"仅 VIT-LPS 跟住","都没跟住")))</f>
        <v>两者都跟住</v>
      </c>
      <c r="L597" s="45" t="n">
        <f aca="false">F597-G597</f>
        <v>-0.00263099575552694</v>
      </c>
      <c r="M597" s="46" t="n">
        <v>0.299643</v>
      </c>
      <c r="N597" s="46" t="n">
        <v>0.1173669</v>
      </c>
      <c r="O597" s="46" t="n">
        <v>0.1944399</v>
      </c>
      <c r="P597" s="46" t="n">
        <v>0.4903669</v>
      </c>
      <c r="Q597" s="46" t="n">
        <v>1.9990498</v>
      </c>
      <c r="R597" s="46" t="n">
        <v>1.8680029</v>
      </c>
      <c r="S597" s="47" t="n">
        <f aca="false">M597+N597+O597</f>
        <v>0.6114498</v>
      </c>
      <c r="T597" s="47" t="n">
        <f aca="false">M597+P597</f>
        <v>0.7900099</v>
      </c>
    </row>
    <row r="598" customFormat="false" ht="15" hidden="false" customHeight="false" outlineLevel="0" collapsed="false">
      <c r="A598" s="42" t="s">
        <v>44</v>
      </c>
      <c r="B598" s="42" t="n">
        <v>-10</v>
      </c>
      <c r="C598" s="42" t="n">
        <v>97</v>
      </c>
      <c r="D598" s="42" t="n">
        <v>74271012</v>
      </c>
      <c r="E598" s="43" t="n">
        <v>0.967250586076134</v>
      </c>
      <c r="F598" s="43" t="n">
        <v>0.970376047128739</v>
      </c>
      <c r="G598" s="43" t="n">
        <v>0.978739077948658</v>
      </c>
      <c r="H598" s="43" t="n">
        <v>0.972465446090363</v>
      </c>
      <c r="I598" s="42" t="n">
        <v>1</v>
      </c>
      <c r="J598" s="42" t="n">
        <v>1</v>
      </c>
      <c r="K598" s="44" t="str">
        <f aca="false">IF(AND(I598=1,J598=1),"两者都跟住",IF(AND(I598=0,J598=1),"仅 PC-TBD 跟住",IF(AND(I598=1,J598=0),"仅 VIT-LPS 跟住","都没跟住")))</f>
        <v>两者都跟住</v>
      </c>
      <c r="L598" s="45" t="n">
        <f aca="false">F598-G598</f>
        <v>-0.00836303081991896</v>
      </c>
      <c r="M598" s="46" t="n">
        <v>0.1516234</v>
      </c>
      <c r="N598" s="46" t="n">
        <v>0.0853741</v>
      </c>
      <c r="O598" s="46" t="n">
        <v>0.1265758</v>
      </c>
      <c r="P598" s="46" t="n">
        <v>0.424465</v>
      </c>
      <c r="Q598" s="46" t="n">
        <v>1.2515526</v>
      </c>
      <c r="R598" s="46" t="n">
        <v>1.2382442</v>
      </c>
      <c r="S598" s="47" t="n">
        <f aca="false">M598+N598+O598</f>
        <v>0.3635733</v>
      </c>
      <c r="T598" s="47" t="n">
        <f aca="false">M598+P598</f>
        <v>0.5760884</v>
      </c>
    </row>
    <row r="599" customFormat="false" ht="15" hidden="false" customHeight="false" outlineLevel="0" collapsed="false">
      <c r="A599" s="42" t="s">
        <v>44</v>
      </c>
      <c r="B599" s="42" t="n">
        <v>-10</v>
      </c>
      <c r="C599" s="42" t="n">
        <v>98</v>
      </c>
      <c r="D599" s="42" t="n">
        <v>74271013</v>
      </c>
      <c r="E599" s="43" t="n">
        <v>0.948895758707234</v>
      </c>
      <c r="F599" s="43" t="n">
        <v>0.974247328948372</v>
      </c>
      <c r="G599" s="43" t="n">
        <v>0.96983262784055</v>
      </c>
      <c r="H599" s="43" t="n">
        <v>0.977064714016851</v>
      </c>
      <c r="I599" s="42" t="n">
        <v>1</v>
      </c>
      <c r="J599" s="42" t="n">
        <v>1</v>
      </c>
      <c r="K599" s="44" t="str">
        <f aca="false">IF(AND(I599=1,J599=1),"两者都跟住",IF(AND(I599=0,J599=1),"仅 PC-TBD 跟住",IF(AND(I599=1,J599=0),"仅 VIT-LPS 跟住","都没跟住")))</f>
        <v>两者都跟住</v>
      </c>
      <c r="L599" s="45" t="n">
        <f aca="false">F599-G599</f>
        <v>0.00441470110782194</v>
      </c>
      <c r="M599" s="46" t="n">
        <v>0.1288527</v>
      </c>
      <c r="N599" s="46" t="n">
        <v>0.0962192</v>
      </c>
      <c r="O599" s="46" t="n">
        <v>0.1479702</v>
      </c>
      <c r="P599" s="46" t="n">
        <v>0.3992758</v>
      </c>
      <c r="Q599" s="46" t="n">
        <v>1.3332318</v>
      </c>
      <c r="R599" s="46" t="n">
        <v>1.2210321</v>
      </c>
      <c r="S599" s="47" t="n">
        <f aca="false">M599+N599+O599</f>
        <v>0.3730421</v>
      </c>
      <c r="T599" s="47" t="n">
        <f aca="false">M599+P599</f>
        <v>0.5281285</v>
      </c>
    </row>
    <row r="600" customFormat="false" ht="15" hidden="false" customHeight="false" outlineLevel="0" collapsed="false">
      <c r="A600" s="42" t="s">
        <v>44</v>
      </c>
      <c r="B600" s="42" t="n">
        <v>-10</v>
      </c>
      <c r="C600" s="42" t="n">
        <v>99</v>
      </c>
      <c r="D600" s="42" t="n">
        <v>74271014</v>
      </c>
      <c r="E600" s="43" t="n">
        <v>0.982814700230511</v>
      </c>
      <c r="F600" s="43" t="n">
        <v>0.975861364850736</v>
      </c>
      <c r="G600" s="43" t="n">
        <v>0.951949516154102</v>
      </c>
      <c r="H600" s="43" t="n">
        <v>0.977518644415048</v>
      </c>
      <c r="I600" s="42" t="n">
        <v>1</v>
      </c>
      <c r="J600" s="42" t="n">
        <v>1</v>
      </c>
      <c r="K600" s="44" t="str">
        <f aca="false">IF(AND(I600=1,J600=1),"两者都跟住",IF(AND(I600=0,J600=1),"仅 PC-TBD 跟住",IF(AND(I600=1,J600=0),"仅 VIT-LPS 跟住","都没跟住")))</f>
        <v>两者都跟住</v>
      </c>
      <c r="L600" s="45" t="n">
        <f aca="false">F600-G600</f>
        <v>0.0239118486966341</v>
      </c>
      <c r="M600" s="46" t="n">
        <v>0.1343887</v>
      </c>
      <c r="N600" s="46" t="n">
        <v>0.0722751</v>
      </c>
      <c r="O600" s="46" t="n">
        <v>0.1035131</v>
      </c>
      <c r="P600" s="46" t="n">
        <v>0.435838</v>
      </c>
      <c r="Q600" s="46" t="n">
        <v>1.3275297</v>
      </c>
      <c r="R600" s="46" t="n">
        <v>1.2084008</v>
      </c>
      <c r="S600" s="47" t="n">
        <f aca="false">M600+N600+O600</f>
        <v>0.3101769</v>
      </c>
      <c r="T600" s="47" t="n">
        <f aca="false">M600+P600</f>
        <v>0.5702267</v>
      </c>
    </row>
    <row r="601" customFormat="false" ht="15" hidden="false" customHeight="false" outlineLevel="0" collapsed="false">
      <c r="A601" s="42" t="s">
        <v>44</v>
      </c>
      <c r="B601" s="42" t="n">
        <v>-10</v>
      </c>
      <c r="C601" s="42" t="n">
        <v>100</v>
      </c>
      <c r="D601" s="42" t="n">
        <v>74271015</v>
      </c>
      <c r="E601" s="43" t="n">
        <v>0.976014132550461</v>
      </c>
      <c r="F601" s="43" t="n">
        <v>0.97939435556136</v>
      </c>
      <c r="G601" s="43" t="n">
        <v>0.976198078511979</v>
      </c>
      <c r="H601" s="43" t="n">
        <v>0.981618250923864</v>
      </c>
      <c r="I601" s="42" t="n">
        <v>1</v>
      </c>
      <c r="J601" s="42" t="n">
        <v>1</v>
      </c>
      <c r="K601" s="44" t="str">
        <f aca="false">IF(AND(I601=1,J601=1),"两者都跟住",IF(AND(I601=0,J601=1),"仅 PC-TBD 跟住",IF(AND(I601=1,J601=0),"仅 VIT-LPS 跟住","都没跟住")))</f>
        <v>两者都跟住</v>
      </c>
      <c r="L601" s="45" t="n">
        <f aca="false">F601-G601</f>
        <v>0.00319627704938097</v>
      </c>
      <c r="M601" s="46" t="n">
        <v>0.1690198</v>
      </c>
      <c r="N601" s="46" t="n">
        <v>0.0791013</v>
      </c>
      <c r="O601" s="46" t="n">
        <v>0.109549</v>
      </c>
      <c r="P601" s="46" t="n">
        <v>0.4582062</v>
      </c>
      <c r="Q601" s="46" t="n">
        <v>1.3992335</v>
      </c>
      <c r="R601" s="46" t="n">
        <v>1.093721</v>
      </c>
      <c r="S601" s="47" t="n">
        <f aca="false">M601+N601+O601</f>
        <v>0.3576701</v>
      </c>
      <c r="T601" s="47" t="n">
        <f aca="false">M601+P601</f>
        <v>0.627226</v>
      </c>
    </row>
    <row r="602" customFormat="false" ht="15" hidden="false" customHeight="false" outlineLevel="0" collapsed="false">
      <c r="A602" s="42" t="s">
        <v>44</v>
      </c>
      <c r="B602" s="42" t="n">
        <v>-8</v>
      </c>
      <c r="C602" s="42" t="n">
        <v>1</v>
      </c>
      <c r="D602" s="42" t="n">
        <v>74270916</v>
      </c>
      <c r="E602" s="43" t="n">
        <v>0.988645013207756</v>
      </c>
      <c r="F602" s="43" t="n">
        <v>0.993228972246053</v>
      </c>
      <c r="G602" s="43" t="n">
        <v>0.99018047119215</v>
      </c>
      <c r="H602" s="43" t="n">
        <v>0.994884145865475</v>
      </c>
      <c r="I602" s="42" t="n">
        <v>1</v>
      </c>
      <c r="J602" s="42" t="n">
        <v>1</v>
      </c>
      <c r="K602" s="44" t="str">
        <f aca="false">IF(AND(I602=1,J602=1),"两者都跟住",IF(AND(I602=0,J602=1),"仅 PC-TBD 跟住",IF(AND(I602=1,J602=0),"仅 VIT-LPS 跟住","都没跟住")))</f>
        <v>两者都跟住</v>
      </c>
      <c r="L602" s="45" t="n">
        <f aca="false">F602-G602</f>
        <v>0.00304850105390297</v>
      </c>
      <c r="M602" s="46" t="n">
        <v>0.6771342</v>
      </c>
      <c r="N602" s="46" t="n">
        <v>0.4401337</v>
      </c>
      <c r="O602" s="46" t="n">
        <v>3.646171</v>
      </c>
      <c r="P602" s="46" t="n">
        <v>1.0810851</v>
      </c>
      <c r="Q602" s="46" t="n">
        <v>4.5559425</v>
      </c>
      <c r="R602" s="46" t="n">
        <v>2.6206467</v>
      </c>
      <c r="S602" s="47" t="n">
        <f aca="false">M602+N602+O602</f>
        <v>4.7634389</v>
      </c>
      <c r="T602" s="47" t="n">
        <f aca="false">M602+P602</f>
        <v>1.7582193</v>
      </c>
    </row>
    <row r="603" customFormat="false" ht="15" hidden="false" customHeight="false" outlineLevel="0" collapsed="false">
      <c r="A603" s="42" t="s">
        <v>44</v>
      </c>
      <c r="B603" s="42" t="n">
        <v>-8</v>
      </c>
      <c r="C603" s="42" t="n">
        <v>2</v>
      </c>
      <c r="D603" s="42" t="n">
        <v>74270917</v>
      </c>
      <c r="E603" s="43" t="n">
        <v>0.97907951140761</v>
      </c>
      <c r="F603" s="43" t="n">
        <v>0.980341487651541</v>
      </c>
      <c r="G603" s="43" t="n">
        <v>0.984569574275524</v>
      </c>
      <c r="H603" s="43" t="n">
        <v>0.982280563820197</v>
      </c>
      <c r="I603" s="42" t="n">
        <v>1</v>
      </c>
      <c r="J603" s="42" t="n">
        <v>1</v>
      </c>
      <c r="K603" s="44" t="str">
        <f aca="false">IF(AND(I603=1,J603=1),"两者都跟住",IF(AND(I603=0,J603=1),"仅 PC-TBD 跟住",IF(AND(I603=1,J603=0),"仅 VIT-LPS 跟住","都没跟住")))</f>
        <v>两者都跟住</v>
      </c>
      <c r="L603" s="45" t="n">
        <f aca="false">F603-G603</f>
        <v>-0.004228086623983</v>
      </c>
      <c r="M603" s="46" t="n">
        <v>0.743685</v>
      </c>
      <c r="N603" s="46" t="n">
        <v>0.4279435</v>
      </c>
      <c r="O603" s="46" t="n">
        <v>3.7877144</v>
      </c>
      <c r="P603" s="46" t="n">
        <v>1.1792267</v>
      </c>
      <c r="Q603" s="46" t="n">
        <v>4.2387234</v>
      </c>
      <c r="R603" s="46" t="n">
        <v>1.9631012</v>
      </c>
      <c r="S603" s="47" t="n">
        <f aca="false">M603+N603+O603</f>
        <v>4.9593429</v>
      </c>
      <c r="T603" s="47" t="n">
        <f aca="false">M603+P603</f>
        <v>1.9229117</v>
      </c>
    </row>
    <row r="604" customFormat="false" ht="15" hidden="false" customHeight="false" outlineLevel="0" collapsed="false">
      <c r="A604" s="42" t="s">
        <v>44</v>
      </c>
      <c r="B604" s="42" t="n">
        <v>-8</v>
      </c>
      <c r="C604" s="42" t="n">
        <v>3</v>
      </c>
      <c r="D604" s="42" t="n">
        <v>74270918</v>
      </c>
      <c r="E604" s="43" t="n">
        <v>0.973298472262631</v>
      </c>
      <c r="F604" s="43" t="n">
        <v>0.980413536058758</v>
      </c>
      <c r="G604" s="43" t="n">
        <v>0.980484277310218</v>
      </c>
      <c r="H604" s="43" t="n">
        <v>0.983346446454286</v>
      </c>
      <c r="I604" s="42" t="n">
        <v>1</v>
      </c>
      <c r="J604" s="42" t="n">
        <v>1</v>
      </c>
      <c r="K604" s="44" t="str">
        <f aca="false">IF(AND(I604=1,J604=1),"两者都跟住",IF(AND(I604=0,J604=1),"仅 PC-TBD 跟住",IF(AND(I604=1,J604=0),"仅 VIT-LPS 跟住","都没跟住")))</f>
        <v>两者都跟住</v>
      </c>
      <c r="L604" s="45" t="n">
        <f aca="false">F604-G604</f>
        <v>-7.07412514600048E-005</v>
      </c>
      <c r="M604" s="46" t="n">
        <v>0.7254162</v>
      </c>
      <c r="N604" s="46" t="n">
        <v>0.4366768</v>
      </c>
      <c r="O604" s="46" t="n">
        <v>3.8113055</v>
      </c>
      <c r="P604" s="46" t="n">
        <v>1.1591063</v>
      </c>
      <c r="Q604" s="46" t="n">
        <v>4.8100364</v>
      </c>
      <c r="R604" s="46" t="n">
        <v>2.0116577</v>
      </c>
      <c r="S604" s="47" t="n">
        <f aca="false">M604+N604+O604</f>
        <v>4.9733985</v>
      </c>
      <c r="T604" s="47" t="n">
        <f aca="false">M604+P604</f>
        <v>1.8845225</v>
      </c>
    </row>
    <row r="605" customFormat="false" ht="15" hidden="false" customHeight="false" outlineLevel="0" collapsed="false">
      <c r="A605" s="42" t="s">
        <v>44</v>
      </c>
      <c r="B605" s="42" t="n">
        <v>-8</v>
      </c>
      <c r="C605" s="42" t="n">
        <v>4</v>
      </c>
      <c r="D605" s="42" t="n">
        <v>74270919</v>
      </c>
      <c r="E605" s="43" t="n">
        <v>0.986746008972392</v>
      </c>
      <c r="F605" s="43" t="n">
        <v>0.987678070464302</v>
      </c>
      <c r="G605" s="43" t="n">
        <v>0.983514509639204</v>
      </c>
      <c r="H605" s="43" t="n">
        <v>0.988370007941491</v>
      </c>
      <c r="I605" s="42" t="n">
        <v>1</v>
      </c>
      <c r="J605" s="42" t="n">
        <v>1</v>
      </c>
      <c r="K605" s="44" t="str">
        <f aca="false">IF(AND(I605=1,J605=1),"两者都跟住",IF(AND(I605=0,J605=1),"仅 PC-TBD 跟住",IF(AND(I605=1,J605=0),"仅 VIT-LPS 跟住","都没跟住")))</f>
        <v>两者都跟住</v>
      </c>
      <c r="L605" s="45" t="n">
        <f aca="false">F605-G605</f>
        <v>0.00416356082509806</v>
      </c>
      <c r="M605" s="46" t="n">
        <v>0.6996522</v>
      </c>
      <c r="N605" s="46" t="n">
        <v>0.4197564</v>
      </c>
      <c r="O605" s="46" t="n">
        <v>3.8288096</v>
      </c>
      <c r="P605" s="46" t="n">
        <v>1.1246889</v>
      </c>
      <c r="Q605" s="46" t="n">
        <v>4.6378569</v>
      </c>
      <c r="R605" s="46" t="n">
        <v>2.3568418</v>
      </c>
      <c r="S605" s="47" t="n">
        <f aca="false">M605+N605+O605</f>
        <v>4.9482182</v>
      </c>
      <c r="T605" s="47" t="n">
        <f aca="false">M605+P605</f>
        <v>1.8243411</v>
      </c>
    </row>
    <row r="606" customFormat="false" ht="15" hidden="false" customHeight="false" outlineLevel="0" collapsed="false">
      <c r="A606" s="42" t="s">
        <v>44</v>
      </c>
      <c r="B606" s="42" t="n">
        <v>-8</v>
      </c>
      <c r="C606" s="42" t="n">
        <v>5</v>
      </c>
      <c r="D606" s="42" t="n">
        <v>74270920</v>
      </c>
      <c r="E606" s="43" t="n">
        <v>0.988255357669758</v>
      </c>
      <c r="F606" s="43" t="n">
        <v>0.99015333757902</v>
      </c>
      <c r="G606" s="43" t="n">
        <v>0.984927292428889</v>
      </c>
      <c r="H606" s="43" t="n">
        <v>0.990817979365215</v>
      </c>
      <c r="I606" s="42" t="n">
        <v>1</v>
      </c>
      <c r="J606" s="42" t="n">
        <v>1</v>
      </c>
      <c r="K606" s="44" t="str">
        <f aca="false">IF(AND(I606=1,J606=1),"两者都跟住",IF(AND(I606=0,J606=1),"仅 PC-TBD 跟住",IF(AND(I606=1,J606=0),"仅 VIT-LPS 跟住","都没跟住")))</f>
        <v>两者都跟住</v>
      </c>
      <c r="L606" s="45" t="n">
        <f aca="false">F606-G606</f>
        <v>0.00522604515013103</v>
      </c>
      <c r="M606" s="46" t="n">
        <v>0.7299098</v>
      </c>
      <c r="N606" s="46" t="n">
        <v>0.4365631</v>
      </c>
      <c r="O606" s="46" t="n">
        <v>3.6936989</v>
      </c>
      <c r="P606" s="46" t="n">
        <v>1.0830518</v>
      </c>
      <c r="Q606" s="46" t="n">
        <v>4.2508665</v>
      </c>
      <c r="R606" s="46" t="n">
        <v>2.7705822</v>
      </c>
      <c r="S606" s="47" t="n">
        <f aca="false">M606+N606+O606</f>
        <v>4.8601718</v>
      </c>
      <c r="T606" s="47" t="n">
        <f aca="false">M606+P606</f>
        <v>1.8129616</v>
      </c>
    </row>
    <row r="607" customFormat="false" ht="15" hidden="false" customHeight="false" outlineLevel="0" collapsed="false">
      <c r="A607" s="42" t="s">
        <v>44</v>
      </c>
      <c r="B607" s="42" t="n">
        <v>-8</v>
      </c>
      <c r="C607" s="42" t="n">
        <v>6</v>
      </c>
      <c r="D607" s="42" t="n">
        <v>74270921</v>
      </c>
      <c r="E607" s="43" t="n">
        <v>0.986052258295391</v>
      </c>
      <c r="F607" s="43" t="n">
        <v>0.991431151755262</v>
      </c>
      <c r="G607" s="43" t="n">
        <v>0.991078177402276</v>
      </c>
      <c r="H607" s="43" t="n">
        <v>0.991809728439361</v>
      </c>
      <c r="I607" s="42" t="n">
        <v>1</v>
      </c>
      <c r="J607" s="42" t="n">
        <v>1</v>
      </c>
      <c r="K607" s="44" t="str">
        <f aca="false">IF(AND(I607=1,J607=1),"两者都跟住",IF(AND(I607=0,J607=1),"仅 PC-TBD 跟住",IF(AND(I607=1,J607=0),"仅 VIT-LPS 跟住","都没跟住")))</f>
        <v>两者都跟住</v>
      </c>
      <c r="L607" s="45" t="n">
        <f aca="false">F607-G607</f>
        <v>0.00035297435298598</v>
      </c>
      <c r="M607" s="46" t="n">
        <v>0.7028989</v>
      </c>
      <c r="N607" s="46" t="n">
        <v>0.4378635</v>
      </c>
      <c r="O607" s="46" t="n">
        <v>3.7311144</v>
      </c>
      <c r="P607" s="46" t="n">
        <v>1.2460731</v>
      </c>
      <c r="Q607" s="46" t="n">
        <v>5.0057767</v>
      </c>
      <c r="R607" s="46" t="n">
        <v>2.4488124</v>
      </c>
      <c r="S607" s="47" t="n">
        <f aca="false">M607+N607+O607</f>
        <v>4.8718768</v>
      </c>
      <c r="T607" s="47" t="n">
        <f aca="false">M607+P607</f>
        <v>1.948972</v>
      </c>
    </row>
    <row r="608" customFormat="false" ht="15" hidden="false" customHeight="false" outlineLevel="0" collapsed="false">
      <c r="A608" s="42" t="s">
        <v>44</v>
      </c>
      <c r="B608" s="42" t="n">
        <v>-8</v>
      </c>
      <c r="C608" s="42" t="n">
        <v>7</v>
      </c>
      <c r="D608" s="42" t="n">
        <v>74270922</v>
      </c>
      <c r="E608" s="43" t="n">
        <v>0.990004285637287</v>
      </c>
      <c r="F608" s="43" t="n">
        <v>0.989694698859935</v>
      </c>
      <c r="G608" s="43" t="n">
        <v>0.991553823628318</v>
      </c>
      <c r="H608" s="43" t="n">
        <v>0.991043290773757</v>
      </c>
      <c r="I608" s="42" t="n">
        <v>1</v>
      </c>
      <c r="J608" s="42" t="n">
        <v>1</v>
      </c>
      <c r="K608" s="44" t="str">
        <f aca="false">IF(AND(I608=1,J608=1),"两者都跟住",IF(AND(I608=0,J608=1),"仅 PC-TBD 跟住",IF(AND(I608=1,J608=0),"仅 VIT-LPS 跟住","都没跟住")))</f>
        <v>两者都跟住</v>
      </c>
      <c r="L608" s="45" t="n">
        <f aca="false">F608-G608</f>
        <v>-0.00185912476838301</v>
      </c>
      <c r="M608" s="46" t="n">
        <v>0.2250916</v>
      </c>
      <c r="N608" s="46" t="n">
        <v>0.1281719</v>
      </c>
      <c r="O608" s="46" t="n">
        <v>0.3103513</v>
      </c>
      <c r="P608" s="46" t="n">
        <v>0.6062958</v>
      </c>
      <c r="Q608" s="46" t="n">
        <v>1.6201284</v>
      </c>
      <c r="R608" s="46" t="n">
        <v>1.4936277</v>
      </c>
      <c r="S608" s="47" t="n">
        <f aca="false">M608+N608+O608</f>
        <v>0.6636148</v>
      </c>
      <c r="T608" s="47" t="n">
        <f aca="false">M608+P608</f>
        <v>0.8313874</v>
      </c>
    </row>
    <row r="609" customFormat="false" ht="15" hidden="false" customHeight="false" outlineLevel="0" collapsed="false">
      <c r="A609" s="42" t="s">
        <v>44</v>
      </c>
      <c r="B609" s="42" t="n">
        <v>-8</v>
      </c>
      <c r="C609" s="42" t="n">
        <v>8</v>
      </c>
      <c r="D609" s="42" t="n">
        <v>74270923</v>
      </c>
      <c r="E609" s="43" t="n">
        <v>0.972695069748277</v>
      </c>
      <c r="F609" s="43" t="n">
        <v>0.985118629995307</v>
      </c>
      <c r="G609" s="43" t="n">
        <v>0.982612274767257</v>
      </c>
      <c r="H609" s="43" t="n">
        <v>0.986419663447161</v>
      </c>
      <c r="I609" s="42" t="n">
        <v>1</v>
      </c>
      <c r="J609" s="42" t="n">
        <v>1</v>
      </c>
      <c r="K609" s="44" t="str">
        <f aca="false">IF(AND(I609=1,J609=1),"两者都跟住",IF(AND(I609=0,J609=1),"仅 PC-TBD 跟住",IF(AND(I609=1,J609=0),"仅 VIT-LPS 跟住","都没跟住")))</f>
        <v>两者都跟住</v>
      </c>
      <c r="L609" s="45" t="n">
        <f aca="false">F609-G609</f>
        <v>0.00250635522804998</v>
      </c>
      <c r="M609" s="46" t="n">
        <v>0.1786307</v>
      </c>
      <c r="N609" s="46" t="n">
        <v>0.1485766</v>
      </c>
      <c r="O609" s="46" t="n">
        <v>0.3733391</v>
      </c>
      <c r="P609" s="46" t="n">
        <v>0.7566443</v>
      </c>
      <c r="Q609" s="46" t="n">
        <v>1.4723656</v>
      </c>
      <c r="R609" s="46" t="n">
        <v>1.364212</v>
      </c>
      <c r="S609" s="47" t="n">
        <f aca="false">M609+N609+O609</f>
        <v>0.7005464</v>
      </c>
      <c r="T609" s="47" t="n">
        <f aca="false">M609+P609</f>
        <v>0.935275</v>
      </c>
    </row>
    <row r="610" customFormat="false" ht="15" hidden="false" customHeight="false" outlineLevel="0" collapsed="false">
      <c r="A610" s="42" t="s">
        <v>44</v>
      </c>
      <c r="B610" s="42" t="n">
        <v>-8</v>
      </c>
      <c r="C610" s="42" t="n">
        <v>9</v>
      </c>
      <c r="D610" s="42" t="n">
        <v>74270924</v>
      </c>
      <c r="E610" s="43" t="n">
        <v>0.983619273585688</v>
      </c>
      <c r="F610" s="43" t="n">
        <v>0.98876357761324</v>
      </c>
      <c r="G610" s="43" t="n">
        <v>0.983931826067924</v>
      </c>
      <c r="H610" s="43" t="n">
        <v>0.990248520771025</v>
      </c>
      <c r="I610" s="42" t="n">
        <v>1</v>
      </c>
      <c r="J610" s="42" t="n">
        <v>1</v>
      </c>
      <c r="K610" s="44" t="str">
        <f aca="false">IF(AND(I610=1,J610=1),"两者都跟住",IF(AND(I610=0,J610=1),"仅 PC-TBD 跟住",IF(AND(I610=1,J610=0),"仅 VIT-LPS 跟住","都没跟住")))</f>
        <v>两者都跟住</v>
      </c>
      <c r="L610" s="45" t="n">
        <f aca="false">F610-G610</f>
        <v>0.00483175154531601</v>
      </c>
      <c r="M610" s="46" t="n">
        <v>0.209083</v>
      </c>
      <c r="N610" s="46" t="n">
        <v>0.1207822</v>
      </c>
      <c r="O610" s="46" t="n">
        <v>0.3565304</v>
      </c>
      <c r="P610" s="46" t="n">
        <v>0.6159901</v>
      </c>
      <c r="Q610" s="46" t="n">
        <v>1.3301871</v>
      </c>
      <c r="R610" s="46" t="n">
        <v>1.4448436</v>
      </c>
      <c r="S610" s="47" t="n">
        <f aca="false">M610+N610+O610</f>
        <v>0.6863956</v>
      </c>
      <c r="T610" s="47" t="n">
        <f aca="false">M610+P610</f>
        <v>0.8250731</v>
      </c>
    </row>
    <row r="611" customFormat="false" ht="15" hidden="false" customHeight="false" outlineLevel="0" collapsed="false">
      <c r="A611" s="42" t="s">
        <v>44</v>
      </c>
      <c r="B611" s="42" t="n">
        <v>-8</v>
      </c>
      <c r="C611" s="42" t="n">
        <v>10</v>
      </c>
      <c r="D611" s="42" t="n">
        <v>74270925</v>
      </c>
      <c r="E611" s="43" t="n">
        <v>0.983736058732838</v>
      </c>
      <c r="F611" s="43" t="n">
        <v>0.98450101061067</v>
      </c>
      <c r="G611" s="43" t="n">
        <v>0.983549413473692</v>
      </c>
      <c r="H611" s="43" t="n">
        <v>0.98527902442984</v>
      </c>
      <c r="I611" s="42" t="n">
        <v>1</v>
      </c>
      <c r="J611" s="42" t="n">
        <v>1</v>
      </c>
      <c r="K611" s="44" t="str">
        <f aca="false">IF(AND(I611=1,J611=1),"两者都跟住",IF(AND(I611=0,J611=1),"仅 PC-TBD 跟住",IF(AND(I611=1,J611=0),"仅 VIT-LPS 跟住","都没跟住")))</f>
        <v>两者都跟住</v>
      </c>
      <c r="L611" s="45" t="n">
        <f aca="false">F611-G611</f>
        <v>0.000951597136978011</v>
      </c>
      <c r="M611" s="46" t="n">
        <v>0.250519</v>
      </c>
      <c r="N611" s="46" t="n">
        <v>0.14739</v>
      </c>
      <c r="O611" s="46" t="n">
        <v>0.3258706</v>
      </c>
      <c r="P611" s="46" t="n">
        <v>0.6515992</v>
      </c>
      <c r="Q611" s="46" t="n">
        <v>1.5316522</v>
      </c>
      <c r="R611" s="46" t="n">
        <v>1.1699538</v>
      </c>
      <c r="S611" s="47" t="n">
        <f aca="false">M611+N611+O611</f>
        <v>0.7237796</v>
      </c>
      <c r="T611" s="47" t="n">
        <f aca="false">M611+P611</f>
        <v>0.9021182</v>
      </c>
    </row>
    <row r="612" customFormat="false" ht="15" hidden="false" customHeight="false" outlineLevel="0" collapsed="false">
      <c r="A612" s="42" t="s">
        <v>44</v>
      </c>
      <c r="B612" s="42" t="n">
        <v>-8</v>
      </c>
      <c r="C612" s="42" t="n">
        <v>11</v>
      </c>
      <c r="D612" s="42" t="n">
        <v>74270926</v>
      </c>
      <c r="E612" s="43" t="n">
        <v>0.953916604558822</v>
      </c>
      <c r="F612" s="43" t="n">
        <v>0.984140774884392</v>
      </c>
      <c r="G612" s="43" t="n">
        <v>0.984972925153636</v>
      </c>
      <c r="H612" s="43" t="n">
        <v>0.985749979498639</v>
      </c>
      <c r="I612" s="42" t="n">
        <v>1</v>
      </c>
      <c r="J612" s="42" t="n">
        <v>1</v>
      </c>
      <c r="K612" s="44" t="str">
        <f aca="false">IF(AND(I612=1,J612=1),"两者都跟住",IF(AND(I612=0,J612=1),"仅 PC-TBD 跟住",IF(AND(I612=1,J612=0),"仅 VIT-LPS 跟住","都没跟住")))</f>
        <v>两者都跟住</v>
      </c>
      <c r="L612" s="45" t="n">
        <f aca="false">F612-G612</f>
        <v>-0.000832150269243992</v>
      </c>
      <c r="M612" s="46" t="n">
        <v>0.32233</v>
      </c>
      <c r="N612" s="46" t="n">
        <v>0.1546829</v>
      </c>
      <c r="O612" s="46" t="n">
        <v>0.3153903</v>
      </c>
      <c r="P612" s="46" t="n">
        <v>1.1460899</v>
      </c>
      <c r="Q612" s="46" t="n">
        <v>2.2379379</v>
      </c>
      <c r="R612" s="46" t="n">
        <v>1.7927792</v>
      </c>
      <c r="S612" s="47" t="n">
        <f aca="false">M612+N612+O612</f>
        <v>0.7924032</v>
      </c>
      <c r="T612" s="47" t="n">
        <f aca="false">M612+P612</f>
        <v>1.4684199</v>
      </c>
    </row>
    <row r="613" customFormat="false" ht="15" hidden="false" customHeight="false" outlineLevel="0" collapsed="false">
      <c r="A613" s="42" t="s">
        <v>44</v>
      </c>
      <c r="B613" s="42" t="n">
        <v>-8</v>
      </c>
      <c r="C613" s="42" t="n">
        <v>12</v>
      </c>
      <c r="D613" s="42" t="n">
        <v>74270927</v>
      </c>
      <c r="E613" s="43" t="n">
        <v>0.982329193014761</v>
      </c>
      <c r="F613" s="43" t="n">
        <v>0.99192807480131</v>
      </c>
      <c r="G613" s="43" t="n">
        <v>0.989764543477819</v>
      </c>
      <c r="H613" s="43" t="n">
        <v>0.993758365312218</v>
      </c>
      <c r="I613" s="42" t="n">
        <v>1</v>
      </c>
      <c r="J613" s="42" t="n">
        <v>1</v>
      </c>
      <c r="K613" s="44" t="str">
        <f aca="false">IF(AND(I613=1,J613=1),"两者都跟住",IF(AND(I613=0,J613=1),"仅 PC-TBD 跟住",IF(AND(I613=1,J613=0),"仅 VIT-LPS 跟住","都没跟住")))</f>
        <v>两者都跟住</v>
      </c>
      <c r="L613" s="45" t="n">
        <f aca="false">F613-G613</f>
        <v>0.00216353132349101</v>
      </c>
      <c r="M613" s="46" t="n">
        <v>0.3019078</v>
      </c>
      <c r="N613" s="46" t="n">
        <v>0.1504123</v>
      </c>
      <c r="O613" s="46" t="n">
        <v>0.3660966</v>
      </c>
      <c r="P613" s="46" t="n">
        <v>1.0006656</v>
      </c>
      <c r="Q613" s="46" t="n">
        <v>2.5331596</v>
      </c>
      <c r="R613" s="46" t="n">
        <v>2.053502</v>
      </c>
      <c r="S613" s="47" t="n">
        <f aca="false">M613+N613+O613</f>
        <v>0.8184167</v>
      </c>
      <c r="T613" s="47" t="n">
        <f aca="false">M613+P613</f>
        <v>1.3025734</v>
      </c>
    </row>
    <row r="614" customFormat="false" ht="15" hidden="false" customHeight="false" outlineLevel="0" collapsed="false">
      <c r="A614" s="42" t="s">
        <v>44</v>
      </c>
      <c r="B614" s="42" t="n">
        <v>-8</v>
      </c>
      <c r="C614" s="42" t="n">
        <v>13</v>
      </c>
      <c r="D614" s="42" t="n">
        <v>74270928</v>
      </c>
      <c r="E614" s="43" t="n">
        <v>0.981427352515296</v>
      </c>
      <c r="F614" s="43" t="n">
        <v>0.984907322621159</v>
      </c>
      <c r="G614" s="43" t="n">
        <v>0.984604465428568</v>
      </c>
      <c r="H614" s="43" t="n">
        <v>0.984370557927236</v>
      </c>
      <c r="I614" s="42" t="n">
        <v>1</v>
      </c>
      <c r="J614" s="42" t="n">
        <v>1</v>
      </c>
      <c r="K614" s="44" t="str">
        <f aca="false">IF(AND(I614=1,J614=1),"两者都跟住",IF(AND(I614=0,J614=1),"仅 PC-TBD 跟住",IF(AND(I614=1,J614=0),"仅 VIT-LPS 跟住","都没跟住")))</f>
        <v>两者都跟住</v>
      </c>
      <c r="L614" s="45" t="n">
        <f aca="false">F614-G614</f>
        <v>0.000302857192590933</v>
      </c>
      <c r="M614" s="46" t="n">
        <v>0.3388322</v>
      </c>
      <c r="N614" s="46" t="n">
        <v>0.17298</v>
      </c>
      <c r="O614" s="46" t="n">
        <v>0.4036612</v>
      </c>
      <c r="P614" s="46" t="n">
        <v>0.7454448</v>
      </c>
      <c r="Q614" s="46" t="n">
        <v>2.0023105</v>
      </c>
      <c r="R614" s="46" t="n">
        <v>2.0575412</v>
      </c>
      <c r="S614" s="47" t="n">
        <f aca="false">M614+N614+O614</f>
        <v>0.9154734</v>
      </c>
      <c r="T614" s="47" t="n">
        <f aca="false">M614+P614</f>
        <v>1.084277</v>
      </c>
    </row>
    <row r="615" customFormat="false" ht="15" hidden="false" customHeight="false" outlineLevel="0" collapsed="false">
      <c r="A615" s="42" t="s">
        <v>44</v>
      </c>
      <c r="B615" s="42" t="n">
        <v>-8</v>
      </c>
      <c r="C615" s="42" t="n">
        <v>14</v>
      </c>
      <c r="D615" s="42" t="n">
        <v>74270929</v>
      </c>
      <c r="E615" s="43" t="n">
        <v>0.987609392019115</v>
      </c>
      <c r="F615" s="43" t="n">
        <v>0.99054030666994</v>
      </c>
      <c r="G615" s="43" t="n">
        <v>0.989959172940005</v>
      </c>
      <c r="H615" s="43" t="n">
        <v>0.989885071913748</v>
      </c>
      <c r="I615" s="42" t="n">
        <v>1</v>
      </c>
      <c r="J615" s="42" t="n">
        <v>1</v>
      </c>
      <c r="K615" s="44" t="str">
        <f aca="false">IF(AND(I615=1,J615=1),"两者都跟住",IF(AND(I615=0,J615=1),"仅 PC-TBD 跟住",IF(AND(I615=1,J615=0),"仅 VIT-LPS 跟住","都没跟住")))</f>
        <v>两者都跟住</v>
      </c>
      <c r="L615" s="45" t="n">
        <f aca="false">F615-G615</f>
        <v>0.000581133729934957</v>
      </c>
      <c r="M615" s="46" t="n">
        <v>0.3465601</v>
      </c>
      <c r="N615" s="46" t="n">
        <v>0.1649524</v>
      </c>
      <c r="O615" s="46" t="n">
        <v>0.3482582</v>
      </c>
      <c r="P615" s="46" t="n">
        <v>1.065245</v>
      </c>
      <c r="Q615" s="46" t="n">
        <v>2.4525116</v>
      </c>
      <c r="R615" s="46" t="n">
        <v>2.140705</v>
      </c>
      <c r="S615" s="47" t="n">
        <f aca="false">M615+N615+O615</f>
        <v>0.8597707</v>
      </c>
      <c r="T615" s="47" t="n">
        <f aca="false">M615+P615</f>
        <v>1.4118051</v>
      </c>
    </row>
    <row r="616" customFormat="false" ht="15" hidden="false" customHeight="false" outlineLevel="0" collapsed="false">
      <c r="A616" s="42" t="s">
        <v>44</v>
      </c>
      <c r="B616" s="42" t="n">
        <v>-8</v>
      </c>
      <c r="C616" s="42" t="n">
        <v>15</v>
      </c>
      <c r="D616" s="42" t="n">
        <v>74270930</v>
      </c>
      <c r="E616" s="43" t="n">
        <v>0.987011599578838</v>
      </c>
      <c r="F616" s="43" t="n">
        <v>0.989098622092474</v>
      </c>
      <c r="G616" s="43" t="n">
        <v>0.987511479929472</v>
      </c>
      <c r="H616" s="43" t="n">
        <v>0.988841746987311</v>
      </c>
      <c r="I616" s="42" t="n">
        <v>1</v>
      </c>
      <c r="J616" s="42" t="n">
        <v>1</v>
      </c>
      <c r="K616" s="44" t="str">
        <f aca="false">IF(AND(I616=1,J616=1),"两者都跟住",IF(AND(I616=0,J616=1),"仅 PC-TBD 跟住",IF(AND(I616=1,J616=0),"仅 VIT-LPS 跟住","都没跟住")))</f>
        <v>两者都跟住</v>
      </c>
      <c r="L616" s="45" t="n">
        <f aca="false">F616-G616</f>
        <v>0.00158714216300204</v>
      </c>
      <c r="M616" s="46" t="n">
        <v>0.3116252</v>
      </c>
      <c r="N616" s="46" t="n">
        <v>0.1241458</v>
      </c>
      <c r="O616" s="46" t="n">
        <v>0.4352633</v>
      </c>
      <c r="P616" s="46" t="n">
        <v>1.0614055</v>
      </c>
      <c r="Q616" s="46" t="n">
        <v>2.4530009</v>
      </c>
      <c r="R616" s="46" t="n">
        <v>2.0496266</v>
      </c>
      <c r="S616" s="47" t="n">
        <f aca="false">M616+N616+O616</f>
        <v>0.8710343</v>
      </c>
      <c r="T616" s="47" t="n">
        <f aca="false">M616+P616</f>
        <v>1.3730307</v>
      </c>
    </row>
    <row r="617" customFormat="false" ht="15" hidden="false" customHeight="false" outlineLevel="0" collapsed="false">
      <c r="A617" s="42" t="s">
        <v>44</v>
      </c>
      <c r="B617" s="42" t="n">
        <v>-8</v>
      </c>
      <c r="C617" s="42" t="n">
        <v>16</v>
      </c>
      <c r="D617" s="42" t="n">
        <v>74270931</v>
      </c>
      <c r="E617" s="43" t="n">
        <v>0.980593536918351</v>
      </c>
      <c r="F617" s="43" t="n">
        <v>0.985905930144222</v>
      </c>
      <c r="G617" s="43" t="n">
        <v>0.987392136372152</v>
      </c>
      <c r="H617" s="43" t="n">
        <v>0.988242677903442</v>
      </c>
      <c r="I617" s="42" t="n">
        <v>1</v>
      </c>
      <c r="J617" s="42" t="n">
        <v>1</v>
      </c>
      <c r="K617" s="44" t="str">
        <f aca="false">IF(AND(I617=1,J617=1),"两者都跟住",IF(AND(I617=0,J617=1),"仅 PC-TBD 跟住",IF(AND(I617=1,J617=0),"仅 VIT-LPS 跟住","都没跟住")))</f>
        <v>两者都跟住</v>
      </c>
      <c r="L617" s="45" t="n">
        <f aca="false">F617-G617</f>
        <v>-0.00148620622792994</v>
      </c>
      <c r="M617" s="46" t="n">
        <v>0.3235406</v>
      </c>
      <c r="N617" s="46" t="n">
        <v>0.164244</v>
      </c>
      <c r="O617" s="46" t="n">
        <v>0.4354323</v>
      </c>
      <c r="P617" s="46" t="n">
        <v>0.7872139</v>
      </c>
      <c r="Q617" s="46" t="n">
        <v>2.0560787</v>
      </c>
      <c r="R617" s="46" t="n">
        <v>2.0276493</v>
      </c>
      <c r="S617" s="47" t="n">
        <f aca="false">M617+N617+O617</f>
        <v>0.9232169</v>
      </c>
      <c r="T617" s="47" t="n">
        <f aca="false">M617+P617</f>
        <v>1.1107545</v>
      </c>
    </row>
    <row r="618" customFormat="false" ht="15" hidden="false" customHeight="false" outlineLevel="0" collapsed="false">
      <c r="A618" s="42" t="s">
        <v>44</v>
      </c>
      <c r="B618" s="42" t="n">
        <v>-8</v>
      </c>
      <c r="C618" s="42" t="n">
        <v>17</v>
      </c>
      <c r="D618" s="42" t="n">
        <v>74270932</v>
      </c>
      <c r="E618" s="43" t="n">
        <v>0.981780289561149</v>
      </c>
      <c r="F618" s="43" t="n">
        <v>0.990435222015769</v>
      </c>
      <c r="G618" s="43" t="n">
        <v>0.98902594181804</v>
      </c>
      <c r="H618" s="43" t="n">
        <v>0.990943838618171</v>
      </c>
      <c r="I618" s="42" t="n">
        <v>1</v>
      </c>
      <c r="J618" s="42" t="n">
        <v>1</v>
      </c>
      <c r="K618" s="44" t="str">
        <f aca="false">IF(AND(I618=1,J618=1),"两者都跟住",IF(AND(I618=0,J618=1),"仅 PC-TBD 跟住",IF(AND(I618=1,J618=0),"仅 VIT-LPS 跟住","都没跟住")))</f>
        <v>两者都跟住</v>
      </c>
      <c r="L618" s="45" t="n">
        <f aca="false">F618-G618</f>
        <v>0.0014092801977289</v>
      </c>
      <c r="M618" s="46" t="n">
        <v>0.1408422</v>
      </c>
      <c r="N618" s="46" t="n">
        <v>0.0944313</v>
      </c>
      <c r="O618" s="46" t="n">
        <v>0.2076718</v>
      </c>
      <c r="P618" s="46" t="n">
        <v>0.7267082</v>
      </c>
      <c r="Q618" s="46" t="n">
        <v>1.981568</v>
      </c>
      <c r="R618" s="46" t="n">
        <v>1.7315408</v>
      </c>
      <c r="S618" s="47" t="n">
        <f aca="false">M618+N618+O618</f>
        <v>0.4429453</v>
      </c>
      <c r="T618" s="47" t="n">
        <f aca="false">M618+P618</f>
        <v>0.8675504</v>
      </c>
    </row>
    <row r="619" customFormat="false" ht="15" hidden="false" customHeight="false" outlineLevel="0" collapsed="false">
      <c r="A619" s="42" t="s">
        <v>44</v>
      </c>
      <c r="B619" s="42" t="n">
        <v>-8</v>
      </c>
      <c r="C619" s="42" t="n">
        <v>18</v>
      </c>
      <c r="D619" s="42" t="n">
        <v>74270933</v>
      </c>
      <c r="E619" s="43" t="n">
        <v>0.983806603670956</v>
      </c>
      <c r="F619" s="43" t="n">
        <v>0.985639046491321</v>
      </c>
      <c r="G619" s="43" t="n">
        <v>0.985322265917876</v>
      </c>
      <c r="H619" s="43" t="n">
        <v>0.98672517390143</v>
      </c>
      <c r="I619" s="42" t="n">
        <v>1</v>
      </c>
      <c r="J619" s="42" t="n">
        <v>1</v>
      </c>
      <c r="K619" s="44" t="str">
        <f aca="false">IF(AND(I619=1,J619=1),"两者都跟住",IF(AND(I619=0,J619=1),"仅 PC-TBD 跟住",IF(AND(I619=1,J619=0),"仅 VIT-LPS 跟住","都没跟住")))</f>
        <v>两者都跟住</v>
      </c>
      <c r="L619" s="45" t="n">
        <f aca="false">F619-G619</f>
        <v>0.000316780573444975</v>
      </c>
      <c r="M619" s="46" t="n">
        <v>0.2293272</v>
      </c>
      <c r="N619" s="46" t="n">
        <v>0.1399425</v>
      </c>
      <c r="O619" s="46" t="n">
        <v>0.3043157</v>
      </c>
      <c r="P619" s="46" t="n">
        <v>0.8139328</v>
      </c>
      <c r="Q619" s="46" t="n">
        <v>1.7068164</v>
      </c>
      <c r="R619" s="46" t="n">
        <v>1.5623582</v>
      </c>
      <c r="S619" s="47" t="n">
        <f aca="false">M619+N619+O619</f>
        <v>0.6735854</v>
      </c>
      <c r="T619" s="47" t="n">
        <f aca="false">M619+P619</f>
        <v>1.04326</v>
      </c>
    </row>
    <row r="620" customFormat="false" ht="15" hidden="false" customHeight="false" outlineLevel="0" collapsed="false">
      <c r="A620" s="42" t="s">
        <v>44</v>
      </c>
      <c r="B620" s="42" t="n">
        <v>-8</v>
      </c>
      <c r="C620" s="42" t="n">
        <v>19</v>
      </c>
      <c r="D620" s="42" t="n">
        <v>74270934</v>
      </c>
      <c r="E620" s="43" t="n">
        <v>0.986611875334066</v>
      </c>
      <c r="F620" s="43" t="n">
        <v>0.987543817878061</v>
      </c>
      <c r="G620" s="43" t="n">
        <v>0.987673788326319</v>
      </c>
      <c r="H620" s="43" t="n">
        <v>0.987849734343501</v>
      </c>
      <c r="I620" s="42" t="n">
        <v>1</v>
      </c>
      <c r="J620" s="42" t="n">
        <v>1</v>
      </c>
      <c r="K620" s="44" t="str">
        <f aca="false">IF(AND(I620=1,J620=1),"两者都跟住",IF(AND(I620=0,J620=1),"仅 PC-TBD 跟住",IF(AND(I620=1,J620=0),"仅 VIT-LPS 跟住","都没跟住")))</f>
        <v>两者都跟住</v>
      </c>
      <c r="L620" s="45" t="n">
        <f aca="false">F620-G620</f>
        <v>-0.000129970448258021</v>
      </c>
      <c r="M620" s="46" t="n">
        <v>0.2140832</v>
      </c>
      <c r="N620" s="46" t="n">
        <v>0.1464048</v>
      </c>
      <c r="O620" s="46" t="n">
        <v>0.304883</v>
      </c>
      <c r="P620" s="46" t="n">
        <v>0.7642809</v>
      </c>
      <c r="Q620" s="46" t="n">
        <v>1.6250025</v>
      </c>
      <c r="R620" s="46" t="n">
        <v>1.5568446</v>
      </c>
      <c r="S620" s="47" t="n">
        <f aca="false">M620+N620+O620</f>
        <v>0.665371</v>
      </c>
      <c r="T620" s="47" t="n">
        <f aca="false">M620+P620</f>
        <v>0.9783641</v>
      </c>
    </row>
    <row r="621" customFormat="false" ht="15" hidden="false" customHeight="false" outlineLevel="0" collapsed="false">
      <c r="A621" s="42" t="s">
        <v>44</v>
      </c>
      <c r="B621" s="42" t="n">
        <v>-8</v>
      </c>
      <c r="C621" s="42" t="n">
        <v>20</v>
      </c>
      <c r="D621" s="42" t="n">
        <v>74270935</v>
      </c>
      <c r="E621" s="43" t="n">
        <v>0.982787816701864</v>
      </c>
      <c r="F621" s="43" t="n">
        <v>0.988339527237923</v>
      </c>
      <c r="G621" s="43" t="n">
        <v>0.984654411996849</v>
      </c>
      <c r="H621" s="43" t="n">
        <v>0.989688566033238</v>
      </c>
      <c r="I621" s="42" t="n">
        <v>1</v>
      </c>
      <c r="J621" s="42" t="n">
        <v>1</v>
      </c>
      <c r="K621" s="44" t="str">
        <f aca="false">IF(AND(I621=1,J621=1),"两者都跟住",IF(AND(I621=0,J621=1),"仅 PC-TBD 跟住",IF(AND(I621=1,J621=0),"仅 VIT-LPS 跟住","都没跟住")))</f>
        <v>两者都跟住</v>
      </c>
      <c r="L621" s="45" t="n">
        <f aca="false">F621-G621</f>
        <v>0.00368511524107396</v>
      </c>
      <c r="M621" s="46" t="n">
        <v>0.233957</v>
      </c>
      <c r="N621" s="46" t="n">
        <v>0.1403493</v>
      </c>
      <c r="O621" s="46" t="n">
        <v>0.2923216</v>
      </c>
      <c r="P621" s="46" t="n">
        <v>0.8116433</v>
      </c>
      <c r="Q621" s="46" t="n">
        <v>1.2654989</v>
      </c>
      <c r="R621" s="46" t="n">
        <v>1.3601131</v>
      </c>
      <c r="S621" s="47" t="n">
        <f aca="false">M621+N621+O621</f>
        <v>0.6666279</v>
      </c>
      <c r="T621" s="47" t="n">
        <f aca="false">M621+P621</f>
        <v>1.0456003</v>
      </c>
    </row>
    <row r="622" customFormat="false" ht="15" hidden="false" customHeight="false" outlineLevel="0" collapsed="false">
      <c r="A622" s="42" t="s">
        <v>44</v>
      </c>
      <c r="B622" s="42" t="n">
        <v>-8</v>
      </c>
      <c r="C622" s="42" t="n">
        <v>21</v>
      </c>
      <c r="D622" s="42" t="n">
        <v>74270936</v>
      </c>
      <c r="E622" s="43" t="n">
        <v>0.97429480148234</v>
      </c>
      <c r="F622" s="43" t="n">
        <v>0.98418813672914</v>
      </c>
      <c r="G622" s="43" t="n">
        <v>0.974754083492926</v>
      </c>
      <c r="H622" s="43" t="n">
        <v>0.984500785937693</v>
      </c>
      <c r="I622" s="42" t="n">
        <v>1</v>
      </c>
      <c r="J622" s="42" t="n">
        <v>1</v>
      </c>
      <c r="K622" s="44" t="str">
        <f aca="false">IF(AND(I622=1,J622=1),"两者都跟住",IF(AND(I622=0,J622=1),"仅 PC-TBD 跟住",IF(AND(I622=1,J622=0),"仅 VIT-LPS 跟住","都没跟住")))</f>
        <v>两者都跟住</v>
      </c>
      <c r="L622" s="45" t="n">
        <f aca="false">F622-G622</f>
        <v>0.00943405323621394</v>
      </c>
      <c r="M622" s="46" t="n">
        <v>0.2968994</v>
      </c>
      <c r="N622" s="46" t="n">
        <v>0.144283</v>
      </c>
      <c r="O622" s="46" t="n">
        <v>0.4638898</v>
      </c>
      <c r="P622" s="46" t="n">
        <v>0.8433561</v>
      </c>
      <c r="Q622" s="46" t="n">
        <v>1.7338724</v>
      </c>
      <c r="R622" s="46" t="n">
        <v>1.8099584</v>
      </c>
      <c r="S622" s="47" t="n">
        <f aca="false">M622+N622+O622</f>
        <v>0.9050722</v>
      </c>
      <c r="T622" s="47" t="n">
        <f aca="false">M622+P622</f>
        <v>1.1402555</v>
      </c>
    </row>
    <row r="623" customFormat="false" ht="15" hidden="false" customHeight="false" outlineLevel="0" collapsed="false">
      <c r="A623" s="42" t="s">
        <v>44</v>
      </c>
      <c r="B623" s="42" t="n">
        <v>-8</v>
      </c>
      <c r="C623" s="42" t="n">
        <v>22</v>
      </c>
      <c r="D623" s="42" t="n">
        <v>74270937</v>
      </c>
      <c r="E623" s="43" t="n">
        <v>0.986688201764054</v>
      </c>
      <c r="F623" s="43" t="n">
        <v>0.987655397246326</v>
      </c>
      <c r="G623" s="43" t="n">
        <v>0.990201284979106</v>
      </c>
      <c r="H623" s="43" t="n">
        <v>0.988910625032398</v>
      </c>
      <c r="I623" s="42" t="n">
        <v>1</v>
      </c>
      <c r="J623" s="42" t="n">
        <v>1</v>
      </c>
      <c r="K623" s="44" t="str">
        <f aca="false">IF(AND(I623=1,J623=1),"两者都跟住",IF(AND(I623=0,J623=1),"仅 PC-TBD 跟住",IF(AND(I623=1,J623=0),"仅 VIT-LPS 跟住","都没跟住")))</f>
        <v>两者都跟住</v>
      </c>
      <c r="L623" s="45" t="n">
        <f aca="false">F623-G623</f>
        <v>-0.00254588773277997</v>
      </c>
      <c r="M623" s="46" t="n">
        <v>0.2564606</v>
      </c>
      <c r="N623" s="46" t="n">
        <v>0.1538477</v>
      </c>
      <c r="O623" s="46" t="n">
        <v>0.5604972</v>
      </c>
      <c r="P623" s="46" t="n">
        <v>0.8709327</v>
      </c>
      <c r="Q623" s="46" t="n">
        <v>1.9105573</v>
      </c>
      <c r="R623" s="46" t="n">
        <v>1.9887351</v>
      </c>
      <c r="S623" s="47" t="n">
        <f aca="false">M623+N623+O623</f>
        <v>0.9708055</v>
      </c>
      <c r="T623" s="47" t="n">
        <f aca="false">M623+P623</f>
        <v>1.1273933</v>
      </c>
    </row>
    <row r="624" customFormat="false" ht="15" hidden="false" customHeight="false" outlineLevel="0" collapsed="false">
      <c r="A624" s="42" t="s">
        <v>44</v>
      </c>
      <c r="B624" s="42" t="n">
        <v>-8</v>
      </c>
      <c r="C624" s="42" t="n">
        <v>23</v>
      </c>
      <c r="D624" s="42" t="n">
        <v>74270938</v>
      </c>
      <c r="E624" s="43" t="n">
        <v>0.975197419143342</v>
      </c>
      <c r="F624" s="43" t="n">
        <v>0.978256216401662</v>
      </c>
      <c r="G624" s="43" t="n">
        <v>0.986552690545849</v>
      </c>
      <c r="H624" s="43" t="n">
        <v>0.981353330818143</v>
      </c>
      <c r="I624" s="42" t="n">
        <v>1</v>
      </c>
      <c r="J624" s="42" t="n">
        <v>1</v>
      </c>
      <c r="K624" s="44" t="str">
        <f aca="false">IF(AND(I624=1,J624=1),"两者都跟住",IF(AND(I624=0,J624=1),"仅 PC-TBD 跟住",IF(AND(I624=1,J624=0),"仅 VIT-LPS 跟住","都没跟住")))</f>
        <v>两者都跟住</v>
      </c>
      <c r="L624" s="45" t="n">
        <f aca="false">F624-G624</f>
        <v>-0.00829647414418699</v>
      </c>
      <c r="M624" s="46" t="n">
        <v>0.3185741</v>
      </c>
      <c r="N624" s="46" t="n">
        <v>0.161962</v>
      </c>
      <c r="O624" s="46" t="n">
        <v>0.4997366</v>
      </c>
      <c r="P624" s="46" t="n">
        <v>0.6484175</v>
      </c>
      <c r="Q624" s="46" t="n">
        <v>1.7515315</v>
      </c>
      <c r="R624" s="46" t="n">
        <v>1.6074063</v>
      </c>
      <c r="S624" s="47" t="n">
        <f aca="false">M624+N624+O624</f>
        <v>0.9802727</v>
      </c>
      <c r="T624" s="47" t="n">
        <f aca="false">M624+P624</f>
        <v>0.9669916</v>
      </c>
    </row>
    <row r="625" customFormat="false" ht="15" hidden="false" customHeight="false" outlineLevel="0" collapsed="false">
      <c r="A625" s="42" t="s">
        <v>44</v>
      </c>
      <c r="B625" s="42" t="n">
        <v>-8</v>
      </c>
      <c r="C625" s="42" t="n">
        <v>24</v>
      </c>
      <c r="D625" s="42" t="n">
        <v>74270939</v>
      </c>
      <c r="E625" s="43" t="n">
        <v>0.990382175911259</v>
      </c>
      <c r="F625" s="43" t="n">
        <v>0.989137546205749</v>
      </c>
      <c r="G625" s="43" t="n">
        <v>0.986675874871116</v>
      </c>
      <c r="H625" s="43" t="n">
        <v>0.989662573348636</v>
      </c>
      <c r="I625" s="42" t="n">
        <v>1</v>
      </c>
      <c r="J625" s="42" t="n">
        <v>1</v>
      </c>
      <c r="K625" s="44" t="str">
        <f aca="false">IF(AND(I625=1,J625=1),"两者都跟住",IF(AND(I625=0,J625=1),"仅 PC-TBD 跟住",IF(AND(I625=1,J625=0),"仅 VIT-LPS 跟住","都没跟住")))</f>
        <v>两者都跟住</v>
      </c>
      <c r="L625" s="45" t="n">
        <f aca="false">F625-G625</f>
        <v>0.00246167133463304</v>
      </c>
      <c r="M625" s="46" t="n">
        <v>0.2897465</v>
      </c>
      <c r="N625" s="46" t="n">
        <v>0.1363627</v>
      </c>
      <c r="O625" s="46" t="n">
        <v>0.5996081</v>
      </c>
      <c r="P625" s="46" t="n">
        <v>0.8679104</v>
      </c>
      <c r="Q625" s="46" t="n">
        <v>1.8845614</v>
      </c>
      <c r="R625" s="46" t="n">
        <v>1.5981528</v>
      </c>
      <c r="S625" s="47" t="n">
        <f aca="false">M625+N625+O625</f>
        <v>1.0257173</v>
      </c>
      <c r="T625" s="47" t="n">
        <f aca="false">M625+P625</f>
        <v>1.1576569</v>
      </c>
    </row>
    <row r="626" customFormat="false" ht="15" hidden="false" customHeight="false" outlineLevel="0" collapsed="false">
      <c r="A626" s="42" t="s">
        <v>44</v>
      </c>
      <c r="B626" s="42" t="n">
        <v>-8</v>
      </c>
      <c r="C626" s="42" t="n">
        <v>25</v>
      </c>
      <c r="D626" s="42" t="n">
        <v>74270940</v>
      </c>
      <c r="E626" s="43" t="n">
        <v>0.988031774683737</v>
      </c>
      <c r="F626" s="43" t="n">
        <v>0.98862515304988</v>
      </c>
      <c r="G626" s="43" t="n">
        <v>0.988165250723177</v>
      </c>
      <c r="H626" s="43" t="n">
        <v>0.990063800773127</v>
      </c>
      <c r="I626" s="42" t="n">
        <v>1</v>
      </c>
      <c r="J626" s="42" t="n">
        <v>1</v>
      </c>
      <c r="K626" s="44" t="str">
        <f aca="false">IF(AND(I626=1,J626=1),"两者都跟住",IF(AND(I626=0,J626=1),"仅 PC-TBD 跟住",IF(AND(I626=1,J626=0),"仅 VIT-LPS 跟住","都没跟住")))</f>
        <v>两者都跟住</v>
      </c>
      <c r="L626" s="45" t="n">
        <f aca="false">F626-G626</f>
        <v>0.00045990232670301</v>
      </c>
      <c r="M626" s="46" t="n">
        <v>0.2996134</v>
      </c>
      <c r="N626" s="46" t="n">
        <v>0.1439139</v>
      </c>
      <c r="O626" s="46" t="n">
        <v>0.4167359</v>
      </c>
      <c r="P626" s="46" t="n">
        <v>0.8191136</v>
      </c>
      <c r="Q626" s="46" t="n">
        <v>2.1838721</v>
      </c>
      <c r="R626" s="46" t="n">
        <v>2.2063203</v>
      </c>
      <c r="S626" s="47" t="n">
        <f aca="false">M626+N626+O626</f>
        <v>0.8602632</v>
      </c>
      <c r="T626" s="47" t="n">
        <f aca="false">M626+P626</f>
        <v>1.118727</v>
      </c>
    </row>
    <row r="627" customFormat="false" ht="15" hidden="false" customHeight="false" outlineLevel="0" collapsed="false">
      <c r="A627" s="42" t="s">
        <v>44</v>
      </c>
      <c r="B627" s="42" t="n">
        <v>-8</v>
      </c>
      <c r="C627" s="42" t="n">
        <v>26</v>
      </c>
      <c r="D627" s="42" t="n">
        <v>74270941</v>
      </c>
      <c r="E627" s="43" t="n">
        <v>0.977820131230949</v>
      </c>
      <c r="F627" s="43" t="n">
        <v>0.988440390395245</v>
      </c>
      <c r="G627" s="43" t="n">
        <v>0.988889355488148</v>
      </c>
      <c r="H627" s="43" t="n">
        <v>0.988969997285341</v>
      </c>
      <c r="I627" s="42" t="n">
        <v>1</v>
      </c>
      <c r="J627" s="42" t="n">
        <v>1</v>
      </c>
      <c r="K627" s="44" t="str">
        <f aca="false">IF(AND(I627=1,J627=1),"两者都跟住",IF(AND(I627=0,J627=1),"仅 PC-TBD 跟住",IF(AND(I627=1,J627=0),"仅 VIT-LPS 跟住","都没跟住")))</f>
        <v>两者都跟住</v>
      </c>
      <c r="L627" s="45" t="n">
        <f aca="false">F627-G627</f>
        <v>-0.000448965092903042</v>
      </c>
      <c r="M627" s="46" t="n">
        <v>0.2346782</v>
      </c>
      <c r="N627" s="46" t="n">
        <v>0.1883802</v>
      </c>
      <c r="O627" s="46" t="n">
        <v>0.2896259</v>
      </c>
      <c r="P627" s="46" t="n">
        <v>1.0179838</v>
      </c>
      <c r="Q627" s="46" t="n">
        <v>2.0840942</v>
      </c>
      <c r="R627" s="46" t="n">
        <v>1.8179081</v>
      </c>
      <c r="S627" s="47" t="n">
        <f aca="false">M627+N627+O627</f>
        <v>0.7126843</v>
      </c>
      <c r="T627" s="47" t="n">
        <f aca="false">M627+P627</f>
        <v>1.252662</v>
      </c>
    </row>
    <row r="628" customFormat="false" ht="15" hidden="false" customHeight="false" outlineLevel="0" collapsed="false">
      <c r="A628" s="42" t="s">
        <v>44</v>
      </c>
      <c r="B628" s="42" t="n">
        <v>-8</v>
      </c>
      <c r="C628" s="42" t="n">
        <v>27</v>
      </c>
      <c r="D628" s="42" t="n">
        <v>74270942</v>
      </c>
      <c r="E628" s="43" t="n">
        <v>0.978585352220638</v>
      </c>
      <c r="F628" s="43" t="n">
        <v>0.983137638742639</v>
      </c>
      <c r="G628" s="43" t="n">
        <v>0.984668154875654</v>
      </c>
      <c r="H628" s="43" t="n">
        <v>0.985520561288339</v>
      </c>
      <c r="I628" s="42" t="n">
        <v>1</v>
      </c>
      <c r="J628" s="42" t="n">
        <v>1</v>
      </c>
      <c r="K628" s="44" t="str">
        <f aca="false">IF(AND(I628=1,J628=1),"两者都跟住",IF(AND(I628=0,J628=1),"仅 PC-TBD 跟住",IF(AND(I628=1,J628=0),"仅 VIT-LPS 跟住","都没跟住")))</f>
        <v>两者都跟住</v>
      </c>
      <c r="L628" s="45" t="n">
        <f aca="false">F628-G628</f>
        <v>-0.00153051613301491</v>
      </c>
      <c r="M628" s="46" t="n">
        <v>0.1534151</v>
      </c>
      <c r="N628" s="46" t="n">
        <v>0.1172278</v>
      </c>
      <c r="O628" s="46" t="n">
        <v>0.1247034</v>
      </c>
      <c r="P628" s="46" t="n">
        <v>0.4909817</v>
      </c>
      <c r="Q628" s="46" t="n">
        <v>1.4035567</v>
      </c>
      <c r="R628" s="46" t="n">
        <v>1.5428123</v>
      </c>
      <c r="S628" s="47" t="n">
        <f aca="false">M628+N628+O628</f>
        <v>0.3953463</v>
      </c>
      <c r="T628" s="47" t="n">
        <f aca="false">M628+P628</f>
        <v>0.6443968</v>
      </c>
    </row>
    <row r="629" customFormat="false" ht="15" hidden="false" customHeight="false" outlineLevel="0" collapsed="false">
      <c r="A629" s="42" t="s">
        <v>44</v>
      </c>
      <c r="B629" s="42" t="n">
        <v>-8</v>
      </c>
      <c r="C629" s="42" t="n">
        <v>28</v>
      </c>
      <c r="D629" s="42" t="n">
        <v>74270943</v>
      </c>
      <c r="E629" s="43" t="n">
        <v>0.977883418852331</v>
      </c>
      <c r="F629" s="43" t="n">
        <v>0.983981985834038</v>
      </c>
      <c r="G629" s="43" t="n">
        <v>0.980870339812363</v>
      </c>
      <c r="H629" s="43" t="n">
        <v>0.984048672232202</v>
      </c>
      <c r="I629" s="42" t="n">
        <v>1</v>
      </c>
      <c r="J629" s="42" t="n">
        <v>1</v>
      </c>
      <c r="K629" s="44" t="str">
        <f aca="false">IF(AND(I629=1,J629=1),"两者都跟住",IF(AND(I629=0,J629=1),"仅 PC-TBD 跟住",IF(AND(I629=1,J629=0),"仅 VIT-LPS 跟住","都没跟住")))</f>
        <v>两者都跟住</v>
      </c>
      <c r="L629" s="45" t="n">
        <f aca="false">F629-G629</f>
        <v>0.00311164602167491</v>
      </c>
      <c r="M629" s="46" t="n">
        <v>0.1421636</v>
      </c>
      <c r="N629" s="46" t="n">
        <v>0.1108712</v>
      </c>
      <c r="O629" s="46" t="n">
        <v>0.1217926</v>
      </c>
      <c r="P629" s="46" t="n">
        <v>0.4189001</v>
      </c>
      <c r="Q629" s="46" t="n">
        <v>1.3723713</v>
      </c>
      <c r="R629" s="46" t="n">
        <v>1.3938496</v>
      </c>
      <c r="S629" s="47" t="n">
        <f aca="false">M629+N629+O629</f>
        <v>0.3748274</v>
      </c>
      <c r="T629" s="47" t="n">
        <f aca="false">M629+P629</f>
        <v>0.5610637</v>
      </c>
    </row>
    <row r="630" customFormat="false" ht="15" hidden="false" customHeight="false" outlineLevel="0" collapsed="false">
      <c r="A630" s="42" t="s">
        <v>44</v>
      </c>
      <c r="B630" s="42" t="n">
        <v>-8</v>
      </c>
      <c r="C630" s="42" t="n">
        <v>29</v>
      </c>
      <c r="D630" s="42" t="n">
        <v>74270944</v>
      </c>
      <c r="E630" s="43" t="n">
        <v>0.974754820197264</v>
      </c>
      <c r="F630" s="43" t="n">
        <v>0.984453046044809</v>
      </c>
      <c r="G630" s="43" t="n">
        <v>0.983092879686901</v>
      </c>
      <c r="H630" s="43" t="n">
        <v>0.984297008373113</v>
      </c>
      <c r="I630" s="42" t="n">
        <v>1</v>
      </c>
      <c r="J630" s="42" t="n">
        <v>1</v>
      </c>
      <c r="K630" s="44" t="str">
        <f aca="false">IF(AND(I630=1,J630=1),"两者都跟住",IF(AND(I630=0,J630=1),"仅 PC-TBD 跟住",IF(AND(I630=1,J630=0),"仅 VIT-LPS 跟住","都没跟住")))</f>
        <v>两者都跟住</v>
      </c>
      <c r="L630" s="45" t="n">
        <f aca="false">F630-G630</f>
        <v>0.00136016635790803</v>
      </c>
      <c r="M630" s="46" t="n">
        <v>0.1323469</v>
      </c>
      <c r="N630" s="46" t="n">
        <v>0.1101438</v>
      </c>
      <c r="O630" s="46" t="n">
        <v>0.1381275</v>
      </c>
      <c r="P630" s="46" t="n">
        <v>0.4699768</v>
      </c>
      <c r="Q630" s="46" t="n">
        <v>1.3613208</v>
      </c>
      <c r="R630" s="46" t="n">
        <v>1.2165249</v>
      </c>
      <c r="S630" s="47" t="n">
        <f aca="false">M630+N630+O630</f>
        <v>0.3806182</v>
      </c>
      <c r="T630" s="47" t="n">
        <f aca="false">M630+P630</f>
        <v>0.6023237</v>
      </c>
    </row>
    <row r="631" customFormat="false" ht="15" hidden="false" customHeight="false" outlineLevel="0" collapsed="false">
      <c r="A631" s="42" t="s">
        <v>44</v>
      </c>
      <c r="B631" s="42" t="n">
        <v>-8</v>
      </c>
      <c r="C631" s="42" t="n">
        <v>30</v>
      </c>
      <c r="D631" s="42" t="n">
        <v>74270945</v>
      </c>
      <c r="E631" s="43" t="n">
        <v>0.985334244350669</v>
      </c>
      <c r="F631" s="43" t="n">
        <v>0.990753718017671</v>
      </c>
      <c r="G631" s="43" t="n">
        <v>0.98843890950962</v>
      </c>
      <c r="H631" s="43" t="n">
        <v>0.991171770199523</v>
      </c>
      <c r="I631" s="42" t="n">
        <v>1</v>
      </c>
      <c r="J631" s="42" t="n">
        <v>1</v>
      </c>
      <c r="K631" s="44" t="str">
        <f aca="false">IF(AND(I631=1,J631=1),"两者都跟住",IF(AND(I631=0,J631=1),"仅 PC-TBD 跟住",IF(AND(I631=1,J631=0),"仅 VIT-LPS 跟住","都没跟住")))</f>
        <v>两者都跟住</v>
      </c>
      <c r="L631" s="45" t="n">
        <f aca="false">F631-G631</f>
        <v>0.00231480850805099</v>
      </c>
      <c r="M631" s="46" t="n">
        <v>0.1555573</v>
      </c>
      <c r="N631" s="46" t="n">
        <v>0.1097825</v>
      </c>
      <c r="O631" s="46" t="n">
        <v>0.2030145</v>
      </c>
      <c r="P631" s="46" t="n">
        <v>0.3848067</v>
      </c>
      <c r="Q631" s="46" t="n">
        <v>1.5316826</v>
      </c>
      <c r="R631" s="46" t="n">
        <v>1.4105445</v>
      </c>
      <c r="S631" s="47" t="n">
        <f aca="false">M631+N631+O631</f>
        <v>0.4683543</v>
      </c>
      <c r="T631" s="47" t="n">
        <f aca="false">M631+P631</f>
        <v>0.540364</v>
      </c>
    </row>
    <row r="632" customFormat="false" ht="15" hidden="false" customHeight="false" outlineLevel="0" collapsed="false">
      <c r="A632" s="42" t="s">
        <v>44</v>
      </c>
      <c r="B632" s="42" t="n">
        <v>-8</v>
      </c>
      <c r="C632" s="42" t="n">
        <v>31</v>
      </c>
      <c r="D632" s="42" t="n">
        <v>74270946</v>
      </c>
      <c r="E632" s="43" t="n">
        <v>0.979782270620052</v>
      </c>
      <c r="F632" s="43" t="n">
        <v>0.984031681135224</v>
      </c>
      <c r="G632" s="43" t="n">
        <v>0.977017066511939</v>
      </c>
      <c r="H632" s="43" t="n">
        <v>0.984503107579171</v>
      </c>
      <c r="I632" s="42" t="n">
        <v>1</v>
      </c>
      <c r="J632" s="42" t="n">
        <v>1</v>
      </c>
      <c r="K632" s="44" t="str">
        <f aca="false">IF(AND(I632=1,J632=1),"两者都跟住",IF(AND(I632=0,J632=1),"仅 PC-TBD 跟住",IF(AND(I632=1,J632=0),"仅 VIT-LPS 跟住","都没跟住")))</f>
        <v>两者都跟住</v>
      </c>
      <c r="L632" s="45" t="n">
        <f aca="false">F632-G632</f>
        <v>0.00701461462328501</v>
      </c>
      <c r="M632" s="46" t="n">
        <v>0.2317699</v>
      </c>
      <c r="N632" s="46" t="n">
        <v>0.14896</v>
      </c>
      <c r="O632" s="46" t="n">
        <v>0.2806453</v>
      </c>
      <c r="P632" s="46" t="n">
        <v>0.643334</v>
      </c>
      <c r="Q632" s="46" t="n">
        <v>1.9967801</v>
      </c>
      <c r="R632" s="46" t="n">
        <v>2.0795908</v>
      </c>
      <c r="S632" s="47" t="n">
        <f aca="false">M632+N632+O632</f>
        <v>0.6613752</v>
      </c>
      <c r="T632" s="47" t="n">
        <f aca="false">M632+P632</f>
        <v>0.8751039</v>
      </c>
    </row>
    <row r="633" customFormat="false" ht="15" hidden="false" customHeight="false" outlineLevel="0" collapsed="false">
      <c r="A633" s="42" t="s">
        <v>44</v>
      </c>
      <c r="B633" s="42" t="n">
        <v>-8</v>
      </c>
      <c r="C633" s="42" t="n">
        <v>32</v>
      </c>
      <c r="D633" s="42" t="n">
        <v>74270947</v>
      </c>
      <c r="E633" s="43" t="n">
        <v>0.984261016284328</v>
      </c>
      <c r="F633" s="43" t="n">
        <v>0.986881182232067</v>
      </c>
      <c r="G633" s="43" t="n">
        <v>0.988146769415346</v>
      </c>
      <c r="H633" s="43" t="n">
        <v>0.989716024799404</v>
      </c>
      <c r="I633" s="42" t="n">
        <v>1</v>
      </c>
      <c r="J633" s="42" t="n">
        <v>1</v>
      </c>
      <c r="K633" s="44" t="str">
        <f aca="false">IF(AND(I633=1,J633=1),"两者都跟住",IF(AND(I633=0,J633=1),"仅 PC-TBD 跟住",IF(AND(I633=1,J633=0),"仅 VIT-LPS 跟住","都没跟住")))</f>
        <v>两者都跟住</v>
      </c>
      <c r="L633" s="45" t="n">
        <f aca="false">F633-G633</f>
        <v>-0.00126558718327896</v>
      </c>
      <c r="M633" s="46" t="n">
        <v>0.2658929</v>
      </c>
      <c r="N633" s="46" t="n">
        <v>0.1633884</v>
      </c>
      <c r="O633" s="46" t="n">
        <v>0.248983</v>
      </c>
      <c r="P633" s="46" t="n">
        <v>0.7599856</v>
      </c>
      <c r="Q633" s="46" t="n">
        <v>1.9546966</v>
      </c>
      <c r="R633" s="46" t="n">
        <v>1.9529558</v>
      </c>
      <c r="S633" s="47" t="n">
        <f aca="false">M633+N633+O633</f>
        <v>0.6782643</v>
      </c>
      <c r="T633" s="47" t="n">
        <f aca="false">M633+P633</f>
        <v>1.0258785</v>
      </c>
    </row>
    <row r="634" customFormat="false" ht="15" hidden="false" customHeight="false" outlineLevel="0" collapsed="false">
      <c r="A634" s="42" t="s">
        <v>44</v>
      </c>
      <c r="B634" s="42" t="n">
        <v>-8</v>
      </c>
      <c r="C634" s="42" t="n">
        <v>33</v>
      </c>
      <c r="D634" s="42" t="n">
        <v>74270948</v>
      </c>
      <c r="E634" s="43" t="n">
        <v>0.984867522255715</v>
      </c>
      <c r="F634" s="43" t="n">
        <v>0.988851385820901</v>
      </c>
      <c r="G634" s="43" t="n">
        <v>0.985836772680037</v>
      </c>
      <c r="H634" s="43" t="n">
        <v>0.988003981454096</v>
      </c>
      <c r="I634" s="42" t="n">
        <v>1</v>
      </c>
      <c r="J634" s="42" t="n">
        <v>1</v>
      </c>
      <c r="K634" s="44" t="str">
        <f aca="false">IF(AND(I634=1,J634=1),"两者都跟住",IF(AND(I634=0,J634=1),"仅 PC-TBD 跟住",IF(AND(I634=1,J634=0),"仅 VIT-LPS 跟住","都没跟住")))</f>
        <v>两者都跟住</v>
      </c>
      <c r="L634" s="45" t="n">
        <f aca="false">F634-G634</f>
        <v>0.00301461314086404</v>
      </c>
      <c r="M634" s="46" t="n">
        <v>0.2523856</v>
      </c>
      <c r="N634" s="46" t="n">
        <v>0.1533032</v>
      </c>
      <c r="O634" s="46" t="n">
        <v>0.2300833</v>
      </c>
      <c r="P634" s="46" t="n">
        <v>0.7305484</v>
      </c>
      <c r="Q634" s="46" t="n">
        <v>1.7669351</v>
      </c>
      <c r="R634" s="46" t="n">
        <v>1.9854955</v>
      </c>
      <c r="S634" s="47" t="n">
        <f aca="false">M634+N634+O634</f>
        <v>0.6357721</v>
      </c>
      <c r="T634" s="47" t="n">
        <f aca="false">M634+P634</f>
        <v>0.982934</v>
      </c>
    </row>
    <row r="635" customFormat="false" ht="15" hidden="false" customHeight="false" outlineLevel="0" collapsed="false">
      <c r="A635" s="42" t="s">
        <v>44</v>
      </c>
      <c r="B635" s="42" t="n">
        <v>-8</v>
      </c>
      <c r="C635" s="42" t="n">
        <v>34</v>
      </c>
      <c r="D635" s="42" t="n">
        <v>74270949</v>
      </c>
      <c r="E635" s="43" t="n">
        <v>0.982645276111663</v>
      </c>
      <c r="F635" s="43" t="n">
        <v>0.989618064031614</v>
      </c>
      <c r="G635" s="43" t="n">
        <v>0.989859152182913</v>
      </c>
      <c r="H635" s="43" t="n">
        <v>0.990188642484499</v>
      </c>
      <c r="I635" s="42" t="n">
        <v>1</v>
      </c>
      <c r="J635" s="42" t="n">
        <v>1</v>
      </c>
      <c r="K635" s="44" t="str">
        <f aca="false">IF(AND(I635=1,J635=1),"两者都跟住",IF(AND(I635=0,J635=1),"仅 PC-TBD 跟住",IF(AND(I635=1,J635=0),"仅 VIT-LPS 跟住","都没跟住")))</f>
        <v>两者都跟住</v>
      </c>
      <c r="L635" s="45" t="n">
        <f aca="false">F635-G635</f>
        <v>-0.000241088151298974</v>
      </c>
      <c r="M635" s="46" t="n">
        <v>0.2647903</v>
      </c>
      <c r="N635" s="46" t="n">
        <v>0.1563335</v>
      </c>
      <c r="O635" s="46" t="n">
        <v>0.2854446</v>
      </c>
      <c r="P635" s="46" t="n">
        <v>0.7526879</v>
      </c>
      <c r="Q635" s="46" t="n">
        <v>1.762706</v>
      </c>
      <c r="R635" s="46" t="n">
        <v>1.624734</v>
      </c>
      <c r="S635" s="47" t="n">
        <f aca="false">M635+N635+O635</f>
        <v>0.7065684</v>
      </c>
      <c r="T635" s="47" t="n">
        <f aca="false">M635+P635</f>
        <v>1.0174782</v>
      </c>
    </row>
    <row r="636" customFormat="false" ht="15" hidden="false" customHeight="false" outlineLevel="0" collapsed="false">
      <c r="A636" s="42" t="s">
        <v>44</v>
      </c>
      <c r="B636" s="42" t="n">
        <v>-8</v>
      </c>
      <c r="C636" s="42" t="n">
        <v>35</v>
      </c>
      <c r="D636" s="42" t="n">
        <v>74270950</v>
      </c>
      <c r="E636" s="43" t="n">
        <v>0.982576616407732</v>
      </c>
      <c r="F636" s="43" t="n">
        <v>0.980708839717367</v>
      </c>
      <c r="G636" s="43" t="n">
        <v>0.975461232803991</v>
      </c>
      <c r="H636" s="43" t="n">
        <v>0.982473638523969</v>
      </c>
      <c r="I636" s="42" t="n">
        <v>1</v>
      </c>
      <c r="J636" s="42" t="n">
        <v>1</v>
      </c>
      <c r="K636" s="44" t="str">
        <f aca="false">IF(AND(I636=1,J636=1),"两者都跟住",IF(AND(I636=0,J636=1),"仅 PC-TBD 跟住",IF(AND(I636=1,J636=0),"仅 VIT-LPS 跟住","都没跟住")))</f>
        <v>两者都跟住</v>
      </c>
      <c r="L636" s="45" t="n">
        <f aca="false">F636-G636</f>
        <v>0.005247606913376</v>
      </c>
      <c r="M636" s="46" t="n">
        <v>0.2156364</v>
      </c>
      <c r="N636" s="46" t="n">
        <v>0.1362629</v>
      </c>
      <c r="O636" s="46" t="n">
        <v>0.2582375</v>
      </c>
      <c r="P636" s="46" t="n">
        <v>0.7231266</v>
      </c>
      <c r="Q636" s="46" t="n">
        <v>2.0529506</v>
      </c>
      <c r="R636" s="46" t="n">
        <v>2.0454011</v>
      </c>
      <c r="S636" s="47" t="n">
        <f aca="false">M636+N636+O636</f>
        <v>0.6101368</v>
      </c>
      <c r="T636" s="47" t="n">
        <f aca="false">M636+P636</f>
        <v>0.938763</v>
      </c>
    </row>
    <row r="637" customFormat="false" ht="15" hidden="false" customHeight="false" outlineLevel="0" collapsed="false">
      <c r="A637" s="42" t="s">
        <v>44</v>
      </c>
      <c r="B637" s="42" t="n">
        <v>-8</v>
      </c>
      <c r="C637" s="42" t="n">
        <v>36</v>
      </c>
      <c r="D637" s="42" t="n">
        <v>74270951</v>
      </c>
      <c r="E637" s="43" t="n">
        <v>0.978705410143894</v>
      </c>
      <c r="F637" s="43" t="n">
        <v>0.981891936972478</v>
      </c>
      <c r="G637" s="43" t="n">
        <v>0.979406091398614</v>
      </c>
      <c r="H637" s="43" t="n">
        <v>0.981942859237536</v>
      </c>
      <c r="I637" s="42" t="n">
        <v>1</v>
      </c>
      <c r="J637" s="42" t="n">
        <v>1</v>
      </c>
      <c r="K637" s="44" t="str">
        <f aca="false">IF(AND(I637=1,J637=1),"两者都跟住",IF(AND(I637=0,J637=1),"仅 PC-TBD 跟住",IF(AND(I637=1,J637=0),"仅 VIT-LPS 跟住","都没跟住")))</f>
        <v>两者都跟住</v>
      </c>
      <c r="L637" s="45" t="n">
        <f aca="false">F637-G637</f>
        <v>0.002485845573864</v>
      </c>
      <c r="M637" s="46" t="n">
        <v>0.2554941</v>
      </c>
      <c r="N637" s="46" t="n">
        <v>0.1642695</v>
      </c>
      <c r="O637" s="46" t="n">
        <v>0.3150142</v>
      </c>
      <c r="P637" s="46" t="n">
        <v>0.7387539</v>
      </c>
      <c r="Q637" s="46" t="n">
        <v>2.0285348</v>
      </c>
      <c r="R637" s="46" t="n">
        <v>1.8001427</v>
      </c>
      <c r="S637" s="47" t="n">
        <f aca="false">M637+N637+O637</f>
        <v>0.7347778</v>
      </c>
      <c r="T637" s="47" t="n">
        <f aca="false">M637+P637</f>
        <v>0.994248</v>
      </c>
    </row>
    <row r="638" customFormat="false" ht="15" hidden="false" customHeight="false" outlineLevel="0" collapsed="false">
      <c r="A638" s="42" t="s">
        <v>44</v>
      </c>
      <c r="B638" s="42" t="n">
        <v>-8</v>
      </c>
      <c r="C638" s="42" t="n">
        <v>37</v>
      </c>
      <c r="D638" s="42" t="n">
        <v>74270952</v>
      </c>
      <c r="E638" s="43" t="n">
        <v>0.986836527474506</v>
      </c>
      <c r="F638" s="43" t="n">
        <v>0.98773204929339</v>
      </c>
      <c r="G638" s="43" t="n">
        <v>0.98846139777093</v>
      </c>
      <c r="H638" s="43" t="n">
        <v>0.991280224065738</v>
      </c>
      <c r="I638" s="42" t="n">
        <v>1</v>
      </c>
      <c r="J638" s="42" t="n">
        <v>1</v>
      </c>
      <c r="K638" s="44" t="str">
        <f aca="false">IF(AND(I638=1,J638=1),"两者都跟住",IF(AND(I638=0,J638=1),"仅 PC-TBD 跟住",IF(AND(I638=1,J638=0),"仅 VIT-LPS 跟住","都没跟住")))</f>
        <v>两者都跟住</v>
      </c>
      <c r="L638" s="45" t="n">
        <f aca="false">F638-G638</f>
        <v>-0.000729348477540026</v>
      </c>
      <c r="M638" s="46" t="n">
        <v>0.1469471</v>
      </c>
      <c r="N638" s="46" t="n">
        <v>0.1050186</v>
      </c>
      <c r="O638" s="46" t="n">
        <v>0.1578243</v>
      </c>
      <c r="P638" s="46" t="n">
        <v>0.4515875</v>
      </c>
      <c r="Q638" s="46" t="n">
        <v>1.1935296</v>
      </c>
      <c r="R638" s="46" t="n">
        <v>1.1119584</v>
      </c>
      <c r="S638" s="47" t="n">
        <f aca="false">M638+N638+O638</f>
        <v>0.40979</v>
      </c>
      <c r="T638" s="47" t="n">
        <f aca="false">M638+P638</f>
        <v>0.5985346</v>
      </c>
    </row>
    <row r="639" customFormat="false" ht="15" hidden="false" customHeight="false" outlineLevel="0" collapsed="false">
      <c r="A639" s="42" t="s">
        <v>44</v>
      </c>
      <c r="B639" s="42" t="n">
        <v>-8</v>
      </c>
      <c r="C639" s="42" t="n">
        <v>38</v>
      </c>
      <c r="D639" s="42" t="n">
        <v>74270953</v>
      </c>
      <c r="E639" s="43" t="n">
        <v>0.982059109105695</v>
      </c>
      <c r="F639" s="43" t="n">
        <v>0.986736521820793</v>
      </c>
      <c r="G639" s="43" t="n">
        <v>0.984888400143382</v>
      </c>
      <c r="H639" s="43" t="n">
        <v>0.985148027364694</v>
      </c>
      <c r="I639" s="42" t="n">
        <v>1</v>
      </c>
      <c r="J639" s="42" t="n">
        <v>1</v>
      </c>
      <c r="K639" s="44" t="str">
        <f aca="false">IF(AND(I639=1,J639=1),"两者都跟住",IF(AND(I639=0,J639=1),"仅 PC-TBD 跟住",IF(AND(I639=1,J639=0),"仅 VIT-LPS 跟住","都没跟住")))</f>
        <v>两者都跟住</v>
      </c>
      <c r="L639" s="45" t="n">
        <f aca="false">F639-G639</f>
        <v>0.001848121677411</v>
      </c>
      <c r="M639" s="46" t="n">
        <v>0.1559312</v>
      </c>
      <c r="N639" s="46" t="n">
        <v>0.1007082</v>
      </c>
      <c r="O639" s="46" t="n">
        <v>0.0984708</v>
      </c>
      <c r="P639" s="46" t="n">
        <v>0.5036893</v>
      </c>
      <c r="Q639" s="46" t="n">
        <v>1.4989658</v>
      </c>
      <c r="R639" s="46" t="n">
        <v>1.3064548</v>
      </c>
      <c r="S639" s="47" t="n">
        <f aca="false">M639+N639+O639</f>
        <v>0.3551102</v>
      </c>
      <c r="T639" s="47" t="n">
        <f aca="false">M639+P639</f>
        <v>0.6596205</v>
      </c>
    </row>
    <row r="640" customFormat="false" ht="15" hidden="false" customHeight="false" outlineLevel="0" collapsed="false">
      <c r="A640" s="42" t="s">
        <v>44</v>
      </c>
      <c r="B640" s="42" t="n">
        <v>-8</v>
      </c>
      <c r="C640" s="42" t="n">
        <v>39</v>
      </c>
      <c r="D640" s="42" t="n">
        <v>74270954</v>
      </c>
      <c r="E640" s="43" t="n">
        <v>0.973528162379246</v>
      </c>
      <c r="F640" s="43" t="n">
        <v>0.985552749040284</v>
      </c>
      <c r="G640" s="43" t="n">
        <v>0.981078800886541</v>
      </c>
      <c r="H640" s="43" t="n">
        <v>0.98891962370378</v>
      </c>
      <c r="I640" s="42" t="n">
        <v>1</v>
      </c>
      <c r="J640" s="42" t="n">
        <v>1</v>
      </c>
      <c r="K640" s="44" t="str">
        <f aca="false">IF(AND(I640=1,J640=1),"两者都跟住",IF(AND(I640=0,J640=1),"仅 PC-TBD 跟住",IF(AND(I640=1,J640=0),"仅 VIT-LPS 跟住","都没跟住")))</f>
        <v>两者都跟住</v>
      </c>
      <c r="L640" s="45" t="n">
        <f aca="false">F640-G640</f>
        <v>0.00447394815374302</v>
      </c>
      <c r="M640" s="46" t="n">
        <v>0.1544281</v>
      </c>
      <c r="N640" s="46" t="n">
        <v>0.1060788</v>
      </c>
      <c r="O640" s="46" t="n">
        <v>0.1397247</v>
      </c>
      <c r="P640" s="46" t="n">
        <v>0.4946014</v>
      </c>
      <c r="Q640" s="46" t="n">
        <v>1.6121257</v>
      </c>
      <c r="R640" s="46" t="n">
        <v>1.5127088</v>
      </c>
      <c r="S640" s="47" t="n">
        <f aca="false">M640+N640+O640</f>
        <v>0.4002316</v>
      </c>
      <c r="T640" s="47" t="n">
        <f aca="false">M640+P640</f>
        <v>0.6490295</v>
      </c>
    </row>
    <row r="641" customFormat="false" ht="15" hidden="false" customHeight="false" outlineLevel="0" collapsed="false">
      <c r="A641" s="42" t="s">
        <v>44</v>
      </c>
      <c r="B641" s="42" t="n">
        <v>-8</v>
      </c>
      <c r="C641" s="42" t="n">
        <v>40</v>
      </c>
      <c r="D641" s="42" t="n">
        <v>74270955</v>
      </c>
      <c r="E641" s="43" t="n">
        <v>0.979859428431513</v>
      </c>
      <c r="F641" s="43" t="n">
        <v>0.985644306884231</v>
      </c>
      <c r="G641" s="43" t="n">
        <v>0.988937544323295</v>
      </c>
      <c r="H641" s="43" t="n">
        <v>0.988826297493514</v>
      </c>
      <c r="I641" s="42" t="n">
        <v>1</v>
      </c>
      <c r="J641" s="42" t="n">
        <v>1</v>
      </c>
      <c r="K641" s="44" t="str">
        <f aca="false">IF(AND(I641=1,J641=1),"两者都跟住",IF(AND(I641=0,J641=1),"仅 PC-TBD 跟住",IF(AND(I641=1,J641=0),"仅 VIT-LPS 跟住","都没跟住")))</f>
        <v>两者都跟住</v>
      </c>
      <c r="L641" s="45" t="n">
        <f aca="false">F641-G641</f>
        <v>-0.00329323743906396</v>
      </c>
      <c r="M641" s="46" t="n">
        <v>0.1549234</v>
      </c>
      <c r="N641" s="46" t="n">
        <v>0.0917103</v>
      </c>
      <c r="O641" s="46" t="n">
        <v>0.1082563</v>
      </c>
      <c r="P641" s="46" t="n">
        <v>0.4228563</v>
      </c>
      <c r="Q641" s="46" t="n">
        <v>0.964549</v>
      </c>
      <c r="R641" s="46" t="n">
        <v>1.1915354</v>
      </c>
      <c r="S641" s="47" t="n">
        <f aca="false">M641+N641+O641</f>
        <v>0.35489</v>
      </c>
      <c r="T641" s="47" t="n">
        <f aca="false">M641+P641</f>
        <v>0.5777797</v>
      </c>
    </row>
    <row r="642" customFormat="false" ht="15" hidden="false" customHeight="false" outlineLevel="0" collapsed="false">
      <c r="A642" s="42" t="s">
        <v>44</v>
      </c>
      <c r="B642" s="42" t="n">
        <v>-8</v>
      </c>
      <c r="C642" s="42" t="n">
        <v>41</v>
      </c>
      <c r="D642" s="42" t="n">
        <v>74270956</v>
      </c>
      <c r="E642" s="43" t="n">
        <v>0.985976911747769</v>
      </c>
      <c r="F642" s="43" t="n">
        <v>0.982703465000505</v>
      </c>
      <c r="G642" s="43" t="n">
        <v>0.980775197149913</v>
      </c>
      <c r="H642" s="43" t="n">
        <v>0.982103994333901</v>
      </c>
      <c r="I642" s="42" t="n">
        <v>1</v>
      </c>
      <c r="J642" s="42" t="n">
        <v>1</v>
      </c>
      <c r="K642" s="44" t="str">
        <f aca="false">IF(AND(I642=1,J642=1),"两者都跟住",IF(AND(I642=0,J642=1),"仅 PC-TBD 跟住",IF(AND(I642=1,J642=0),"仅 VIT-LPS 跟住","都没跟住")))</f>
        <v>两者都跟住</v>
      </c>
      <c r="L642" s="45" t="n">
        <f aca="false">F642-G642</f>
        <v>0.00192826785059197</v>
      </c>
      <c r="M642" s="46" t="n">
        <v>0.2168862</v>
      </c>
      <c r="N642" s="46" t="n">
        <v>0.1120936</v>
      </c>
      <c r="O642" s="46" t="n">
        <v>0.1905335</v>
      </c>
      <c r="P642" s="46" t="n">
        <v>0.6601001</v>
      </c>
      <c r="Q642" s="46" t="n">
        <v>2.0400251</v>
      </c>
      <c r="R642" s="46" t="n">
        <v>1.8056147</v>
      </c>
      <c r="S642" s="47" t="n">
        <f aca="false">M642+N642+O642</f>
        <v>0.5195133</v>
      </c>
      <c r="T642" s="47" t="n">
        <f aca="false">M642+P642</f>
        <v>0.8769863</v>
      </c>
    </row>
    <row r="643" customFormat="false" ht="15" hidden="false" customHeight="false" outlineLevel="0" collapsed="false">
      <c r="A643" s="42" t="s">
        <v>44</v>
      </c>
      <c r="B643" s="42" t="n">
        <v>-8</v>
      </c>
      <c r="C643" s="42" t="n">
        <v>42</v>
      </c>
      <c r="D643" s="42" t="n">
        <v>74270957</v>
      </c>
      <c r="E643" s="43" t="n">
        <v>0.982943072188567</v>
      </c>
      <c r="F643" s="43" t="n">
        <v>0.987139195345734</v>
      </c>
      <c r="G643" s="43" t="n">
        <v>0.97477942091877</v>
      </c>
      <c r="H643" s="43" t="n">
        <v>0.985541111928895</v>
      </c>
      <c r="I643" s="42" t="n">
        <v>1</v>
      </c>
      <c r="J643" s="42" t="n">
        <v>1</v>
      </c>
      <c r="K643" s="44" t="str">
        <f aca="false">IF(AND(I643=1,J643=1),"两者都跟住",IF(AND(I643=0,J643=1),"仅 PC-TBD 跟住",IF(AND(I643=1,J643=0),"仅 VIT-LPS 跟住","都没跟住")))</f>
        <v>两者都跟住</v>
      </c>
      <c r="L643" s="45" t="n">
        <f aca="false">F643-G643</f>
        <v>0.012359774426964</v>
      </c>
      <c r="M643" s="46" t="n">
        <v>0.2257067</v>
      </c>
      <c r="N643" s="46" t="n">
        <v>0.1421254</v>
      </c>
      <c r="O643" s="46" t="n">
        <v>0.1866793</v>
      </c>
      <c r="P643" s="46" t="n">
        <v>0.7687349</v>
      </c>
      <c r="Q643" s="46" t="n">
        <v>2.218289</v>
      </c>
      <c r="R643" s="46" t="n">
        <v>1.9639715</v>
      </c>
      <c r="S643" s="47" t="n">
        <f aca="false">M643+N643+O643</f>
        <v>0.5545114</v>
      </c>
      <c r="T643" s="47" t="n">
        <f aca="false">M643+P643</f>
        <v>0.9944416</v>
      </c>
    </row>
    <row r="644" customFormat="false" ht="15" hidden="false" customHeight="false" outlineLevel="0" collapsed="false">
      <c r="A644" s="42" t="s">
        <v>44</v>
      </c>
      <c r="B644" s="42" t="n">
        <v>-8</v>
      </c>
      <c r="C644" s="42" t="n">
        <v>43</v>
      </c>
      <c r="D644" s="42" t="n">
        <v>74270958</v>
      </c>
      <c r="E644" s="43" t="n">
        <v>0.984959625982056</v>
      </c>
      <c r="F644" s="43" t="n">
        <v>0.982623966073706</v>
      </c>
      <c r="G644" s="43" t="n">
        <v>0.98272706654287</v>
      </c>
      <c r="H644" s="43" t="n">
        <v>0.983746241961159</v>
      </c>
      <c r="I644" s="42" t="n">
        <v>1</v>
      </c>
      <c r="J644" s="42" t="n">
        <v>1</v>
      </c>
      <c r="K644" s="44" t="str">
        <f aca="false">IF(AND(I644=1,J644=1),"两者都跟住",IF(AND(I644=0,J644=1),"仅 PC-TBD 跟住",IF(AND(I644=1,J644=0),"仅 VIT-LPS 跟住","都没跟住")))</f>
        <v>两者都跟住</v>
      </c>
      <c r="L644" s="45" t="n">
        <f aca="false">F644-G644</f>
        <v>-0.000103100469164064</v>
      </c>
      <c r="M644" s="46" t="n">
        <v>0.2289082</v>
      </c>
      <c r="N644" s="46" t="n">
        <v>0.1444301</v>
      </c>
      <c r="O644" s="46" t="n">
        <v>0.1651015</v>
      </c>
      <c r="P644" s="46" t="n">
        <v>0.7951541</v>
      </c>
      <c r="Q644" s="46" t="n">
        <v>1.7076035</v>
      </c>
      <c r="R644" s="46" t="n">
        <v>1.9877578</v>
      </c>
      <c r="S644" s="47" t="n">
        <f aca="false">M644+N644+O644</f>
        <v>0.5384398</v>
      </c>
      <c r="T644" s="47" t="n">
        <f aca="false">M644+P644</f>
        <v>1.0240623</v>
      </c>
    </row>
    <row r="645" customFormat="false" ht="15" hidden="false" customHeight="false" outlineLevel="0" collapsed="false">
      <c r="A645" s="42" t="s">
        <v>44</v>
      </c>
      <c r="B645" s="42" t="n">
        <v>-8</v>
      </c>
      <c r="C645" s="42" t="n">
        <v>44</v>
      </c>
      <c r="D645" s="42" t="n">
        <v>74270959</v>
      </c>
      <c r="E645" s="43" t="n">
        <v>0.97542726501927</v>
      </c>
      <c r="F645" s="43" t="n">
        <v>0.986814244958171</v>
      </c>
      <c r="G645" s="43" t="n">
        <v>0.981892981519654</v>
      </c>
      <c r="H645" s="43" t="n">
        <v>0.987235003234489</v>
      </c>
      <c r="I645" s="42" t="n">
        <v>1</v>
      </c>
      <c r="J645" s="42" t="n">
        <v>1</v>
      </c>
      <c r="K645" s="44" t="str">
        <f aca="false">IF(AND(I645=1,J645=1),"两者都跟住",IF(AND(I645=0,J645=1),"仅 PC-TBD 跟住",IF(AND(I645=1,J645=0),"仅 VIT-LPS 跟住","都没跟住")))</f>
        <v>两者都跟住</v>
      </c>
      <c r="L645" s="45" t="n">
        <f aca="false">F645-G645</f>
        <v>0.00492126343851707</v>
      </c>
      <c r="M645" s="46" t="n">
        <v>0.2126945</v>
      </c>
      <c r="N645" s="46" t="n">
        <v>0.1357027</v>
      </c>
      <c r="O645" s="46" t="n">
        <v>0.2151049</v>
      </c>
      <c r="P645" s="46" t="n">
        <v>0.7386085</v>
      </c>
      <c r="Q645" s="46" t="n">
        <v>1.958907</v>
      </c>
      <c r="R645" s="46" t="n">
        <v>2.1395388</v>
      </c>
      <c r="S645" s="47" t="n">
        <f aca="false">M645+N645+O645</f>
        <v>0.5635021</v>
      </c>
      <c r="T645" s="47" t="n">
        <f aca="false">M645+P645</f>
        <v>0.951303</v>
      </c>
    </row>
    <row r="646" customFormat="false" ht="15" hidden="false" customHeight="false" outlineLevel="0" collapsed="false">
      <c r="A646" s="42" t="s">
        <v>44</v>
      </c>
      <c r="B646" s="42" t="n">
        <v>-8</v>
      </c>
      <c r="C646" s="42" t="n">
        <v>45</v>
      </c>
      <c r="D646" s="42" t="n">
        <v>74270960</v>
      </c>
      <c r="E646" s="43" t="n">
        <v>0.986455398460871</v>
      </c>
      <c r="F646" s="43" t="n">
        <v>0.985927853026708</v>
      </c>
      <c r="G646" s="43" t="n">
        <v>0.990123231993742</v>
      </c>
      <c r="H646" s="43" t="n">
        <v>0.987567678252563</v>
      </c>
      <c r="I646" s="42" t="n">
        <v>1</v>
      </c>
      <c r="J646" s="42" t="n">
        <v>1</v>
      </c>
      <c r="K646" s="44" t="str">
        <f aca="false">IF(AND(I646=1,J646=1),"两者都跟住",IF(AND(I646=0,J646=1),"仅 PC-TBD 跟住",IF(AND(I646=1,J646=0),"仅 VIT-LPS 跟住","都没跟住")))</f>
        <v>两者都跟住</v>
      </c>
      <c r="L646" s="45" t="n">
        <f aca="false">F646-G646</f>
        <v>-0.00419537896703393</v>
      </c>
      <c r="M646" s="46" t="n">
        <v>0.2440488</v>
      </c>
      <c r="N646" s="46" t="n">
        <v>0.1444184</v>
      </c>
      <c r="O646" s="46" t="n">
        <v>0.3277789</v>
      </c>
      <c r="P646" s="46" t="n">
        <v>0.6008486</v>
      </c>
      <c r="Q646" s="46" t="n">
        <v>2.232611</v>
      </c>
      <c r="R646" s="46" t="n">
        <v>2.1723893</v>
      </c>
      <c r="S646" s="47" t="n">
        <f aca="false">M646+N646+O646</f>
        <v>0.7162461</v>
      </c>
      <c r="T646" s="47" t="n">
        <f aca="false">M646+P646</f>
        <v>0.8448974</v>
      </c>
    </row>
    <row r="647" customFormat="false" ht="15" hidden="false" customHeight="false" outlineLevel="0" collapsed="false">
      <c r="A647" s="42" t="s">
        <v>44</v>
      </c>
      <c r="B647" s="42" t="n">
        <v>-8</v>
      </c>
      <c r="C647" s="42" t="n">
        <v>46</v>
      </c>
      <c r="D647" s="42" t="n">
        <v>74270961</v>
      </c>
      <c r="E647" s="43" t="n">
        <v>0.959410202157402</v>
      </c>
      <c r="F647" s="43" t="n">
        <v>0.980760240066799</v>
      </c>
      <c r="G647" s="43" t="n">
        <v>0.980416452120516</v>
      </c>
      <c r="H647" s="43" t="n">
        <v>0.981965664440926</v>
      </c>
      <c r="I647" s="42" t="n">
        <v>1</v>
      </c>
      <c r="J647" s="42" t="n">
        <v>1</v>
      </c>
      <c r="K647" s="44" t="str">
        <f aca="false">IF(AND(I647=1,J647=1),"两者都跟住",IF(AND(I647=0,J647=1),"仅 PC-TBD 跟住",IF(AND(I647=1,J647=0),"仅 VIT-LPS 跟住","都没跟住")))</f>
        <v>两者都跟住</v>
      </c>
      <c r="L647" s="45" t="n">
        <f aca="false">F647-G647</f>
        <v>0.000343787946282981</v>
      </c>
      <c r="M647" s="46" t="n">
        <v>0.2163869</v>
      </c>
      <c r="N647" s="46" t="n">
        <v>0.1528853</v>
      </c>
      <c r="O647" s="46" t="n">
        <v>0.4254987</v>
      </c>
      <c r="P647" s="46" t="n">
        <v>0.5098637</v>
      </c>
      <c r="Q647" s="46" t="n">
        <v>1.6459881</v>
      </c>
      <c r="R647" s="46" t="n">
        <v>1.5605134</v>
      </c>
      <c r="S647" s="47" t="n">
        <f aca="false">M647+N647+O647</f>
        <v>0.7947709</v>
      </c>
      <c r="T647" s="47" t="n">
        <f aca="false">M647+P647</f>
        <v>0.7262506</v>
      </c>
    </row>
    <row r="648" customFormat="false" ht="15" hidden="false" customHeight="false" outlineLevel="0" collapsed="false">
      <c r="A648" s="42" t="s">
        <v>44</v>
      </c>
      <c r="B648" s="42" t="n">
        <v>-8</v>
      </c>
      <c r="C648" s="42" t="n">
        <v>47</v>
      </c>
      <c r="D648" s="42" t="n">
        <v>74270962</v>
      </c>
      <c r="E648" s="43" t="n">
        <v>0.982120685253817</v>
      </c>
      <c r="F648" s="43" t="n">
        <v>0.984221857427127</v>
      </c>
      <c r="G648" s="43" t="n">
        <v>0.983933337940002</v>
      </c>
      <c r="H648" s="43" t="n">
        <v>0.985248927510492</v>
      </c>
      <c r="I648" s="42" t="n">
        <v>1</v>
      </c>
      <c r="J648" s="42" t="n">
        <v>1</v>
      </c>
      <c r="K648" s="44" t="str">
        <f aca="false">IF(AND(I648=1,J648=1),"两者都跟住",IF(AND(I648=0,J648=1),"仅 PC-TBD 跟住",IF(AND(I648=1,J648=0),"仅 VIT-LPS 跟住","都没跟住")))</f>
        <v>两者都跟住</v>
      </c>
      <c r="L648" s="45" t="n">
        <f aca="false">F648-G648</f>
        <v>0.000288519487124939</v>
      </c>
      <c r="M648" s="46" t="n">
        <v>0.1378862</v>
      </c>
      <c r="N648" s="46" t="n">
        <v>0.1010252</v>
      </c>
      <c r="O648" s="46" t="n">
        <v>0.1253511</v>
      </c>
      <c r="P648" s="46" t="n">
        <v>0.3841873</v>
      </c>
      <c r="Q648" s="46" t="n">
        <v>1.2837046</v>
      </c>
      <c r="R648" s="46" t="n">
        <v>1.0317859</v>
      </c>
      <c r="S648" s="47" t="n">
        <f aca="false">M648+N648+O648</f>
        <v>0.3642625</v>
      </c>
      <c r="T648" s="47" t="n">
        <f aca="false">M648+P648</f>
        <v>0.5220735</v>
      </c>
    </row>
    <row r="649" customFormat="false" ht="15" hidden="false" customHeight="false" outlineLevel="0" collapsed="false">
      <c r="A649" s="42" t="s">
        <v>44</v>
      </c>
      <c r="B649" s="42" t="n">
        <v>-8</v>
      </c>
      <c r="C649" s="42" t="n">
        <v>48</v>
      </c>
      <c r="D649" s="42" t="n">
        <v>74270963</v>
      </c>
      <c r="E649" s="43" t="n">
        <v>0.989304650869033</v>
      </c>
      <c r="F649" s="43" t="n">
        <v>0.987922070693229</v>
      </c>
      <c r="G649" s="43" t="n">
        <v>0.989602163575829</v>
      </c>
      <c r="H649" s="43" t="n">
        <v>0.988928083011631</v>
      </c>
      <c r="I649" s="42" t="n">
        <v>1</v>
      </c>
      <c r="J649" s="42" t="n">
        <v>1</v>
      </c>
      <c r="K649" s="44" t="str">
        <f aca="false">IF(AND(I649=1,J649=1),"两者都跟住",IF(AND(I649=0,J649=1),"仅 PC-TBD 跟住",IF(AND(I649=1,J649=0),"仅 VIT-LPS 跟住","都没跟住")))</f>
        <v>两者都跟住</v>
      </c>
      <c r="L649" s="45" t="n">
        <f aca="false">F649-G649</f>
        <v>-0.00168009288259996</v>
      </c>
      <c r="M649" s="46" t="n">
        <v>0.1442937</v>
      </c>
      <c r="N649" s="46" t="n">
        <v>0.1051972</v>
      </c>
      <c r="O649" s="46" t="n">
        <v>0.1674907</v>
      </c>
      <c r="P649" s="46" t="n">
        <v>0.4179217</v>
      </c>
      <c r="Q649" s="46" t="n">
        <v>1.0380899</v>
      </c>
      <c r="R649" s="46" t="n">
        <v>1.2513062</v>
      </c>
      <c r="S649" s="47" t="n">
        <f aca="false">M649+N649+O649</f>
        <v>0.4169816</v>
      </c>
      <c r="T649" s="47" t="n">
        <f aca="false">M649+P649</f>
        <v>0.5622154</v>
      </c>
    </row>
    <row r="650" customFormat="false" ht="15" hidden="false" customHeight="false" outlineLevel="0" collapsed="false">
      <c r="A650" s="42" t="s">
        <v>44</v>
      </c>
      <c r="B650" s="42" t="n">
        <v>-8</v>
      </c>
      <c r="C650" s="42" t="n">
        <v>49</v>
      </c>
      <c r="D650" s="42" t="n">
        <v>74270964</v>
      </c>
      <c r="E650" s="43" t="n">
        <v>0.981745851030147</v>
      </c>
      <c r="F650" s="43" t="n">
        <v>0.980414447454098</v>
      </c>
      <c r="G650" s="43" t="n">
        <v>0.98327994194571</v>
      </c>
      <c r="H650" s="43" t="n">
        <v>0.984606837280888</v>
      </c>
      <c r="I650" s="42" t="n">
        <v>1</v>
      </c>
      <c r="J650" s="42" t="n">
        <v>1</v>
      </c>
      <c r="K650" s="44" t="str">
        <f aca="false">IF(AND(I650=1,J650=1),"两者都跟住",IF(AND(I650=0,J650=1),"仅 PC-TBD 跟住",IF(AND(I650=1,J650=0),"仅 VIT-LPS 跟住","都没跟住")))</f>
        <v>两者都跟住</v>
      </c>
      <c r="L650" s="45" t="n">
        <f aca="false">F650-G650</f>
        <v>-0.002865494491612</v>
      </c>
      <c r="M650" s="46" t="n">
        <v>0.1587039</v>
      </c>
      <c r="N650" s="46" t="n">
        <v>0.0764865</v>
      </c>
      <c r="O650" s="46" t="n">
        <v>0.11591</v>
      </c>
      <c r="P650" s="46" t="n">
        <v>0.4312204</v>
      </c>
      <c r="Q650" s="46" t="n">
        <v>1.1757588</v>
      </c>
      <c r="R650" s="46" t="n">
        <v>1.2283326</v>
      </c>
      <c r="S650" s="47" t="n">
        <f aca="false">M650+N650+O650</f>
        <v>0.3511004</v>
      </c>
      <c r="T650" s="47" t="n">
        <f aca="false">M650+P650</f>
        <v>0.5899243</v>
      </c>
    </row>
    <row r="651" customFormat="false" ht="15" hidden="false" customHeight="false" outlineLevel="0" collapsed="false">
      <c r="A651" s="42" t="s">
        <v>44</v>
      </c>
      <c r="B651" s="42" t="n">
        <v>-8</v>
      </c>
      <c r="C651" s="42" t="n">
        <v>50</v>
      </c>
      <c r="D651" s="42" t="n">
        <v>74270965</v>
      </c>
      <c r="E651" s="43" t="n">
        <v>0.983762763164148</v>
      </c>
      <c r="F651" s="43" t="n">
        <v>0.982693711401091</v>
      </c>
      <c r="G651" s="43" t="n">
        <v>0.981130830336417</v>
      </c>
      <c r="H651" s="43" t="n">
        <v>0.982338589786374</v>
      </c>
      <c r="I651" s="42" t="n">
        <v>1</v>
      </c>
      <c r="J651" s="42" t="n">
        <v>1</v>
      </c>
      <c r="K651" s="44" t="str">
        <f aca="false">IF(AND(I651=1,J651=1),"两者都跟住",IF(AND(I651=0,J651=1),"仅 PC-TBD 跟住",IF(AND(I651=1,J651=0),"仅 VIT-LPS 跟住","都没跟住")))</f>
        <v>两者都跟住</v>
      </c>
      <c r="L651" s="45" t="n">
        <f aca="false">F651-G651</f>
        <v>0.00156288106467395</v>
      </c>
      <c r="M651" s="46" t="n">
        <v>0.1685386</v>
      </c>
      <c r="N651" s="46" t="n">
        <v>0.0658377</v>
      </c>
      <c r="O651" s="46" t="n">
        <v>0.0787265</v>
      </c>
      <c r="P651" s="46" t="n">
        <v>0.4623843</v>
      </c>
      <c r="Q651" s="46" t="n">
        <v>1.5835083</v>
      </c>
      <c r="R651" s="46" t="n">
        <v>1.4048969</v>
      </c>
      <c r="S651" s="47" t="n">
        <f aca="false">M651+N651+O651</f>
        <v>0.3131028</v>
      </c>
      <c r="T651" s="47" t="n">
        <f aca="false">M651+P651</f>
        <v>0.6309229</v>
      </c>
    </row>
    <row r="652" customFormat="false" ht="15" hidden="false" customHeight="false" outlineLevel="0" collapsed="false">
      <c r="A652" s="42" t="s">
        <v>44</v>
      </c>
      <c r="B652" s="42" t="n">
        <v>-8</v>
      </c>
      <c r="C652" s="42" t="n">
        <v>51</v>
      </c>
      <c r="D652" s="42" t="n">
        <v>74270966</v>
      </c>
      <c r="E652" s="43" t="n">
        <v>0.985590315289284</v>
      </c>
      <c r="F652" s="43" t="n">
        <v>0.990117314956741</v>
      </c>
      <c r="G652" s="43" t="n">
        <v>0.98481725097189</v>
      </c>
      <c r="H652" s="43" t="n">
        <v>0.991803071080568</v>
      </c>
      <c r="I652" s="42" t="n">
        <v>1</v>
      </c>
      <c r="J652" s="42" t="n">
        <v>1</v>
      </c>
      <c r="K652" s="44" t="str">
        <f aca="false">IF(AND(I652=1,J652=1),"两者都跟住",IF(AND(I652=0,J652=1),"仅 PC-TBD 跟住",IF(AND(I652=1,J652=0),"仅 VIT-LPS 跟住","都没跟住")))</f>
        <v>两者都跟住</v>
      </c>
      <c r="L652" s="45" t="n">
        <f aca="false">F652-G652</f>
        <v>0.00530006398485106</v>
      </c>
      <c r="M652" s="46" t="n">
        <v>0.2606741</v>
      </c>
      <c r="N652" s="46" t="n">
        <v>0.1196376</v>
      </c>
      <c r="O652" s="46" t="n">
        <v>0.1676387</v>
      </c>
      <c r="P652" s="46" t="n">
        <v>0.5862561</v>
      </c>
      <c r="Q652" s="46" t="n">
        <v>1.8929917</v>
      </c>
      <c r="R652" s="46" t="n">
        <v>1.8859372</v>
      </c>
      <c r="S652" s="47" t="n">
        <f aca="false">M652+N652+O652</f>
        <v>0.5479504</v>
      </c>
      <c r="T652" s="47" t="n">
        <f aca="false">M652+P652</f>
        <v>0.8469302</v>
      </c>
    </row>
    <row r="653" customFormat="false" ht="15" hidden="false" customHeight="false" outlineLevel="0" collapsed="false">
      <c r="A653" s="42" t="s">
        <v>44</v>
      </c>
      <c r="B653" s="42" t="n">
        <v>-8</v>
      </c>
      <c r="C653" s="42" t="n">
        <v>52</v>
      </c>
      <c r="D653" s="42" t="n">
        <v>74270967</v>
      </c>
      <c r="E653" s="43" t="n">
        <v>0.982579978876106</v>
      </c>
      <c r="F653" s="43" t="n">
        <v>0.985896136443903</v>
      </c>
      <c r="G653" s="43" t="n">
        <v>0.981861848194023</v>
      </c>
      <c r="H653" s="43" t="n">
        <v>0.988292349948322</v>
      </c>
      <c r="I653" s="42" t="n">
        <v>1</v>
      </c>
      <c r="J653" s="42" t="n">
        <v>1</v>
      </c>
      <c r="K653" s="44" t="str">
        <f aca="false">IF(AND(I653=1,J653=1),"两者都跟住",IF(AND(I653=0,J653=1),"仅 PC-TBD 跟住",IF(AND(I653=1,J653=0),"仅 VIT-LPS 跟住","都没跟住")))</f>
        <v>两者都跟住</v>
      </c>
      <c r="L653" s="45" t="n">
        <f aca="false">F653-G653</f>
        <v>0.00403428824987995</v>
      </c>
      <c r="M653" s="46" t="n">
        <v>0.2344383</v>
      </c>
      <c r="N653" s="46" t="n">
        <v>0.1036539</v>
      </c>
      <c r="O653" s="46" t="n">
        <v>0.2131083</v>
      </c>
      <c r="P653" s="46" t="n">
        <v>0.663737</v>
      </c>
      <c r="Q653" s="46" t="n">
        <v>1.5833401</v>
      </c>
      <c r="R653" s="46" t="n">
        <v>1.6562179</v>
      </c>
      <c r="S653" s="47" t="n">
        <f aca="false">M653+N653+O653</f>
        <v>0.5512005</v>
      </c>
      <c r="T653" s="47" t="n">
        <f aca="false">M653+P653</f>
        <v>0.8981753</v>
      </c>
    </row>
    <row r="654" customFormat="false" ht="15" hidden="false" customHeight="false" outlineLevel="0" collapsed="false">
      <c r="A654" s="42" t="s">
        <v>44</v>
      </c>
      <c r="B654" s="42" t="n">
        <v>-8</v>
      </c>
      <c r="C654" s="42" t="n">
        <v>53</v>
      </c>
      <c r="D654" s="42" t="n">
        <v>74270968</v>
      </c>
      <c r="E654" s="43" t="n">
        <v>0.983830354001835</v>
      </c>
      <c r="F654" s="43" t="n">
        <v>0.992269134584048</v>
      </c>
      <c r="G654" s="43" t="n">
        <v>0.990080380313193</v>
      </c>
      <c r="H654" s="43" t="n">
        <v>0.992623934265054</v>
      </c>
      <c r="I654" s="42" t="n">
        <v>1</v>
      </c>
      <c r="J654" s="42" t="n">
        <v>1</v>
      </c>
      <c r="K654" s="44" t="str">
        <f aca="false">IF(AND(I654=1,J654=1),"两者都跟住",IF(AND(I654=0,J654=1),"仅 PC-TBD 跟住",IF(AND(I654=1,J654=0),"仅 VIT-LPS 跟住","都没跟住")))</f>
        <v>两者都跟住</v>
      </c>
      <c r="L654" s="45" t="n">
        <f aca="false">F654-G654</f>
        <v>0.00218875427085496</v>
      </c>
      <c r="M654" s="46" t="n">
        <v>0.2311869</v>
      </c>
      <c r="N654" s="46" t="n">
        <v>0.1241082</v>
      </c>
      <c r="O654" s="46" t="n">
        <v>0.1924402</v>
      </c>
      <c r="P654" s="46" t="n">
        <v>0.5044711</v>
      </c>
      <c r="Q654" s="46" t="n">
        <v>1.5667044</v>
      </c>
      <c r="R654" s="46" t="n">
        <v>1.484672</v>
      </c>
      <c r="S654" s="47" t="n">
        <f aca="false">M654+N654+O654</f>
        <v>0.5477353</v>
      </c>
      <c r="T654" s="47" t="n">
        <f aca="false">M654+P654</f>
        <v>0.735658</v>
      </c>
    </row>
    <row r="655" customFormat="false" ht="15" hidden="false" customHeight="false" outlineLevel="0" collapsed="false">
      <c r="A655" s="42" t="s">
        <v>44</v>
      </c>
      <c r="B655" s="42" t="n">
        <v>-8</v>
      </c>
      <c r="C655" s="42" t="n">
        <v>54</v>
      </c>
      <c r="D655" s="42" t="n">
        <v>74270969</v>
      </c>
      <c r="E655" s="43" t="n">
        <v>0.981646711472944</v>
      </c>
      <c r="F655" s="43" t="n">
        <v>0.989701460484875</v>
      </c>
      <c r="G655" s="43" t="n">
        <v>0.984491467659245</v>
      </c>
      <c r="H655" s="43" t="n">
        <v>0.991368590150477</v>
      </c>
      <c r="I655" s="42" t="n">
        <v>1</v>
      </c>
      <c r="J655" s="42" t="n">
        <v>1</v>
      </c>
      <c r="K655" s="44" t="str">
        <f aca="false">IF(AND(I655=1,J655=1),"两者都跟住",IF(AND(I655=0,J655=1),"仅 PC-TBD 跟住",IF(AND(I655=1,J655=0),"仅 VIT-LPS 跟住","都没跟住")))</f>
        <v>两者都跟住</v>
      </c>
      <c r="L655" s="45" t="n">
        <f aca="false">F655-G655</f>
        <v>0.00520999282562995</v>
      </c>
      <c r="M655" s="46" t="n">
        <v>0.2488009</v>
      </c>
      <c r="N655" s="46" t="n">
        <v>0.140559</v>
      </c>
      <c r="O655" s="46" t="n">
        <v>0.2223729</v>
      </c>
      <c r="P655" s="46" t="n">
        <v>0.5940103</v>
      </c>
      <c r="Q655" s="46" t="n">
        <v>2.0355154</v>
      </c>
      <c r="R655" s="46" t="n">
        <v>2.0272283</v>
      </c>
      <c r="S655" s="47" t="n">
        <f aca="false">M655+N655+O655</f>
        <v>0.6117328</v>
      </c>
      <c r="T655" s="47" t="n">
        <f aca="false">M655+P655</f>
        <v>0.8428112</v>
      </c>
    </row>
    <row r="656" customFormat="false" ht="15" hidden="false" customHeight="false" outlineLevel="0" collapsed="false">
      <c r="A656" s="42" t="s">
        <v>44</v>
      </c>
      <c r="B656" s="42" t="n">
        <v>-8</v>
      </c>
      <c r="C656" s="42" t="n">
        <v>55</v>
      </c>
      <c r="D656" s="42" t="n">
        <v>74270970</v>
      </c>
      <c r="E656" s="43" t="n">
        <v>0.97625627337084</v>
      </c>
      <c r="F656" s="43" t="n">
        <v>0.985436769214547</v>
      </c>
      <c r="G656" s="43" t="n">
        <v>0.981747197652237</v>
      </c>
      <c r="H656" s="43" t="n">
        <v>0.986402370606761</v>
      </c>
      <c r="I656" s="42" t="n">
        <v>1</v>
      </c>
      <c r="J656" s="42" t="n">
        <v>1</v>
      </c>
      <c r="K656" s="44" t="str">
        <f aca="false">IF(AND(I656=1,J656=1),"两者都跟住",IF(AND(I656=0,J656=1),"仅 PC-TBD 跟住",IF(AND(I656=1,J656=0),"仅 VIT-LPS 跟住","都没跟住")))</f>
        <v>两者都跟住</v>
      </c>
      <c r="L656" s="45" t="n">
        <f aca="false">F656-G656</f>
        <v>0.00368957156231009</v>
      </c>
      <c r="M656" s="46" t="n">
        <v>0.2599889</v>
      </c>
      <c r="N656" s="46" t="n">
        <v>0.1330098</v>
      </c>
      <c r="O656" s="46" t="n">
        <v>0.1984892</v>
      </c>
      <c r="P656" s="46" t="n">
        <v>0.6541284</v>
      </c>
      <c r="Q656" s="46" t="n">
        <v>1.877043</v>
      </c>
      <c r="R656" s="46" t="n">
        <v>1.8304688</v>
      </c>
      <c r="S656" s="47" t="n">
        <f aca="false">M656+N656+O656</f>
        <v>0.5914879</v>
      </c>
      <c r="T656" s="47" t="n">
        <f aca="false">M656+P656</f>
        <v>0.9141173</v>
      </c>
    </row>
    <row r="657" customFormat="false" ht="15" hidden="false" customHeight="false" outlineLevel="0" collapsed="false">
      <c r="A657" s="42" t="s">
        <v>44</v>
      </c>
      <c r="B657" s="42" t="n">
        <v>-8</v>
      </c>
      <c r="C657" s="42" t="n">
        <v>56</v>
      </c>
      <c r="D657" s="42" t="n">
        <v>74270971</v>
      </c>
      <c r="E657" s="43" t="n">
        <v>0.974993212756048</v>
      </c>
      <c r="F657" s="43" t="n">
        <v>0.979009076448864</v>
      </c>
      <c r="G657" s="43" t="n">
        <v>0.973750980499703</v>
      </c>
      <c r="H657" s="43" t="n">
        <v>0.97849241940856</v>
      </c>
      <c r="I657" s="42" t="n">
        <v>1</v>
      </c>
      <c r="J657" s="42" t="n">
        <v>1</v>
      </c>
      <c r="K657" s="44" t="str">
        <f aca="false">IF(AND(I657=1,J657=1),"两者都跟住",IF(AND(I657=0,J657=1),"仅 PC-TBD 跟住",IF(AND(I657=1,J657=0),"仅 VIT-LPS 跟住","都没跟住")))</f>
        <v>两者都跟住</v>
      </c>
      <c r="L657" s="45" t="n">
        <f aca="false">F657-G657</f>
        <v>0.00525809594916105</v>
      </c>
      <c r="M657" s="46" t="n">
        <v>0.220235</v>
      </c>
      <c r="N657" s="46" t="n">
        <v>0.1287744</v>
      </c>
      <c r="O657" s="46" t="n">
        <v>0.2118557</v>
      </c>
      <c r="P657" s="46" t="n">
        <v>0.6286776</v>
      </c>
      <c r="Q657" s="46" t="n">
        <v>1.8251892</v>
      </c>
      <c r="R657" s="46" t="n">
        <v>1.6383499</v>
      </c>
      <c r="S657" s="47" t="n">
        <f aca="false">M657+N657+O657</f>
        <v>0.5608651</v>
      </c>
      <c r="T657" s="47" t="n">
        <f aca="false">M657+P657</f>
        <v>0.8489126</v>
      </c>
    </row>
    <row r="658" customFormat="false" ht="15" hidden="false" customHeight="false" outlineLevel="0" collapsed="false">
      <c r="A658" s="42" t="s">
        <v>44</v>
      </c>
      <c r="B658" s="42" t="n">
        <v>-8</v>
      </c>
      <c r="C658" s="42" t="n">
        <v>57</v>
      </c>
      <c r="D658" s="42" t="n">
        <v>74270972</v>
      </c>
      <c r="E658" s="43" t="n">
        <v>0.985142635905824</v>
      </c>
      <c r="F658" s="43" t="n">
        <v>0.991139519831856</v>
      </c>
      <c r="G658" s="43" t="n">
        <v>0.994505714606129</v>
      </c>
      <c r="H658" s="43" t="n">
        <v>0.992381627622318</v>
      </c>
      <c r="I658" s="42" t="n">
        <v>1</v>
      </c>
      <c r="J658" s="42" t="n">
        <v>1</v>
      </c>
      <c r="K658" s="44" t="str">
        <f aca="false">IF(AND(I658=1,J658=1),"两者都跟住",IF(AND(I658=0,J658=1),"仅 PC-TBD 跟住",IF(AND(I658=1,J658=0),"仅 VIT-LPS 跟住","都没跟住")))</f>
        <v>两者都跟住</v>
      </c>
      <c r="L658" s="45" t="n">
        <f aca="false">F658-G658</f>
        <v>-0.00336619477427302</v>
      </c>
      <c r="M658" s="46" t="n">
        <v>0.1546613</v>
      </c>
      <c r="N658" s="46" t="n">
        <v>0.1012726</v>
      </c>
      <c r="O658" s="46" t="n">
        <v>0.1408015</v>
      </c>
      <c r="P658" s="46" t="n">
        <v>0.6649311</v>
      </c>
      <c r="Q658" s="46" t="n">
        <v>1.2949917</v>
      </c>
      <c r="R658" s="46" t="n">
        <v>1.2091998</v>
      </c>
      <c r="S658" s="47" t="n">
        <f aca="false">M658+N658+O658</f>
        <v>0.3967354</v>
      </c>
      <c r="T658" s="47" t="n">
        <f aca="false">M658+P658</f>
        <v>0.8195924</v>
      </c>
    </row>
    <row r="659" customFormat="false" ht="15" hidden="false" customHeight="false" outlineLevel="0" collapsed="false">
      <c r="A659" s="42" t="s">
        <v>44</v>
      </c>
      <c r="B659" s="42" t="n">
        <v>-8</v>
      </c>
      <c r="C659" s="42" t="n">
        <v>58</v>
      </c>
      <c r="D659" s="42" t="n">
        <v>74270973</v>
      </c>
      <c r="E659" s="43" t="n">
        <v>0.98187453185366</v>
      </c>
      <c r="F659" s="43" t="n">
        <v>0.984958642371775</v>
      </c>
      <c r="G659" s="43" t="n">
        <v>0.985288059781416</v>
      </c>
      <c r="H659" s="43" t="n">
        <v>0.984259541832524</v>
      </c>
      <c r="I659" s="42" t="n">
        <v>1</v>
      </c>
      <c r="J659" s="42" t="n">
        <v>1</v>
      </c>
      <c r="K659" s="44" t="str">
        <f aca="false">IF(AND(I659=1,J659=1),"两者都跟住",IF(AND(I659=0,J659=1),"仅 PC-TBD 跟住",IF(AND(I659=1,J659=0),"仅 VIT-LPS 跟住","都没跟住")))</f>
        <v>两者都跟住</v>
      </c>
      <c r="L659" s="45" t="n">
        <f aca="false">F659-G659</f>
        <v>-0.000329417409640986</v>
      </c>
      <c r="M659" s="46" t="n">
        <v>0.1306118</v>
      </c>
      <c r="N659" s="46" t="n">
        <v>0.0781891</v>
      </c>
      <c r="O659" s="46" t="n">
        <v>0.111727</v>
      </c>
      <c r="P659" s="46" t="n">
        <v>0.43978</v>
      </c>
      <c r="Q659" s="46" t="n">
        <v>1.4017251</v>
      </c>
      <c r="R659" s="46" t="n">
        <v>1.0627091</v>
      </c>
      <c r="S659" s="47" t="n">
        <f aca="false">M659+N659+O659</f>
        <v>0.3205279</v>
      </c>
      <c r="T659" s="47" t="n">
        <f aca="false">M659+P659</f>
        <v>0.5703918</v>
      </c>
    </row>
    <row r="660" customFormat="false" ht="15" hidden="false" customHeight="false" outlineLevel="0" collapsed="false">
      <c r="A660" s="42" t="s">
        <v>44</v>
      </c>
      <c r="B660" s="42" t="n">
        <v>-8</v>
      </c>
      <c r="C660" s="42" t="n">
        <v>59</v>
      </c>
      <c r="D660" s="42" t="n">
        <v>74270974</v>
      </c>
      <c r="E660" s="43" t="n">
        <v>0.973119816106953</v>
      </c>
      <c r="F660" s="43" t="n">
        <v>0.989652079534785</v>
      </c>
      <c r="G660" s="43" t="n">
        <v>0.979603467568206</v>
      </c>
      <c r="H660" s="43" t="n">
        <v>0.989628085736324</v>
      </c>
      <c r="I660" s="42" t="n">
        <v>1</v>
      </c>
      <c r="J660" s="42" t="n">
        <v>1</v>
      </c>
      <c r="K660" s="44" t="str">
        <f aca="false">IF(AND(I660=1,J660=1),"两者都跟住",IF(AND(I660=0,J660=1),"仅 PC-TBD 跟住",IF(AND(I660=1,J660=0),"仅 VIT-LPS 跟住","都没跟住")))</f>
        <v>两者都跟住</v>
      </c>
      <c r="L660" s="45" t="n">
        <f aca="false">F660-G660</f>
        <v>0.0100486119665789</v>
      </c>
      <c r="M660" s="46" t="n">
        <v>0.1307718</v>
      </c>
      <c r="N660" s="46" t="n">
        <v>0.1112506</v>
      </c>
      <c r="O660" s="46" t="n">
        <v>0.1355263</v>
      </c>
      <c r="P660" s="46" t="n">
        <v>0.4274091</v>
      </c>
      <c r="Q660" s="46" t="n">
        <v>1.5467731</v>
      </c>
      <c r="R660" s="46" t="n">
        <v>1.2635042</v>
      </c>
      <c r="S660" s="47" t="n">
        <f aca="false">M660+N660+O660</f>
        <v>0.3775487</v>
      </c>
      <c r="T660" s="47" t="n">
        <f aca="false">M660+P660</f>
        <v>0.5581809</v>
      </c>
    </row>
    <row r="661" customFormat="false" ht="15" hidden="false" customHeight="false" outlineLevel="0" collapsed="false">
      <c r="A661" s="42" t="s">
        <v>44</v>
      </c>
      <c r="B661" s="42" t="n">
        <v>-8</v>
      </c>
      <c r="C661" s="42" t="n">
        <v>60</v>
      </c>
      <c r="D661" s="42" t="n">
        <v>74270975</v>
      </c>
      <c r="E661" s="43" t="n">
        <v>0.976838025559606</v>
      </c>
      <c r="F661" s="43" t="n">
        <v>0.984100958157729</v>
      </c>
      <c r="G661" s="43" t="n">
        <v>0.98007651403559</v>
      </c>
      <c r="H661" s="43" t="n">
        <v>0.985392997076229</v>
      </c>
      <c r="I661" s="42" t="n">
        <v>1</v>
      </c>
      <c r="J661" s="42" t="n">
        <v>1</v>
      </c>
      <c r="K661" s="44" t="str">
        <f aca="false">IF(AND(I661=1,J661=1),"两者都跟住",IF(AND(I661=0,J661=1),"仅 PC-TBD 跟住",IF(AND(I661=1,J661=0),"仅 VIT-LPS 跟住","都没跟住")))</f>
        <v>两者都跟住</v>
      </c>
      <c r="L661" s="45" t="n">
        <f aca="false">F661-G661</f>
        <v>0.00402444412213898</v>
      </c>
      <c r="M661" s="46" t="n">
        <v>0.2043491</v>
      </c>
      <c r="N661" s="46" t="n">
        <v>0.1407248</v>
      </c>
      <c r="O661" s="46" t="n">
        <v>0.2274903</v>
      </c>
      <c r="P661" s="46" t="n">
        <v>0.5607939</v>
      </c>
      <c r="Q661" s="46" t="n">
        <v>1.5440276</v>
      </c>
      <c r="R661" s="46" t="n">
        <v>1.3816103</v>
      </c>
      <c r="S661" s="47" t="n">
        <f aca="false">M661+N661+O661</f>
        <v>0.5725642</v>
      </c>
      <c r="T661" s="47" t="n">
        <f aca="false">M661+P661</f>
        <v>0.765143</v>
      </c>
    </row>
    <row r="662" customFormat="false" ht="15" hidden="false" customHeight="false" outlineLevel="0" collapsed="false">
      <c r="A662" s="42" t="s">
        <v>44</v>
      </c>
      <c r="B662" s="42" t="n">
        <v>-8</v>
      </c>
      <c r="C662" s="42" t="n">
        <v>61</v>
      </c>
      <c r="D662" s="42" t="n">
        <v>74270976</v>
      </c>
      <c r="E662" s="43" t="n">
        <v>0.985464070894615</v>
      </c>
      <c r="F662" s="43" t="n">
        <v>0.986894434716118</v>
      </c>
      <c r="G662" s="43" t="n">
        <v>0.984974483360997</v>
      </c>
      <c r="H662" s="43" t="n">
        <v>0.9879162453065</v>
      </c>
      <c r="I662" s="42" t="n">
        <v>1</v>
      </c>
      <c r="J662" s="42" t="n">
        <v>1</v>
      </c>
      <c r="K662" s="44" t="str">
        <f aca="false">IF(AND(I662=1,J662=1),"两者都跟住",IF(AND(I662=0,J662=1),"仅 PC-TBD 跟住",IF(AND(I662=1,J662=0),"仅 VIT-LPS 跟住","都没跟住")))</f>
        <v>两者都跟住</v>
      </c>
      <c r="L662" s="45" t="n">
        <f aca="false">F662-G662</f>
        <v>0.00191995135512102</v>
      </c>
      <c r="M662" s="46" t="n">
        <v>0.2326493</v>
      </c>
      <c r="N662" s="46" t="n">
        <v>0.1446694</v>
      </c>
      <c r="O662" s="46" t="n">
        <v>0.2517081</v>
      </c>
      <c r="P662" s="46" t="n">
        <v>0.4860009</v>
      </c>
      <c r="Q662" s="46" t="n">
        <v>1.9604957</v>
      </c>
      <c r="R662" s="46" t="n">
        <v>2.0441217</v>
      </c>
      <c r="S662" s="47" t="n">
        <f aca="false">M662+N662+O662</f>
        <v>0.6290268</v>
      </c>
      <c r="T662" s="47" t="n">
        <f aca="false">M662+P662</f>
        <v>0.7186502</v>
      </c>
    </row>
    <row r="663" customFormat="false" ht="15" hidden="false" customHeight="false" outlineLevel="0" collapsed="false">
      <c r="A663" s="42" t="s">
        <v>44</v>
      </c>
      <c r="B663" s="42" t="n">
        <v>-8</v>
      </c>
      <c r="C663" s="42" t="n">
        <v>62</v>
      </c>
      <c r="D663" s="42" t="n">
        <v>74270977</v>
      </c>
      <c r="E663" s="43" t="n">
        <v>0.977916562852725</v>
      </c>
      <c r="F663" s="43" t="n">
        <v>0.984822793199439</v>
      </c>
      <c r="G663" s="43" t="n">
        <v>0.985473348193711</v>
      </c>
      <c r="H663" s="43" t="n">
        <v>0.983876879027082</v>
      </c>
      <c r="I663" s="42" t="n">
        <v>1</v>
      </c>
      <c r="J663" s="42" t="n">
        <v>1</v>
      </c>
      <c r="K663" s="44" t="str">
        <f aca="false">IF(AND(I663=1,J663=1),"两者都跟住",IF(AND(I663=0,J663=1),"仅 PC-TBD 跟住",IF(AND(I663=1,J663=0),"仅 VIT-LPS 跟住","都没跟住")))</f>
        <v>两者都跟住</v>
      </c>
      <c r="L663" s="45" t="n">
        <f aca="false">F663-G663</f>
        <v>-0.000650554994272024</v>
      </c>
      <c r="M663" s="46" t="n">
        <v>0.2595637</v>
      </c>
      <c r="N663" s="46" t="n">
        <v>0.1333253</v>
      </c>
      <c r="O663" s="46" t="n">
        <v>0.1915885</v>
      </c>
      <c r="P663" s="46" t="n">
        <v>0.5242234</v>
      </c>
      <c r="Q663" s="46" t="n">
        <v>1.8967831</v>
      </c>
      <c r="R663" s="46" t="n">
        <v>1.966704</v>
      </c>
      <c r="S663" s="47" t="n">
        <f aca="false">M663+N663+O663</f>
        <v>0.5844775</v>
      </c>
      <c r="T663" s="47" t="n">
        <f aca="false">M663+P663</f>
        <v>0.7837871</v>
      </c>
    </row>
    <row r="664" customFormat="false" ht="15" hidden="false" customHeight="false" outlineLevel="0" collapsed="false">
      <c r="A664" s="42" t="s">
        <v>44</v>
      </c>
      <c r="B664" s="42" t="n">
        <v>-8</v>
      </c>
      <c r="C664" s="42" t="n">
        <v>63</v>
      </c>
      <c r="D664" s="42" t="n">
        <v>74270978</v>
      </c>
      <c r="E664" s="43" t="n">
        <v>0.990445582908791</v>
      </c>
      <c r="F664" s="43" t="n">
        <v>0.989412855814583</v>
      </c>
      <c r="G664" s="43" t="n">
        <v>0.990081835367258</v>
      </c>
      <c r="H664" s="43" t="n">
        <v>0.990370993408591</v>
      </c>
      <c r="I664" s="42" t="n">
        <v>1</v>
      </c>
      <c r="J664" s="42" t="n">
        <v>1</v>
      </c>
      <c r="K664" s="44" t="str">
        <f aca="false">IF(AND(I664=1,J664=1),"两者都跟住",IF(AND(I664=0,J664=1),"仅 PC-TBD 跟住",IF(AND(I664=1,J664=0),"仅 VIT-LPS 跟住","都没跟住")))</f>
        <v>两者都跟住</v>
      </c>
      <c r="L664" s="45" t="n">
        <f aca="false">F664-G664</f>
        <v>-0.000668979552674975</v>
      </c>
      <c r="M664" s="46" t="n">
        <v>0.2393058</v>
      </c>
      <c r="N664" s="46" t="n">
        <v>0.1311713</v>
      </c>
      <c r="O664" s="46" t="n">
        <v>0.2657299</v>
      </c>
      <c r="P664" s="46" t="n">
        <v>0.5523668</v>
      </c>
      <c r="Q664" s="46" t="n">
        <v>1.8749543</v>
      </c>
      <c r="R664" s="46" t="n">
        <v>1.9611147</v>
      </c>
      <c r="S664" s="47" t="n">
        <f aca="false">M664+N664+O664</f>
        <v>0.636207</v>
      </c>
      <c r="T664" s="47" t="n">
        <f aca="false">M664+P664</f>
        <v>0.7916726</v>
      </c>
    </row>
    <row r="665" customFormat="false" ht="15" hidden="false" customHeight="false" outlineLevel="0" collapsed="false">
      <c r="A665" s="42" t="s">
        <v>44</v>
      </c>
      <c r="B665" s="42" t="n">
        <v>-8</v>
      </c>
      <c r="C665" s="42" t="n">
        <v>64</v>
      </c>
      <c r="D665" s="42" t="n">
        <v>74270979</v>
      </c>
      <c r="E665" s="43" t="n">
        <v>0.979751931569347</v>
      </c>
      <c r="F665" s="43" t="n">
        <v>0.983972828959711</v>
      </c>
      <c r="G665" s="43" t="n">
        <v>0.984638107083632</v>
      </c>
      <c r="H665" s="43" t="n">
        <v>0.982532467815549</v>
      </c>
      <c r="I665" s="42" t="n">
        <v>1</v>
      </c>
      <c r="J665" s="42" t="n">
        <v>1</v>
      </c>
      <c r="K665" s="44" t="str">
        <f aca="false">IF(AND(I665=1,J665=1),"两者都跟住",IF(AND(I665=0,J665=1),"仅 PC-TBD 跟住",IF(AND(I665=1,J665=0),"仅 VIT-LPS 跟住","都没跟住")))</f>
        <v>两者都跟住</v>
      </c>
      <c r="L665" s="45" t="n">
        <f aca="false">F665-G665</f>
        <v>-0.000665278123920921</v>
      </c>
      <c r="M665" s="46" t="n">
        <v>0.2516474</v>
      </c>
      <c r="N665" s="46" t="n">
        <v>0.1342925</v>
      </c>
      <c r="O665" s="46" t="n">
        <v>0.2238806</v>
      </c>
      <c r="P665" s="46" t="n">
        <v>0.6328487</v>
      </c>
      <c r="Q665" s="46" t="n">
        <v>2.1795973</v>
      </c>
      <c r="R665" s="46" t="n">
        <v>1.8197318</v>
      </c>
      <c r="S665" s="47" t="n">
        <f aca="false">M665+N665+O665</f>
        <v>0.6098205</v>
      </c>
      <c r="T665" s="47" t="n">
        <f aca="false">M665+P665</f>
        <v>0.8844961</v>
      </c>
    </row>
    <row r="666" customFormat="false" ht="15" hidden="false" customHeight="false" outlineLevel="0" collapsed="false">
      <c r="A666" s="42" t="s">
        <v>44</v>
      </c>
      <c r="B666" s="42" t="n">
        <v>-8</v>
      </c>
      <c r="C666" s="42" t="n">
        <v>65</v>
      </c>
      <c r="D666" s="42" t="n">
        <v>74270980</v>
      </c>
      <c r="E666" s="43" t="n">
        <v>0.973957615086055</v>
      </c>
      <c r="F666" s="43" t="n">
        <v>0.989353458987927</v>
      </c>
      <c r="G666" s="43" t="n">
        <v>0.981488717569421</v>
      </c>
      <c r="H666" s="43" t="n">
        <v>0.990075563199724</v>
      </c>
      <c r="I666" s="42" t="n">
        <v>1</v>
      </c>
      <c r="J666" s="42" t="n">
        <v>1</v>
      </c>
      <c r="K666" s="44" t="str">
        <f aca="false">IF(AND(I666=1,J666=1),"两者都跟住",IF(AND(I666=0,J666=1),"仅 PC-TBD 跟住",IF(AND(I666=1,J666=0),"仅 VIT-LPS 跟住","都没跟住")))</f>
        <v>两者都跟住</v>
      </c>
      <c r="L666" s="45" t="n">
        <f aca="false">F666-G666</f>
        <v>0.00786474141850602</v>
      </c>
      <c r="M666" s="46" t="n">
        <v>0.2569631</v>
      </c>
      <c r="N666" s="46" t="n">
        <v>0.1248302</v>
      </c>
      <c r="O666" s="46" t="n">
        <v>0.2507931</v>
      </c>
      <c r="P666" s="46" t="n">
        <v>0.6608043</v>
      </c>
      <c r="Q666" s="46" t="n">
        <v>2.201047</v>
      </c>
      <c r="R666" s="46" t="n">
        <v>1.9033086</v>
      </c>
      <c r="S666" s="47" t="n">
        <f aca="false">M666+N666+O666</f>
        <v>0.6325864</v>
      </c>
      <c r="T666" s="47" t="n">
        <f aca="false">M666+P666</f>
        <v>0.9177674</v>
      </c>
    </row>
    <row r="667" customFormat="false" ht="15" hidden="false" customHeight="false" outlineLevel="0" collapsed="false">
      <c r="A667" s="42" t="s">
        <v>44</v>
      </c>
      <c r="B667" s="42" t="n">
        <v>-8</v>
      </c>
      <c r="C667" s="42" t="n">
        <v>66</v>
      </c>
      <c r="D667" s="42" t="n">
        <v>74270981</v>
      </c>
      <c r="E667" s="43" t="n">
        <v>0.98106816640298</v>
      </c>
      <c r="F667" s="43" t="n">
        <v>0.990731819992579</v>
      </c>
      <c r="G667" s="43" t="n">
        <v>0.98544580639392</v>
      </c>
      <c r="H667" s="43" t="n">
        <v>0.991025288085625</v>
      </c>
      <c r="I667" s="42" t="n">
        <v>1</v>
      </c>
      <c r="J667" s="42" t="n">
        <v>1</v>
      </c>
      <c r="K667" s="44" t="str">
        <f aca="false">IF(AND(I667=1,J667=1),"两者都跟住",IF(AND(I667=0,J667=1),"仅 PC-TBD 跟住",IF(AND(I667=1,J667=0),"仅 VIT-LPS 跟住","都没跟住")))</f>
        <v>两者都跟住</v>
      </c>
      <c r="L667" s="45" t="n">
        <f aca="false">F667-G667</f>
        <v>0.00528601359865899</v>
      </c>
      <c r="M667" s="46" t="n">
        <v>0.2481446</v>
      </c>
      <c r="N667" s="46" t="n">
        <v>0.1480308</v>
      </c>
      <c r="O667" s="46" t="n">
        <v>0.192041</v>
      </c>
      <c r="P667" s="46" t="n">
        <v>0.6050344</v>
      </c>
      <c r="Q667" s="46" t="n">
        <v>2.185394</v>
      </c>
      <c r="R667" s="46" t="n">
        <v>2.0939412</v>
      </c>
      <c r="S667" s="47" t="n">
        <f aca="false">M667+N667+O667</f>
        <v>0.5882164</v>
      </c>
      <c r="T667" s="47" t="n">
        <f aca="false">M667+P667</f>
        <v>0.853179</v>
      </c>
    </row>
    <row r="668" customFormat="false" ht="15" hidden="false" customHeight="false" outlineLevel="0" collapsed="false">
      <c r="A668" s="42" t="s">
        <v>44</v>
      </c>
      <c r="B668" s="42" t="n">
        <v>-8</v>
      </c>
      <c r="C668" s="42" t="n">
        <v>67</v>
      </c>
      <c r="D668" s="42" t="n">
        <v>74270982</v>
      </c>
      <c r="E668" s="43" t="n">
        <v>0.985091192638394</v>
      </c>
      <c r="F668" s="43" t="n">
        <v>0.985726035965488</v>
      </c>
      <c r="G668" s="43" t="n">
        <v>0.984996610844319</v>
      </c>
      <c r="H668" s="43" t="n">
        <v>0.987733069632853</v>
      </c>
      <c r="I668" s="42" t="n">
        <v>1</v>
      </c>
      <c r="J668" s="42" t="n">
        <v>1</v>
      </c>
      <c r="K668" s="44" t="str">
        <f aca="false">IF(AND(I668=1,J668=1),"两者都跟住",IF(AND(I668=0,J668=1),"仅 PC-TBD 跟住",IF(AND(I668=1,J668=0),"仅 VIT-LPS 跟住","都没跟住")))</f>
        <v>两者都跟住</v>
      </c>
      <c r="L668" s="45" t="n">
        <f aca="false">F668-G668</f>
        <v>0.000729425121169025</v>
      </c>
      <c r="M668" s="46" t="n">
        <v>0.150944</v>
      </c>
      <c r="N668" s="46" t="n">
        <v>0.088925</v>
      </c>
      <c r="O668" s="46" t="n">
        <v>0.0928838</v>
      </c>
      <c r="P668" s="46" t="n">
        <v>0.4449729</v>
      </c>
      <c r="Q668" s="46" t="n">
        <v>0.9977541</v>
      </c>
      <c r="R668" s="46" t="n">
        <v>1.1759409</v>
      </c>
      <c r="S668" s="47" t="n">
        <f aca="false">M668+N668+O668</f>
        <v>0.3327528</v>
      </c>
      <c r="T668" s="47" t="n">
        <f aca="false">M668+P668</f>
        <v>0.5959169</v>
      </c>
    </row>
    <row r="669" customFormat="false" ht="15" hidden="false" customHeight="false" outlineLevel="0" collapsed="false">
      <c r="A669" s="42" t="s">
        <v>44</v>
      </c>
      <c r="B669" s="42" t="n">
        <v>-8</v>
      </c>
      <c r="C669" s="42" t="n">
        <v>68</v>
      </c>
      <c r="D669" s="42" t="n">
        <v>74270983</v>
      </c>
      <c r="E669" s="43" t="n">
        <v>0.973649220336398</v>
      </c>
      <c r="F669" s="43" t="n">
        <v>0.973465202551995</v>
      </c>
      <c r="G669" s="43" t="n">
        <v>0.975914450061117</v>
      </c>
      <c r="H669" s="43" t="n">
        <v>0.975629109757808</v>
      </c>
      <c r="I669" s="42" t="n">
        <v>1</v>
      </c>
      <c r="J669" s="42" t="n">
        <v>1</v>
      </c>
      <c r="K669" s="44" t="str">
        <f aca="false">IF(AND(I669=1,J669=1),"两者都跟住",IF(AND(I669=0,J669=1),"仅 PC-TBD 跟住",IF(AND(I669=1,J669=0),"仅 VIT-LPS 跟住","都没跟住")))</f>
        <v>两者都跟住</v>
      </c>
      <c r="L669" s="45" t="n">
        <f aca="false">F669-G669</f>
        <v>-0.00244924750912201</v>
      </c>
      <c r="M669" s="46" t="n">
        <v>0.1462756</v>
      </c>
      <c r="N669" s="46" t="n">
        <v>0.1098613</v>
      </c>
      <c r="O669" s="46" t="n">
        <v>0.1262978</v>
      </c>
      <c r="P669" s="46" t="n">
        <v>0.3865129</v>
      </c>
      <c r="Q669" s="46" t="n">
        <v>1.2546786</v>
      </c>
      <c r="R669" s="46" t="n">
        <v>1.3025557</v>
      </c>
      <c r="S669" s="47" t="n">
        <f aca="false">M669+N669+O669</f>
        <v>0.3824347</v>
      </c>
      <c r="T669" s="47" t="n">
        <f aca="false">M669+P669</f>
        <v>0.5327885</v>
      </c>
    </row>
    <row r="670" customFormat="false" ht="15" hidden="false" customHeight="false" outlineLevel="0" collapsed="false">
      <c r="A670" s="42" t="s">
        <v>44</v>
      </c>
      <c r="B670" s="42" t="n">
        <v>-8</v>
      </c>
      <c r="C670" s="42" t="n">
        <v>69</v>
      </c>
      <c r="D670" s="42" t="n">
        <v>74270984</v>
      </c>
      <c r="E670" s="43" t="n">
        <v>0.979766568341241</v>
      </c>
      <c r="F670" s="43" t="n">
        <v>0.988995146380254</v>
      </c>
      <c r="G670" s="43" t="n">
        <v>0.989142899473929</v>
      </c>
      <c r="H670" s="43" t="n">
        <v>0.990816296356978</v>
      </c>
      <c r="I670" s="42" t="n">
        <v>1</v>
      </c>
      <c r="J670" s="42" t="n">
        <v>1</v>
      </c>
      <c r="K670" s="44" t="str">
        <f aca="false">IF(AND(I670=1,J670=1),"两者都跟住",IF(AND(I670=0,J670=1),"仅 PC-TBD 跟住",IF(AND(I670=1,J670=0),"仅 VIT-LPS 跟住","都没跟住")))</f>
        <v>两者都跟住</v>
      </c>
      <c r="L670" s="45" t="n">
        <f aca="false">F670-G670</f>
        <v>-0.000147753093674985</v>
      </c>
      <c r="M670" s="46" t="n">
        <v>0.1475353</v>
      </c>
      <c r="N670" s="46" t="n">
        <v>0.0824491</v>
      </c>
      <c r="O670" s="46" t="n">
        <v>0.1159824</v>
      </c>
      <c r="P670" s="46" t="n">
        <v>0.5207167</v>
      </c>
      <c r="Q670" s="46" t="n">
        <v>1.3924848</v>
      </c>
      <c r="R670" s="46" t="n">
        <v>1.329929</v>
      </c>
      <c r="S670" s="47" t="n">
        <f aca="false">M670+N670+O670</f>
        <v>0.3459668</v>
      </c>
      <c r="T670" s="47" t="n">
        <f aca="false">M670+P670</f>
        <v>0.668252</v>
      </c>
    </row>
    <row r="671" customFormat="false" ht="15" hidden="false" customHeight="false" outlineLevel="0" collapsed="false">
      <c r="A671" s="42" t="s">
        <v>44</v>
      </c>
      <c r="B671" s="42" t="n">
        <v>-8</v>
      </c>
      <c r="C671" s="42" t="n">
        <v>70</v>
      </c>
      <c r="D671" s="42" t="n">
        <v>74270985</v>
      </c>
      <c r="E671" s="43" t="n">
        <v>0.975930450138193</v>
      </c>
      <c r="F671" s="43" t="n">
        <v>0.982142201877717</v>
      </c>
      <c r="G671" s="43" t="n">
        <v>0.974312215250095</v>
      </c>
      <c r="H671" s="43" t="n">
        <v>0.983775157921621</v>
      </c>
      <c r="I671" s="42" t="n">
        <v>1</v>
      </c>
      <c r="J671" s="42" t="n">
        <v>1</v>
      </c>
      <c r="K671" s="44" t="str">
        <f aca="false">IF(AND(I671=1,J671=1),"两者都跟住",IF(AND(I671=0,J671=1),"仅 PC-TBD 跟住",IF(AND(I671=1,J671=0),"仅 VIT-LPS 跟住","都没跟住")))</f>
        <v>两者都跟住</v>
      </c>
      <c r="L671" s="45" t="n">
        <f aca="false">F671-G671</f>
        <v>0.00782998662762191</v>
      </c>
      <c r="M671" s="46" t="n">
        <v>0.1777838</v>
      </c>
      <c r="N671" s="46" t="n">
        <v>0.1013177</v>
      </c>
      <c r="O671" s="46" t="n">
        <v>0.1572566</v>
      </c>
      <c r="P671" s="46" t="n">
        <v>0.5007464</v>
      </c>
      <c r="Q671" s="46" t="n">
        <v>1.3231945</v>
      </c>
      <c r="R671" s="46" t="n">
        <v>1.1828492</v>
      </c>
      <c r="S671" s="47" t="n">
        <f aca="false">M671+N671+O671</f>
        <v>0.4363581</v>
      </c>
      <c r="T671" s="47" t="n">
        <f aca="false">M671+P671</f>
        <v>0.6785302</v>
      </c>
    </row>
    <row r="672" customFormat="false" ht="15" hidden="false" customHeight="false" outlineLevel="0" collapsed="false">
      <c r="A672" s="42" t="s">
        <v>44</v>
      </c>
      <c r="B672" s="42" t="n">
        <v>-8</v>
      </c>
      <c r="C672" s="42" t="n">
        <v>71</v>
      </c>
      <c r="D672" s="42" t="n">
        <v>74270986</v>
      </c>
      <c r="E672" s="43" t="n">
        <v>0.975812669271543</v>
      </c>
      <c r="F672" s="43" t="n">
        <v>0.987316395996454</v>
      </c>
      <c r="G672" s="43" t="n">
        <v>0.987437888333237</v>
      </c>
      <c r="H672" s="43" t="n">
        <v>0.988601124693687</v>
      </c>
      <c r="I672" s="42" t="n">
        <v>1</v>
      </c>
      <c r="J672" s="42" t="n">
        <v>1</v>
      </c>
      <c r="K672" s="44" t="str">
        <f aca="false">IF(AND(I672=1,J672=1),"两者都跟住",IF(AND(I672=0,J672=1),"仅 PC-TBD 跟住",IF(AND(I672=1,J672=0),"仅 VIT-LPS 跟住","都没跟住")))</f>
        <v>两者都跟住</v>
      </c>
      <c r="L672" s="45" t="n">
        <f aca="false">F672-G672</f>
        <v>-0.000121492336782936</v>
      </c>
      <c r="M672" s="46" t="n">
        <v>0.2237624</v>
      </c>
      <c r="N672" s="46" t="n">
        <v>0.1172255</v>
      </c>
      <c r="O672" s="46" t="n">
        <v>0.1684785</v>
      </c>
      <c r="P672" s="46" t="n">
        <v>0.4323697</v>
      </c>
      <c r="Q672" s="46" t="n">
        <v>2.0263515</v>
      </c>
      <c r="R672" s="46" t="n">
        <v>2.8226286</v>
      </c>
      <c r="S672" s="47" t="n">
        <f aca="false">M672+N672+O672</f>
        <v>0.5094664</v>
      </c>
      <c r="T672" s="47" t="n">
        <f aca="false">M672+P672</f>
        <v>0.6561321</v>
      </c>
    </row>
    <row r="673" customFormat="false" ht="15" hidden="false" customHeight="false" outlineLevel="0" collapsed="false">
      <c r="A673" s="42" t="s">
        <v>44</v>
      </c>
      <c r="B673" s="42" t="n">
        <v>-8</v>
      </c>
      <c r="C673" s="42" t="n">
        <v>72</v>
      </c>
      <c r="D673" s="42" t="n">
        <v>74270987</v>
      </c>
      <c r="E673" s="43" t="n">
        <v>0.985092342375993</v>
      </c>
      <c r="F673" s="43" t="n">
        <v>0.986643875334443</v>
      </c>
      <c r="G673" s="43" t="n">
        <v>0.984508090962325</v>
      </c>
      <c r="H673" s="43" t="n">
        <v>0.986469832661101</v>
      </c>
      <c r="I673" s="42" t="n">
        <v>1</v>
      </c>
      <c r="J673" s="42" t="n">
        <v>1</v>
      </c>
      <c r="K673" s="44" t="str">
        <f aca="false">IF(AND(I673=1,J673=1),"两者都跟住",IF(AND(I673=0,J673=1),"仅 PC-TBD 跟住",IF(AND(I673=1,J673=0),"仅 VIT-LPS 跟住","都没跟住")))</f>
        <v>两者都跟住</v>
      </c>
      <c r="L673" s="45" t="n">
        <f aca="false">F673-G673</f>
        <v>0.00213578437211792</v>
      </c>
      <c r="M673" s="46" t="n">
        <v>0.2155606</v>
      </c>
      <c r="N673" s="46" t="n">
        <v>0.1041965</v>
      </c>
      <c r="O673" s="46" t="n">
        <v>0.1693402</v>
      </c>
      <c r="P673" s="46" t="n">
        <v>0.510712</v>
      </c>
      <c r="Q673" s="46" t="n">
        <v>1.7588711</v>
      </c>
      <c r="R673" s="46" t="n">
        <v>2.9213544</v>
      </c>
      <c r="S673" s="47" t="n">
        <f aca="false">M673+N673+O673</f>
        <v>0.4890973</v>
      </c>
      <c r="T673" s="47" t="n">
        <f aca="false">M673+P673</f>
        <v>0.7262726</v>
      </c>
    </row>
    <row r="674" customFormat="false" ht="15" hidden="false" customHeight="false" outlineLevel="0" collapsed="false">
      <c r="A674" s="42" t="s">
        <v>44</v>
      </c>
      <c r="B674" s="42" t="n">
        <v>-8</v>
      </c>
      <c r="C674" s="42" t="n">
        <v>73</v>
      </c>
      <c r="D674" s="42" t="n">
        <v>74270988</v>
      </c>
      <c r="E674" s="43" t="n">
        <v>0.982436543092539</v>
      </c>
      <c r="F674" s="43" t="n">
        <v>0.984344078491465</v>
      </c>
      <c r="G674" s="43" t="n">
        <v>0.981267490990816</v>
      </c>
      <c r="H674" s="43" t="n">
        <v>0.986243063495311</v>
      </c>
      <c r="I674" s="42" t="n">
        <v>1</v>
      </c>
      <c r="J674" s="42" t="n">
        <v>1</v>
      </c>
      <c r="K674" s="44" t="str">
        <f aca="false">IF(AND(I674=1,J674=1),"两者都跟住",IF(AND(I674=0,J674=1),"仅 PC-TBD 跟住",IF(AND(I674=1,J674=0),"仅 VIT-LPS 跟住","都没跟住")))</f>
        <v>两者都跟住</v>
      </c>
      <c r="L674" s="45" t="n">
        <f aca="false">F674-G674</f>
        <v>0.00307658750064899</v>
      </c>
      <c r="M674" s="46" t="n">
        <v>0.2412756</v>
      </c>
      <c r="N674" s="46" t="n">
        <v>0.1269511</v>
      </c>
      <c r="O674" s="46" t="n">
        <v>0.1423427</v>
      </c>
      <c r="P674" s="46" t="n">
        <v>0.6554131</v>
      </c>
      <c r="Q674" s="46" t="n">
        <v>2.1413488</v>
      </c>
      <c r="R674" s="46" t="n">
        <v>3.336464</v>
      </c>
      <c r="S674" s="47" t="n">
        <f aca="false">M674+N674+O674</f>
        <v>0.5105694</v>
      </c>
      <c r="T674" s="47" t="n">
        <f aca="false">M674+P674</f>
        <v>0.8966887</v>
      </c>
    </row>
    <row r="675" customFormat="false" ht="15" hidden="false" customHeight="false" outlineLevel="0" collapsed="false">
      <c r="A675" s="42" t="s">
        <v>44</v>
      </c>
      <c r="B675" s="42" t="n">
        <v>-8</v>
      </c>
      <c r="C675" s="42" t="n">
        <v>74</v>
      </c>
      <c r="D675" s="42" t="n">
        <v>74270989</v>
      </c>
      <c r="E675" s="43" t="n">
        <v>0.986496899106007</v>
      </c>
      <c r="F675" s="43" t="n">
        <v>0.989952457299725</v>
      </c>
      <c r="G675" s="43" t="n">
        <v>0.980141308301279</v>
      </c>
      <c r="H675" s="43" t="n">
        <v>0.990630494943706</v>
      </c>
      <c r="I675" s="42" t="n">
        <v>1</v>
      </c>
      <c r="J675" s="42" t="n">
        <v>1</v>
      </c>
      <c r="K675" s="44" t="str">
        <f aca="false">IF(AND(I675=1,J675=1),"两者都跟住",IF(AND(I675=0,J675=1),"仅 PC-TBD 跟住",IF(AND(I675=1,J675=0),"仅 VIT-LPS 跟住","都没跟住")))</f>
        <v>两者都跟住</v>
      </c>
      <c r="L675" s="45" t="n">
        <f aca="false">F675-G675</f>
        <v>0.00981114899844604</v>
      </c>
      <c r="M675" s="46" t="n">
        <v>0.1852305</v>
      </c>
      <c r="N675" s="46" t="n">
        <v>0.1547626</v>
      </c>
      <c r="O675" s="46" t="n">
        <v>0.1653381</v>
      </c>
      <c r="P675" s="46" t="n">
        <v>0.4772704</v>
      </c>
      <c r="Q675" s="46" t="n">
        <v>1.8347923</v>
      </c>
      <c r="R675" s="46" t="n">
        <v>2.7424386</v>
      </c>
      <c r="S675" s="47" t="n">
        <f aca="false">M675+N675+O675</f>
        <v>0.5053312</v>
      </c>
      <c r="T675" s="47" t="n">
        <f aca="false">M675+P675</f>
        <v>0.6625009</v>
      </c>
    </row>
    <row r="676" customFormat="false" ht="15" hidden="false" customHeight="false" outlineLevel="0" collapsed="false">
      <c r="A676" s="42" t="s">
        <v>44</v>
      </c>
      <c r="B676" s="42" t="n">
        <v>-8</v>
      </c>
      <c r="C676" s="42" t="n">
        <v>75</v>
      </c>
      <c r="D676" s="42" t="n">
        <v>74270990</v>
      </c>
      <c r="E676" s="43" t="n">
        <v>0.980940240190221</v>
      </c>
      <c r="F676" s="43" t="n">
        <v>0.989203072694281</v>
      </c>
      <c r="G676" s="43" t="n">
        <v>0.988147629122619</v>
      </c>
      <c r="H676" s="43" t="n">
        <v>0.989929778414934</v>
      </c>
      <c r="I676" s="42" t="n">
        <v>1</v>
      </c>
      <c r="J676" s="42" t="n">
        <v>1</v>
      </c>
      <c r="K676" s="44" t="str">
        <f aca="false">IF(AND(I676=1,J676=1),"两者都跟住",IF(AND(I676=0,J676=1),"仅 PC-TBD 跟住",IF(AND(I676=1,J676=0),"仅 VIT-LPS 跟住","都没跟住")))</f>
        <v>两者都跟住</v>
      </c>
      <c r="L676" s="45" t="n">
        <f aca="false">F676-G676</f>
        <v>0.00105544357166198</v>
      </c>
      <c r="M676" s="46" t="n">
        <v>0.2334769</v>
      </c>
      <c r="N676" s="46" t="n">
        <v>0.1244106</v>
      </c>
      <c r="O676" s="46" t="n">
        <v>0.1537801</v>
      </c>
      <c r="P676" s="46" t="n">
        <v>0.5694761</v>
      </c>
      <c r="Q676" s="46" t="n">
        <v>2.2970905</v>
      </c>
      <c r="R676" s="46" t="n">
        <v>3.0072743</v>
      </c>
      <c r="S676" s="47" t="n">
        <f aca="false">M676+N676+O676</f>
        <v>0.5116676</v>
      </c>
      <c r="T676" s="47" t="n">
        <f aca="false">M676+P676</f>
        <v>0.802953</v>
      </c>
    </row>
    <row r="677" customFormat="false" ht="15" hidden="false" customHeight="false" outlineLevel="0" collapsed="false">
      <c r="A677" s="42" t="s">
        <v>44</v>
      </c>
      <c r="B677" s="42" t="n">
        <v>-8</v>
      </c>
      <c r="C677" s="42" t="n">
        <v>76</v>
      </c>
      <c r="D677" s="42" t="n">
        <v>74270991</v>
      </c>
      <c r="E677" s="43" t="n">
        <v>0.983763073856632</v>
      </c>
      <c r="F677" s="43" t="n">
        <v>0.987991012438025</v>
      </c>
      <c r="G677" s="43" t="n">
        <v>0.98533452073951</v>
      </c>
      <c r="H677" s="43" t="n">
        <v>0.988924423307209</v>
      </c>
      <c r="I677" s="42" t="n">
        <v>1</v>
      </c>
      <c r="J677" s="42" t="n">
        <v>1</v>
      </c>
      <c r="K677" s="44" t="str">
        <f aca="false">IF(AND(I677=1,J677=1),"两者都跟住",IF(AND(I677=0,J677=1),"仅 PC-TBD 跟住",IF(AND(I677=1,J677=0),"仅 VIT-LPS 跟住","都没跟住")))</f>
        <v>两者都跟住</v>
      </c>
      <c r="L677" s="45" t="n">
        <f aca="false">F677-G677</f>
        <v>0.00265649169851501</v>
      </c>
      <c r="M677" s="46" t="n">
        <v>0.2342469</v>
      </c>
      <c r="N677" s="46" t="n">
        <v>0.1270197</v>
      </c>
      <c r="O677" s="46" t="n">
        <v>0.1213682</v>
      </c>
      <c r="P677" s="46" t="n">
        <v>0.6861835</v>
      </c>
      <c r="Q677" s="46" t="n">
        <v>2.2408027</v>
      </c>
      <c r="R677" s="46" t="n">
        <v>3.0657331</v>
      </c>
      <c r="S677" s="47" t="n">
        <f aca="false">M677+N677+O677</f>
        <v>0.4826348</v>
      </c>
      <c r="T677" s="47" t="n">
        <f aca="false">M677+P677</f>
        <v>0.9204304</v>
      </c>
    </row>
    <row r="678" customFormat="false" ht="15" hidden="false" customHeight="false" outlineLevel="0" collapsed="false">
      <c r="A678" s="42" t="s">
        <v>44</v>
      </c>
      <c r="B678" s="42" t="n">
        <v>-8</v>
      </c>
      <c r="C678" s="42" t="n">
        <v>77</v>
      </c>
      <c r="D678" s="42" t="n">
        <v>74270992</v>
      </c>
      <c r="E678" s="43" t="n">
        <v>0.983890218311974</v>
      </c>
      <c r="F678" s="43" t="n">
        <v>0.988822993323181</v>
      </c>
      <c r="G678" s="43" t="n">
        <v>0.983826351323346</v>
      </c>
      <c r="H678" s="43" t="n">
        <v>0.98895169018683</v>
      </c>
      <c r="I678" s="42" t="n">
        <v>1</v>
      </c>
      <c r="J678" s="42" t="n">
        <v>1</v>
      </c>
      <c r="K678" s="44" t="str">
        <f aca="false">IF(AND(I678=1,J678=1),"两者都跟住",IF(AND(I678=0,J678=1),"仅 PC-TBD 跟住",IF(AND(I678=1,J678=0),"仅 VIT-LPS 跟住","都没跟住")))</f>
        <v>两者都跟住</v>
      </c>
      <c r="L678" s="45" t="n">
        <f aca="false">F678-G678</f>
        <v>0.00499664199983507</v>
      </c>
      <c r="M678" s="46" t="n">
        <v>0.2637587</v>
      </c>
      <c r="N678" s="46" t="n">
        <v>0.192303</v>
      </c>
      <c r="O678" s="46" t="n">
        <v>0.348457</v>
      </c>
      <c r="P678" s="46" t="n">
        <v>0.7809653</v>
      </c>
      <c r="Q678" s="46" t="n">
        <v>1.7227421</v>
      </c>
      <c r="R678" s="46" t="n">
        <v>1.501219</v>
      </c>
      <c r="S678" s="47" t="n">
        <f aca="false">M678+N678+O678</f>
        <v>0.8045187</v>
      </c>
      <c r="T678" s="47" t="n">
        <f aca="false">M678+P678</f>
        <v>1.044724</v>
      </c>
    </row>
    <row r="679" customFormat="false" ht="15" hidden="false" customHeight="false" outlineLevel="0" collapsed="false">
      <c r="A679" s="42" t="s">
        <v>44</v>
      </c>
      <c r="B679" s="42" t="n">
        <v>-8</v>
      </c>
      <c r="C679" s="42" t="n">
        <v>78</v>
      </c>
      <c r="D679" s="42" t="n">
        <v>74270993</v>
      </c>
      <c r="E679" s="43" t="n">
        <v>0.978033780997386</v>
      </c>
      <c r="F679" s="43" t="n">
        <v>0.980290245548478</v>
      </c>
      <c r="G679" s="43" t="n">
        <v>0.978723402032333</v>
      </c>
      <c r="H679" s="43" t="n">
        <v>0.979321035378836</v>
      </c>
      <c r="I679" s="42" t="n">
        <v>1</v>
      </c>
      <c r="J679" s="42" t="n">
        <v>1</v>
      </c>
      <c r="K679" s="44" t="str">
        <f aca="false">IF(AND(I679=1,J679=1),"两者都跟住",IF(AND(I679=0,J679=1),"仅 PC-TBD 跟住",IF(AND(I679=1,J679=0),"仅 VIT-LPS 跟住","都没跟住")))</f>
        <v>两者都跟住</v>
      </c>
      <c r="L679" s="45" t="n">
        <f aca="false">F679-G679</f>
        <v>0.001566843516145</v>
      </c>
      <c r="M679" s="46" t="n">
        <v>0.2465055</v>
      </c>
      <c r="N679" s="46" t="n">
        <v>0.1956574</v>
      </c>
      <c r="O679" s="46" t="n">
        <v>0.3722901</v>
      </c>
      <c r="P679" s="46" t="n">
        <v>0.7499066</v>
      </c>
      <c r="Q679" s="46" t="n">
        <v>1.9263879</v>
      </c>
      <c r="R679" s="46" t="n">
        <v>1.596476</v>
      </c>
      <c r="S679" s="47" t="n">
        <f aca="false">M679+N679+O679</f>
        <v>0.814453</v>
      </c>
      <c r="T679" s="47" t="n">
        <f aca="false">M679+P679</f>
        <v>0.9964121</v>
      </c>
    </row>
    <row r="680" customFormat="false" ht="15" hidden="false" customHeight="false" outlineLevel="0" collapsed="false">
      <c r="A680" s="42" t="s">
        <v>44</v>
      </c>
      <c r="B680" s="42" t="n">
        <v>-8</v>
      </c>
      <c r="C680" s="42" t="n">
        <v>79</v>
      </c>
      <c r="D680" s="42" t="n">
        <v>74270994</v>
      </c>
      <c r="E680" s="43" t="n">
        <v>0.985768280337602</v>
      </c>
      <c r="F680" s="43" t="n">
        <v>0.988988428155108</v>
      </c>
      <c r="G680" s="43" t="n">
        <v>0.984284100781852</v>
      </c>
      <c r="H680" s="43" t="n">
        <v>0.989888885018675</v>
      </c>
      <c r="I680" s="42" t="n">
        <v>1</v>
      </c>
      <c r="J680" s="42" t="n">
        <v>1</v>
      </c>
      <c r="K680" s="44" t="str">
        <f aca="false">IF(AND(I680=1,J680=1),"两者都跟住",IF(AND(I680=0,J680=1),"仅 PC-TBD 跟住",IF(AND(I680=1,J680=0),"仅 VIT-LPS 跟住","都没跟住")))</f>
        <v>两者都跟住</v>
      </c>
      <c r="L680" s="45" t="n">
        <f aca="false">F680-G680</f>
        <v>0.00470432737325599</v>
      </c>
      <c r="M680" s="46" t="n">
        <v>0.3054165</v>
      </c>
      <c r="N680" s="46" t="n">
        <v>0.1467345</v>
      </c>
      <c r="O680" s="46" t="n">
        <v>0.2144224</v>
      </c>
      <c r="P680" s="46" t="n">
        <v>0.7160702</v>
      </c>
      <c r="Q680" s="46" t="n">
        <v>2.0818144</v>
      </c>
      <c r="R680" s="46" t="n">
        <v>1.4291219</v>
      </c>
      <c r="S680" s="47" t="n">
        <f aca="false">M680+N680+O680</f>
        <v>0.6665734</v>
      </c>
      <c r="T680" s="47" t="n">
        <f aca="false">M680+P680</f>
        <v>1.0214867</v>
      </c>
    </row>
    <row r="681" customFormat="false" ht="15" hidden="false" customHeight="false" outlineLevel="0" collapsed="false">
      <c r="A681" s="42" t="s">
        <v>44</v>
      </c>
      <c r="B681" s="42" t="n">
        <v>-8</v>
      </c>
      <c r="C681" s="42" t="n">
        <v>80</v>
      </c>
      <c r="D681" s="42" t="n">
        <v>74270995</v>
      </c>
      <c r="E681" s="43" t="n">
        <v>0.979139579166138</v>
      </c>
      <c r="F681" s="43" t="n">
        <v>0.984335733998991</v>
      </c>
      <c r="G681" s="43" t="n">
        <v>0.972730748712301</v>
      </c>
      <c r="H681" s="43" t="n">
        <v>0.986290653555501</v>
      </c>
      <c r="I681" s="42" t="n">
        <v>1</v>
      </c>
      <c r="J681" s="42" t="n">
        <v>1</v>
      </c>
      <c r="K681" s="44" t="str">
        <f aca="false">IF(AND(I681=1,J681=1),"两者都跟住",IF(AND(I681=0,J681=1),"仅 PC-TBD 跟住",IF(AND(I681=1,J681=0),"仅 VIT-LPS 跟住","都没跟住")))</f>
        <v>两者都跟住</v>
      </c>
      <c r="L681" s="45" t="n">
        <f aca="false">F681-G681</f>
        <v>0.01160498528669</v>
      </c>
      <c r="M681" s="46" t="n">
        <v>0.3609634</v>
      </c>
      <c r="N681" s="46" t="n">
        <v>0.1961397</v>
      </c>
      <c r="O681" s="46" t="n">
        <v>0.3788591</v>
      </c>
      <c r="P681" s="46" t="n">
        <v>0.8664438</v>
      </c>
      <c r="Q681" s="46" t="n">
        <v>1.9275819</v>
      </c>
      <c r="R681" s="46" t="n">
        <v>1.7750798</v>
      </c>
      <c r="S681" s="47" t="n">
        <f aca="false">M681+N681+O681</f>
        <v>0.9359622</v>
      </c>
      <c r="T681" s="47" t="n">
        <f aca="false">M681+P681</f>
        <v>1.2274072</v>
      </c>
    </row>
    <row r="682" customFormat="false" ht="15" hidden="false" customHeight="false" outlineLevel="0" collapsed="false">
      <c r="A682" s="42" t="s">
        <v>44</v>
      </c>
      <c r="B682" s="42" t="n">
        <v>-8</v>
      </c>
      <c r="C682" s="42" t="n">
        <v>81</v>
      </c>
      <c r="D682" s="42" t="n">
        <v>74270996</v>
      </c>
      <c r="E682" s="43" t="n">
        <v>0.980070211810693</v>
      </c>
      <c r="F682" s="43" t="n">
        <v>0.987792173786125</v>
      </c>
      <c r="G682" s="43" t="n">
        <v>0.989566910511713</v>
      </c>
      <c r="H682" s="43" t="n">
        <v>0.989147201449934</v>
      </c>
      <c r="I682" s="42" t="n">
        <v>1</v>
      </c>
      <c r="J682" s="42" t="n">
        <v>1</v>
      </c>
      <c r="K682" s="44" t="str">
        <f aca="false">IF(AND(I682=1,J682=1),"两者都跟住",IF(AND(I682=0,J682=1),"仅 PC-TBD 跟住",IF(AND(I682=1,J682=0),"仅 VIT-LPS 跟住","都没跟住")))</f>
        <v>两者都跟住</v>
      </c>
      <c r="L682" s="45" t="n">
        <f aca="false">F682-G682</f>
        <v>-0.00177473672558792</v>
      </c>
      <c r="M682" s="46" t="n">
        <v>0.2641932</v>
      </c>
      <c r="N682" s="46" t="n">
        <v>0.138663</v>
      </c>
      <c r="O682" s="46" t="n">
        <v>0.1776491</v>
      </c>
      <c r="P682" s="46" t="n">
        <v>0.5698582</v>
      </c>
      <c r="Q682" s="46" t="n">
        <v>1.5557131</v>
      </c>
      <c r="R682" s="46" t="n">
        <v>1.5194458</v>
      </c>
      <c r="S682" s="47" t="n">
        <f aca="false">M682+N682+O682</f>
        <v>0.5805053</v>
      </c>
      <c r="T682" s="47" t="n">
        <f aca="false">M682+P682</f>
        <v>0.8340514</v>
      </c>
    </row>
    <row r="683" customFormat="false" ht="15" hidden="false" customHeight="false" outlineLevel="0" collapsed="false">
      <c r="A683" s="42" t="s">
        <v>44</v>
      </c>
      <c r="B683" s="42" t="n">
        <v>-8</v>
      </c>
      <c r="C683" s="42" t="n">
        <v>82</v>
      </c>
      <c r="D683" s="42" t="n">
        <v>74270997</v>
      </c>
      <c r="E683" s="43" t="n">
        <v>0.970736062683247</v>
      </c>
      <c r="F683" s="43" t="n">
        <v>0.985781687533514</v>
      </c>
      <c r="G683" s="43" t="n">
        <v>0.989689895924338</v>
      </c>
      <c r="H683" s="43" t="n">
        <v>0.988136890603339</v>
      </c>
      <c r="I683" s="42" t="n">
        <v>1</v>
      </c>
      <c r="J683" s="42" t="n">
        <v>1</v>
      </c>
      <c r="K683" s="44" t="str">
        <f aca="false">IF(AND(I683=1,J683=1),"两者都跟住",IF(AND(I683=0,J683=1),"仅 PC-TBD 跟住",IF(AND(I683=1,J683=0),"仅 VIT-LPS 跟住","都没跟住")))</f>
        <v>两者都跟住</v>
      </c>
      <c r="L683" s="45" t="n">
        <f aca="false">F683-G683</f>
        <v>-0.00390820839082395</v>
      </c>
      <c r="M683" s="46" t="n">
        <v>0.2606408</v>
      </c>
      <c r="N683" s="46" t="n">
        <v>0.1328168</v>
      </c>
      <c r="O683" s="46" t="n">
        <v>0.2095593</v>
      </c>
      <c r="P683" s="46" t="n">
        <v>0.5488204</v>
      </c>
      <c r="Q683" s="46" t="n">
        <v>2.1865265</v>
      </c>
      <c r="R683" s="46" t="n">
        <v>1.8916724</v>
      </c>
      <c r="S683" s="47" t="n">
        <f aca="false">M683+N683+O683</f>
        <v>0.6030169</v>
      </c>
      <c r="T683" s="47" t="n">
        <f aca="false">M683+P683</f>
        <v>0.8094612</v>
      </c>
    </row>
    <row r="684" customFormat="false" ht="15" hidden="false" customHeight="false" outlineLevel="0" collapsed="false">
      <c r="A684" s="42" t="s">
        <v>44</v>
      </c>
      <c r="B684" s="42" t="n">
        <v>-8</v>
      </c>
      <c r="C684" s="42" t="n">
        <v>83</v>
      </c>
      <c r="D684" s="42" t="n">
        <v>74270998</v>
      </c>
      <c r="E684" s="43" t="n">
        <v>0.985521615560639</v>
      </c>
      <c r="F684" s="43" t="n">
        <v>0.986815253857909</v>
      </c>
      <c r="G684" s="43" t="n">
        <v>0.985676803337502</v>
      </c>
      <c r="H684" s="43" t="n">
        <v>0.989219641335353</v>
      </c>
      <c r="I684" s="42" t="n">
        <v>1</v>
      </c>
      <c r="J684" s="42" t="n">
        <v>1</v>
      </c>
      <c r="K684" s="44" t="str">
        <f aca="false">IF(AND(I684=1,J684=1),"两者都跟住",IF(AND(I684=0,J684=1),"仅 PC-TBD 跟住",IF(AND(I684=1,J684=0),"仅 VIT-LPS 跟住","都没跟住")))</f>
        <v>两者都跟住</v>
      </c>
      <c r="L684" s="45" t="n">
        <f aca="false">F684-G684</f>
        <v>0.00113845052040706</v>
      </c>
      <c r="M684" s="46" t="n">
        <v>0.2107764</v>
      </c>
      <c r="N684" s="46" t="n">
        <v>0.1430756</v>
      </c>
      <c r="O684" s="46" t="n">
        <v>0.2102034</v>
      </c>
      <c r="P684" s="46" t="n">
        <v>0.5124721</v>
      </c>
      <c r="Q684" s="46" t="n">
        <v>2.2941465</v>
      </c>
      <c r="R684" s="46" t="n">
        <v>2.2123812</v>
      </c>
      <c r="S684" s="47" t="n">
        <f aca="false">M684+N684+O684</f>
        <v>0.5640554</v>
      </c>
      <c r="T684" s="47" t="n">
        <f aca="false">M684+P684</f>
        <v>0.7232485</v>
      </c>
    </row>
    <row r="685" customFormat="false" ht="15" hidden="false" customHeight="false" outlineLevel="0" collapsed="false">
      <c r="A685" s="42" t="s">
        <v>44</v>
      </c>
      <c r="B685" s="42" t="n">
        <v>-8</v>
      </c>
      <c r="C685" s="42" t="n">
        <v>84</v>
      </c>
      <c r="D685" s="42" t="n">
        <v>74270999</v>
      </c>
      <c r="E685" s="43" t="n">
        <v>0.988869354334049</v>
      </c>
      <c r="F685" s="43" t="n">
        <v>0.99149785654094</v>
      </c>
      <c r="G685" s="43" t="n">
        <v>0.988602535281049</v>
      </c>
      <c r="H685" s="43" t="n">
        <v>0.990197877287551</v>
      </c>
      <c r="I685" s="42" t="n">
        <v>1</v>
      </c>
      <c r="J685" s="42" t="n">
        <v>1</v>
      </c>
      <c r="K685" s="44" t="str">
        <f aca="false">IF(AND(I685=1,J685=1),"两者都跟住",IF(AND(I685=0,J685=1),"仅 PC-TBD 跟住",IF(AND(I685=1,J685=0),"仅 VIT-LPS 跟住","都没跟住")))</f>
        <v>两者都跟住</v>
      </c>
      <c r="L685" s="45" t="n">
        <f aca="false">F685-G685</f>
        <v>0.002895321259891</v>
      </c>
      <c r="M685" s="46" t="n">
        <v>0.2709589</v>
      </c>
      <c r="N685" s="46" t="n">
        <v>0.1445981</v>
      </c>
      <c r="O685" s="46" t="n">
        <v>0.169408</v>
      </c>
      <c r="P685" s="46" t="n">
        <v>0.4978687</v>
      </c>
      <c r="Q685" s="46" t="n">
        <v>2.1431744</v>
      </c>
      <c r="R685" s="46" t="n">
        <v>1.9279488</v>
      </c>
      <c r="S685" s="47" t="n">
        <f aca="false">M685+N685+O685</f>
        <v>0.584965</v>
      </c>
      <c r="T685" s="47" t="n">
        <f aca="false">M685+P685</f>
        <v>0.7688276</v>
      </c>
    </row>
    <row r="686" customFormat="false" ht="15" hidden="false" customHeight="false" outlineLevel="0" collapsed="false">
      <c r="A686" s="42" t="s">
        <v>44</v>
      </c>
      <c r="B686" s="42" t="n">
        <v>-8</v>
      </c>
      <c r="C686" s="42" t="n">
        <v>85</v>
      </c>
      <c r="D686" s="42" t="n">
        <v>74271000</v>
      </c>
      <c r="E686" s="43" t="n">
        <v>0.986252112915927</v>
      </c>
      <c r="F686" s="43" t="n">
        <v>0.9899016326511</v>
      </c>
      <c r="G686" s="43" t="n">
        <v>0.992249858991289</v>
      </c>
      <c r="H686" s="43" t="n">
        <v>0.991210299319092</v>
      </c>
      <c r="I686" s="42" t="n">
        <v>1</v>
      </c>
      <c r="J686" s="42" t="n">
        <v>1</v>
      </c>
      <c r="K686" s="44" t="str">
        <f aca="false">IF(AND(I686=1,J686=1),"两者都跟住",IF(AND(I686=0,J686=1),"仅 PC-TBD 跟住",IF(AND(I686=1,J686=0),"仅 VIT-LPS 跟住","都没跟住")))</f>
        <v>两者都跟住</v>
      </c>
      <c r="L686" s="45" t="n">
        <f aca="false">F686-G686</f>
        <v>-0.00234822634018905</v>
      </c>
      <c r="M686" s="46" t="n">
        <v>0.2637515</v>
      </c>
      <c r="N686" s="46" t="n">
        <v>0.1294166</v>
      </c>
      <c r="O686" s="46" t="n">
        <v>0.1582466</v>
      </c>
      <c r="P686" s="46" t="n">
        <v>0.5175714</v>
      </c>
      <c r="Q686" s="46" t="n">
        <v>1.9952554</v>
      </c>
      <c r="R686" s="46" t="n">
        <v>1.6794532</v>
      </c>
      <c r="S686" s="47" t="n">
        <f aca="false">M686+N686+O686</f>
        <v>0.5514147</v>
      </c>
      <c r="T686" s="47" t="n">
        <f aca="false">M686+P686</f>
        <v>0.7813229</v>
      </c>
    </row>
    <row r="687" customFormat="false" ht="15" hidden="false" customHeight="false" outlineLevel="0" collapsed="false">
      <c r="A687" s="42" t="s">
        <v>44</v>
      </c>
      <c r="B687" s="42" t="n">
        <v>-8</v>
      </c>
      <c r="C687" s="42" t="n">
        <v>86</v>
      </c>
      <c r="D687" s="42" t="n">
        <v>74271001</v>
      </c>
      <c r="E687" s="43" t="n">
        <v>0.984852715084469</v>
      </c>
      <c r="F687" s="43" t="n">
        <v>0.982911895910258</v>
      </c>
      <c r="G687" s="43" t="n">
        <v>0.990364088953025</v>
      </c>
      <c r="H687" s="43" t="n">
        <v>0.984382094909117</v>
      </c>
      <c r="I687" s="42" t="n">
        <v>1</v>
      </c>
      <c r="J687" s="42" t="n">
        <v>1</v>
      </c>
      <c r="K687" s="44" t="str">
        <f aca="false">IF(AND(I687=1,J687=1),"两者都跟住",IF(AND(I687=0,J687=1),"仅 PC-TBD 跟住",IF(AND(I687=1,J687=0),"仅 VIT-LPS 跟住","都没跟住")))</f>
        <v>两者都跟住</v>
      </c>
      <c r="L687" s="45" t="n">
        <f aca="false">F687-G687</f>
        <v>-0.00745219304276701</v>
      </c>
      <c r="M687" s="46" t="n">
        <v>0.2811045</v>
      </c>
      <c r="N687" s="46" t="n">
        <v>0.1397941</v>
      </c>
      <c r="O687" s="46" t="n">
        <v>0.1535319</v>
      </c>
      <c r="P687" s="46" t="n">
        <v>0.5583258</v>
      </c>
      <c r="Q687" s="46" t="n">
        <v>1.8246993</v>
      </c>
      <c r="R687" s="46" t="n">
        <v>1.559114</v>
      </c>
      <c r="S687" s="47" t="n">
        <f aca="false">M687+N687+O687</f>
        <v>0.5744305</v>
      </c>
      <c r="T687" s="47" t="n">
        <f aca="false">M687+P687</f>
        <v>0.8394303</v>
      </c>
    </row>
    <row r="688" customFormat="false" ht="15" hidden="false" customHeight="false" outlineLevel="0" collapsed="false">
      <c r="A688" s="42" t="s">
        <v>44</v>
      </c>
      <c r="B688" s="42" t="n">
        <v>-8</v>
      </c>
      <c r="C688" s="42" t="n">
        <v>87</v>
      </c>
      <c r="D688" s="42" t="n">
        <v>74271002</v>
      </c>
      <c r="E688" s="43" t="n">
        <v>0.988020114807915</v>
      </c>
      <c r="F688" s="43" t="n">
        <v>0.989618974850358</v>
      </c>
      <c r="G688" s="43" t="n">
        <v>0.986760051076149</v>
      </c>
      <c r="H688" s="43" t="n">
        <v>0.989991835946972</v>
      </c>
      <c r="I688" s="42" t="n">
        <v>1</v>
      </c>
      <c r="J688" s="42" t="n">
        <v>1</v>
      </c>
      <c r="K688" s="44" t="str">
        <f aca="false">IF(AND(I688=1,J688=1),"两者都跟住",IF(AND(I688=0,J688=1),"仅 PC-TBD 跟住",IF(AND(I688=1,J688=0),"仅 VIT-LPS 跟住","都没跟住")))</f>
        <v>两者都跟住</v>
      </c>
      <c r="L688" s="45" t="n">
        <f aca="false">F688-G688</f>
        <v>0.00285892377420904</v>
      </c>
      <c r="M688" s="46" t="n">
        <v>0.1367971</v>
      </c>
      <c r="N688" s="46" t="n">
        <v>0.0926327</v>
      </c>
      <c r="O688" s="46" t="n">
        <v>0.1262274</v>
      </c>
      <c r="P688" s="46" t="n">
        <v>0.4350767</v>
      </c>
      <c r="Q688" s="46" t="n">
        <v>1.5203745</v>
      </c>
      <c r="R688" s="46" t="n">
        <v>1.0301489</v>
      </c>
      <c r="S688" s="47" t="n">
        <f aca="false">M688+N688+O688</f>
        <v>0.3556572</v>
      </c>
      <c r="T688" s="47" t="n">
        <f aca="false">M688+P688</f>
        <v>0.5718738</v>
      </c>
    </row>
    <row r="689" customFormat="false" ht="15" hidden="false" customHeight="false" outlineLevel="0" collapsed="false">
      <c r="A689" s="42" t="s">
        <v>44</v>
      </c>
      <c r="B689" s="42" t="n">
        <v>-8</v>
      </c>
      <c r="C689" s="42" t="n">
        <v>88</v>
      </c>
      <c r="D689" s="42" t="n">
        <v>74271003</v>
      </c>
      <c r="E689" s="43" t="n">
        <v>0.985451863659657</v>
      </c>
      <c r="F689" s="43" t="n">
        <v>0.987663830922237</v>
      </c>
      <c r="G689" s="43" t="n">
        <v>0.984706142778615</v>
      </c>
      <c r="H689" s="43" t="n">
        <v>0.988620335943749</v>
      </c>
      <c r="I689" s="42" t="n">
        <v>1</v>
      </c>
      <c r="J689" s="42" t="n">
        <v>1</v>
      </c>
      <c r="K689" s="44" t="str">
        <f aca="false">IF(AND(I689=1,J689=1),"两者都跟住",IF(AND(I689=0,J689=1),"仅 PC-TBD 跟住",IF(AND(I689=1,J689=0),"仅 VIT-LPS 跟住","都没跟住")))</f>
        <v>两者都跟住</v>
      </c>
      <c r="L689" s="45" t="n">
        <f aca="false">F689-G689</f>
        <v>0.00295768814362196</v>
      </c>
      <c r="M689" s="46" t="n">
        <v>0.1491143</v>
      </c>
      <c r="N689" s="46" t="n">
        <v>0.0895604</v>
      </c>
      <c r="O689" s="46" t="n">
        <v>0.1515175</v>
      </c>
      <c r="P689" s="46" t="n">
        <v>0.4208037</v>
      </c>
      <c r="Q689" s="46" t="n">
        <v>1.3655516</v>
      </c>
      <c r="R689" s="46" t="n">
        <v>1.2971301</v>
      </c>
      <c r="S689" s="47" t="n">
        <f aca="false">M689+N689+O689</f>
        <v>0.3901922</v>
      </c>
      <c r="T689" s="47" t="n">
        <f aca="false">M689+P689</f>
        <v>0.569918</v>
      </c>
    </row>
    <row r="690" customFormat="false" ht="15" hidden="false" customHeight="false" outlineLevel="0" collapsed="false">
      <c r="A690" s="42" t="s">
        <v>44</v>
      </c>
      <c r="B690" s="42" t="n">
        <v>-8</v>
      </c>
      <c r="C690" s="42" t="n">
        <v>89</v>
      </c>
      <c r="D690" s="42" t="n">
        <v>74271004</v>
      </c>
      <c r="E690" s="43" t="n">
        <v>0.981724922104064</v>
      </c>
      <c r="F690" s="43" t="n">
        <v>0.984560390084531</v>
      </c>
      <c r="G690" s="43" t="n">
        <v>0.985045804893547</v>
      </c>
      <c r="H690" s="43" t="n">
        <v>0.986467459194753</v>
      </c>
      <c r="I690" s="42" t="n">
        <v>1</v>
      </c>
      <c r="J690" s="42" t="n">
        <v>1</v>
      </c>
      <c r="K690" s="44" t="str">
        <f aca="false">IF(AND(I690=1,J690=1),"两者都跟住",IF(AND(I690=0,J690=1),"仅 PC-TBD 跟住",IF(AND(I690=1,J690=0),"仅 VIT-LPS 跟住","都没跟住")))</f>
        <v>两者都跟住</v>
      </c>
      <c r="L690" s="45" t="n">
        <f aca="false">F690-G690</f>
        <v>-0.000485414809015983</v>
      </c>
      <c r="M690" s="46" t="n">
        <v>0.1392522</v>
      </c>
      <c r="N690" s="46" t="n">
        <v>0.0763358</v>
      </c>
      <c r="O690" s="46" t="n">
        <v>0.1143691</v>
      </c>
      <c r="P690" s="46" t="n">
        <v>0.3996794</v>
      </c>
      <c r="Q690" s="46" t="n">
        <v>1.3362309</v>
      </c>
      <c r="R690" s="46" t="n">
        <v>1.2339139</v>
      </c>
      <c r="S690" s="47" t="n">
        <f aca="false">M690+N690+O690</f>
        <v>0.3299571</v>
      </c>
      <c r="T690" s="47" t="n">
        <f aca="false">M690+P690</f>
        <v>0.5389316</v>
      </c>
    </row>
    <row r="691" customFormat="false" ht="15" hidden="false" customHeight="false" outlineLevel="0" collapsed="false">
      <c r="A691" s="42" t="s">
        <v>44</v>
      </c>
      <c r="B691" s="42" t="n">
        <v>-8</v>
      </c>
      <c r="C691" s="42" t="n">
        <v>90</v>
      </c>
      <c r="D691" s="42" t="n">
        <v>74271005</v>
      </c>
      <c r="E691" s="43" t="n">
        <v>0.986506693237587</v>
      </c>
      <c r="F691" s="43" t="n">
        <v>0.988319487948857</v>
      </c>
      <c r="G691" s="43" t="n">
        <v>0.987267257700553</v>
      </c>
      <c r="H691" s="43" t="n">
        <v>0.987559802827351</v>
      </c>
      <c r="I691" s="42" t="n">
        <v>1</v>
      </c>
      <c r="J691" s="42" t="n">
        <v>1</v>
      </c>
      <c r="K691" s="44" t="str">
        <f aca="false">IF(AND(I691=1,J691=1),"两者都跟住",IF(AND(I691=0,J691=1),"仅 PC-TBD 跟住",IF(AND(I691=1,J691=0),"仅 VIT-LPS 跟住","都没跟住")))</f>
        <v>两者都跟住</v>
      </c>
      <c r="L691" s="45" t="n">
        <f aca="false">F691-G691</f>
        <v>0.00105223024830403</v>
      </c>
      <c r="M691" s="46" t="n">
        <v>0.1380471</v>
      </c>
      <c r="N691" s="46" t="n">
        <v>0.1091827</v>
      </c>
      <c r="O691" s="46" t="n">
        <v>0.1217267</v>
      </c>
      <c r="P691" s="46" t="n">
        <v>0.4634405</v>
      </c>
      <c r="Q691" s="46" t="n">
        <v>1.2631091</v>
      </c>
      <c r="R691" s="46" t="n">
        <v>1.3773403</v>
      </c>
      <c r="S691" s="47" t="n">
        <f aca="false">M691+N691+O691</f>
        <v>0.3689565</v>
      </c>
      <c r="T691" s="47" t="n">
        <f aca="false">M691+P691</f>
        <v>0.6014876</v>
      </c>
    </row>
    <row r="692" customFormat="false" ht="15" hidden="false" customHeight="false" outlineLevel="0" collapsed="false">
      <c r="A692" s="42" t="s">
        <v>44</v>
      </c>
      <c r="B692" s="42" t="n">
        <v>-8</v>
      </c>
      <c r="C692" s="42" t="n">
        <v>91</v>
      </c>
      <c r="D692" s="42" t="n">
        <v>74271006</v>
      </c>
      <c r="E692" s="43" t="n">
        <v>0.979763595136512</v>
      </c>
      <c r="F692" s="43" t="n">
        <v>0.980453179832493</v>
      </c>
      <c r="G692" s="43" t="n">
        <v>0.97137076435003</v>
      </c>
      <c r="H692" s="43" t="n">
        <v>0.979821293648829</v>
      </c>
      <c r="I692" s="42" t="n">
        <v>1</v>
      </c>
      <c r="J692" s="42" t="n">
        <v>1</v>
      </c>
      <c r="K692" s="44" t="str">
        <f aca="false">IF(AND(I692=1,J692=1),"两者都跟住",IF(AND(I692=0,J692=1),"仅 PC-TBD 跟住",IF(AND(I692=1,J692=0),"仅 VIT-LPS 跟住","都没跟住")))</f>
        <v>两者都跟住</v>
      </c>
      <c r="L692" s="45" t="n">
        <f aca="false">F692-G692</f>
        <v>0.00908241548246302</v>
      </c>
      <c r="M692" s="46" t="n">
        <v>0.2218537</v>
      </c>
      <c r="N692" s="46" t="n">
        <v>0.1307624</v>
      </c>
      <c r="O692" s="46" t="n">
        <v>0.1710116</v>
      </c>
      <c r="P692" s="46" t="n">
        <v>0.4937485</v>
      </c>
      <c r="Q692" s="46" t="n">
        <v>2.1302296</v>
      </c>
      <c r="R692" s="46" t="n">
        <v>2.0597544</v>
      </c>
      <c r="S692" s="47" t="n">
        <f aca="false">M692+N692+O692</f>
        <v>0.5236277</v>
      </c>
      <c r="T692" s="47" t="n">
        <f aca="false">M692+P692</f>
        <v>0.7156022</v>
      </c>
    </row>
    <row r="693" customFormat="false" ht="15" hidden="false" customHeight="false" outlineLevel="0" collapsed="false">
      <c r="A693" s="42" t="s">
        <v>44</v>
      </c>
      <c r="B693" s="42" t="n">
        <v>-8</v>
      </c>
      <c r="C693" s="42" t="n">
        <v>92</v>
      </c>
      <c r="D693" s="42" t="n">
        <v>74271007</v>
      </c>
      <c r="E693" s="43" t="n">
        <v>0.973860791747933</v>
      </c>
      <c r="F693" s="43" t="n">
        <v>0.981746664668652</v>
      </c>
      <c r="G693" s="43" t="n">
        <v>0.980760706220745</v>
      </c>
      <c r="H693" s="43" t="n">
        <v>0.983059555072274</v>
      </c>
      <c r="I693" s="42" t="n">
        <v>1</v>
      </c>
      <c r="J693" s="42" t="n">
        <v>1</v>
      </c>
      <c r="K693" s="44" t="str">
        <f aca="false">IF(AND(I693=1,J693=1),"两者都跟住",IF(AND(I693=0,J693=1),"仅 PC-TBD 跟住",IF(AND(I693=1,J693=0),"仅 VIT-LPS 跟住","都没跟住")))</f>
        <v>两者都跟住</v>
      </c>
      <c r="L693" s="45" t="n">
        <f aca="false">F693-G693</f>
        <v>0.000985958447907054</v>
      </c>
      <c r="M693" s="46" t="n">
        <v>0.2376022</v>
      </c>
      <c r="N693" s="46" t="n">
        <v>0.1330116</v>
      </c>
      <c r="O693" s="46" t="n">
        <v>0.1745239</v>
      </c>
      <c r="P693" s="46" t="n">
        <v>0.5864805</v>
      </c>
      <c r="Q693" s="46" t="n">
        <v>1.7232044</v>
      </c>
      <c r="R693" s="46" t="n">
        <v>1.7197463</v>
      </c>
      <c r="S693" s="47" t="n">
        <f aca="false">M693+N693+O693</f>
        <v>0.5451377</v>
      </c>
      <c r="T693" s="47" t="n">
        <f aca="false">M693+P693</f>
        <v>0.8240827</v>
      </c>
    </row>
    <row r="694" customFormat="false" ht="15" hidden="false" customHeight="false" outlineLevel="0" collapsed="false">
      <c r="A694" s="42" t="s">
        <v>44</v>
      </c>
      <c r="B694" s="42" t="n">
        <v>-8</v>
      </c>
      <c r="C694" s="42" t="n">
        <v>93</v>
      </c>
      <c r="D694" s="42" t="n">
        <v>74271008</v>
      </c>
      <c r="E694" s="43" t="n">
        <v>0.983716821671386</v>
      </c>
      <c r="F694" s="43" t="n">
        <v>0.985737711498276</v>
      </c>
      <c r="G694" s="43" t="n">
        <v>0.986165145870634</v>
      </c>
      <c r="H694" s="43" t="n">
        <v>0.98556191787218</v>
      </c>
      <c r="I694" s="42" t="n">
        <v>1</v>
      </c>
      <c r="J694" s="42" t="n">
        <v>1</v>
      </c>
      <c r="K694" s="44" t="str">
        <f aca="false">IF(AND(I694=1,J694=1),"两者都跟住",IF(AND(I694=0,J694=1),"仅 PC-TBD 跟住",IF(AND(I694=1,J694=0),"仅 VIT-LPS 跟住","都没跟住")))</f>
        <v>两者都跟住</v>
      </c>
      <c r="L694" s="45" t="n">
        <f aca="false">F694-G694</f>
        <v>-0.000427434372357927</v>
      </c>
      <c r="M694" s="46" t="n">
        <v>0.2573356</v>
      </c>
      <c r="N694" s="46" t="n">
        <v>0.1033863</v>
      </c>
      <c r="O694" s="46" t="n">
        <v>0.1588131</v>
      </c>
      <c r="P694" s="46" t="n">
        <v>0.5338733</v>
      </c>
      <c r="Q694" s="46" t="n">
        <v>2.1691459</v>
      </c>
      <c r="R694" s="46" t="n">
        <v>2.2359492</v>
      </c>
      <c r="S694" s="47" t="n">
        <f aca="false">M694+N694+O694</f>
        <v>0.519535</v>
      </c>
      <c r="T694" s="47" t="n">
        <f aca="false">M694+P694</f>
        <v>0.7912089</v>
      </c>
    </row>
    <row r="695" customFormat="false" ht="15" hidden="false" customHeight="false" outlineLevel="0" collapsed="false">
      <c r="A695" s="42" t="s">
        <v>44</v>
      </c>
      <c r="B695" s="42" t="n">
        <v>-8</v>
      </c>
      <c r="C695" s="42" t="n">
        <v>94</v>
      </c>
      <c r="D695" s="42" t="n">
        <v>74271009</v>
      </c>
      <c r="E695" s="43" t="n">
        <v>0.9810707842113</v>
      </c>
      <c r="F695" s="43" t="n">
        <v>0.982267242546451</v>
      </c>
      <c r="G695" s="43" t="n">
        <v>0.985763466190167</v>
      </c>
      <c r="H695" s="43" t="n">
        <v>0.984659649892627</v>
      </c>
      <c r="I695" s="42" t="n">
        <v>1</v>
      </c>
      <c r="J695" s="42" t="n">
        <v>1</v>
      </c>
      <c r="K695" s="44" t="str">
        <f aca="false">IF(AND(I695=1,J695=1),"两者都跟住",IF(AND(I695=0,J695=1),"仅 PC-TBD 跟住",IF(AND(I695=1,J695=0),"仅 VIT-LPS 跟住","都没跟住")))</f>
        <v>两者都跟住</v>
      </c>
      <c r="L695" s="45" t="n">
        <f aca="false">F695-G695</f>
        <v>-0.00349622364371593</v>
      </c>
      <c r="M695" s="46" t="n">
        <v>0.2243852</v>
      </c>
      <c r="N695" s="46" t="n">
        <v>0.1456738</v>
      </c>
      <c r="O695" s="46" t="n">
        <v>0.2057917</v>
      </c>
      <c r="P695" s="46" t="n">
        <v>0.5317617</v>
      </c>
      <c r="Q695" s="46" t="n">
        <v>1.3367229</v>
      </c>
      <c r="R695" s="46" t="n">
        <v>1.549506</v>
      </c>
      <c r="S695" s="47" t="n">
        <f aca="false">M695+N695+O695</f>
        <v>0.5758507</v>
      </c>
      <c r="T695" s="47" t="n">
        <f aca="false">M695+P695</f>
        <v>0.7561469</v>
      </c>
    </row>
    <row r="696" customFormat="false" ht="15" hidden="false" customHeight="false" outlineLevel="0" collapsed="false">
      <c r="A696" s="42" t="s">
        <v>44</v>
      </c>
      <c r="B696" s="42" t="n">
        <v>-8</v>
      </c>
      <c r="C696" s="42" t="n">
        <v>95</v>
      </c>
      <c r="D696" s="42" t="n">
        <v>74271010</v>
      </c>
      <c r="E696" s="43" t="n">
        <v>0.979353724372092</v>
      </c>
      <c r="F696" s="43" t="n">
        <v>0.986433190270902</v>
      </c>
      <c r="G696" s="43" t="n">
        <v>0.984002121454603</v>
      </c>
      <c r="H696" s="43" t="n">
        <v>0.984830587491133</v>
      </c>
      <c r="I696" s="42" t="n">
        <v>1</v>
      </c>
      <c r="J696" s="42" t="n">
        <v>1</v>
      </c>
      <c r="K696" s="44" t="str">
        <f aca="false">IF(AND(I696=1,J696=1),"两者都跟住",IF(AND(I696=0,J696=1),"仅 PC-TBD 跟住",IF(AND(I696=1,J696=0),"仅 VIT-LPS 跟住","都没跟住")))</f>
        <v>两者都跟住</v>
      </c>
      <c r="L696" s="45" t="n">
        <f aca="false">F696-G696</f>
        <v>0.00243106881629906</v>
      </c>
      <c r="M696" s="46" t="n">
        <v>0.250707</v>
      </c>
      <c r="N696" s="46" t="n">
        <v>0.1277322</v>
      </c>
      <c r="O696" s="46" t="n">
        <v>0.1762518</v>
      </c>
      <c r="P696" s="46" t="n">
        <v>0.5700426</v>
      </c>
      <c r="Q696" s="46" t="n">
        <v>1.7972601</v>
      </c>
      <c r="R696" s="46" t="n">
        <v>1.6354557</v>
      </c>
      <c r="S696" s="47" t="n">
        <f aca="false">M696+N696+O696</f>
        <v>0.554691</v>
      </c>
      <c r="T696" s="47" t="n">
        <f aca="false">M696+P696</f>
        <v>0.8207496</v>
      </c>
    </row>
    <row r="697" customFormat="false" ht="15" hidden="false" customHeight="false" outlineLevel="0" collapsed="false">
      <c r="A697" s="42" t="s">
        <v>44</v>
      </c>
      <c r="B697" s="42" t="n">
        <v>-8</v>
      </c>
      <c r="C697" s="42" t="n">
        <v>96</v>
      </c>
      <c r="D697" s="42" t="n">
        <v>74271011</v>
      </c>
      <c r="E697" s="43" t="n">
        <v>0.980444172128395</v>
      </c>
      <c r="F697" s="43" t="n">
        <v>0.981266687647938</v>
      </c>
      <c r="G697" s="43" t="n">
        <v>0.98184299364998</v>
      </c>
      <c r="H697" s="43" t="n">
        <v>0.98458513073984</v>
      </c>
      <c r="I697" s="42" t="n">
        <v>1</v>
      </c>
      <c r="J697" s="42" t="n">
        <v>1</v>
      </c>
      <c r="K697" s="44" t="str">
        <f aca="false">IF(AND(I697=1,J697=1),"两者都跟住",IF(AND(I697=0,J697=1),"仅 PC-TBD 跟住",IF(AND(I697=1,J697=0),"仅 VIT-LPS 跟住","都没跟住")))</f>
        <v>两者都跟住</v>
      </c>
      <c r="L697" s="45" t="n">
        <f aca="false">F697-G697</f>
        <v>-0.000576306002041949</v>
      </c>
      <c r="M697" s="46" t="n">
        <v>0.2450723</v>
      </c>
      <c r="N697" s="46" t="n">
        <v>0.1064756</v>
      </c>
      <c r="O697" s="46" t="n">
        <v>0.1673226</v>
      </c>
      <c r="P697" s="46" t="n">
        <v>0.5403563</v>
      </c>
      <c r="Q697" s="46" t="n">
        <v>1.8437012</v>
      </c>
      <c r="R697" s="46" t="n">
        <v>1.4405693</v>
      </c>
      <c r="S697" s="47" t="n">
        <f aca="false">M697+N697+O697</f>
        <v>0.5188705</v>
      </c>
      <c r="T697" s="47" t="n">
        <f aca="false">M697+P697</f>
        <v>0.7854286</v>
      </c>
    </row>
    <row r="698" customFormat="false" ht="15" hidden="false" customHeight="false" outlineLevel="0" collapsed="false">
      <c r="A698" s="42" t="s">
        <v>44</v>
      </c>
      <c r="B698" s="42" t="n">
        <v>-8</v>
      </c>
      <c r="C698" s="42" t="n">
        <v>97</v>
      </c>
      <c r="D698" s="42" t="n">
        <v>74271012</v>
      </c>
      <c r="E698" s="43" t="n">
        <v>0.976373784560374</v>
      </c>
      <c r="F698" s="43" t="n">
        <v>0.978573031012856</v>
      </c>
      <c r="G698" s="43" t="n">
        <v>0.987874364941538</v>
      </c>
      <c r="H698" s="43" t="n">
        <v>0.981420267595022</v>
      </c>
      <c r="I698" s="42" t="n">
        <v>1</v>
      </c>
      <c r="J698" s="42" t="n">
        <v>1</v>
      </c>
      <c r="K698" s="44" t="str">
        <f aca="false">IF(AND(I698=1,J698=1),"两者都跟住",IF(AND(I698=0,J698=1),"仅 PC-TBD 跟住",IF(AND(I698=1,J698=0),"仅 VIT-LPS 跟住","都没跟住")))</f>
        <v>两者都跟住</v>
      </c>
      <c r="L698" s="45" t="n">
        <f aca="false">F698-G698</f>
        <v>-0.00930133392868204</v>
      </c>
      <c r="M698" s="46" t="n">
        <v>0.15253</v>
      </c>
      <c r="N698" s="46" t="n">
        <v>0.1064073</v>
      </c>
      <c r="O698" s="46" t="n">
        <v>0.1377682</v>
      </c>
      <c r="P698" s="46" t="n">
        <v>0.4302218</v>
      </c>
      <c r="Q698" s="46" t="n">
        <v>0.9727291</v>
      </c>
      <c r="R698" s="46" t="n">
        <v>1.0857801</v>
      </c>
      <c r="S698" s="47" t="n">
        <f aca="false">M698+N698+O698</f>
        <v>0.3967055</v>
      </c>
      <c r="T698" s="47" t="n">
        <f aca="false">M698+P698</f>
        <v>0.5827518</v>
      </c>
    </row>
    <row r="699" customFormat="false" ht="15" hidden="false" customHeight="false" outlineLevel="0" collapsed="false">
      <c r="A699" s="42" t="s">
        <v>44</v>
      </c>
      <c r="B699" s="42" t="n">
        <v>-8</v>
      </c>
      <c r="C699" s="42" t="n">
        <v>98</v>
      </c>
      <c r="D699" s="42" t="n">
        <v>74271013</v>
      </c>
      <c r="E699" s="43" t="n">
        <v>0.972705943159506</v>
      </c>
      <c r="F699" s="43" t="n">
        <v>0.98374759184117</v>
      </c>
      <c r="G699" s="43" t="n">
        <v>0.984435449634584</v>
      </c>
      <c r="H699" s="43" t="n">
        <v>0.984728294727313</v>
      </c>
      <c r="I699" s="42" t="n">
        <v>1</v>
      </c>
      <c r="J699" s="42" t="n">
        <v>1</v>
      </c>
      <c r="K699" s="44" t="str">
        <f aca="false">IF(AND(I699=1,J699=1),"两者都跟住",IF(AND(I699=0,J699=1),"仅 PC-TBD 跟住",IF(AND(I699=1,J699=0),"仅 VIT-LPS 跟住","都没跟住")))</f>
        <v>两者都跟住</v>
      </c>
      <c r="L699" s="45" t="n">
        <f aca="false">F699-G699</f>
        <v>-0.00068785779341396</v>
      </c>
      <c r="M699" s="46" t="n">
        <v>0.1261818</v>
      </c>
      <c r="N699" s="46" t="n">
        <v>0.070664</v>
      </c>
      <c r="O699" s="46" t="n">
        <v>0.1143688</v>
      </c>
      <c r="P699" s="46" t="n">
        <v>0.4889846</v>
      </c>
      <c r="Q699" s="46" t="n">
        <v>1.2778993</v>
      </c>
      <c r="R699" s="46" t="n">
        <v>1.2487727</v>
      </c>
      <c r="S699" s="47" t="n">
        <f aca="false">M699+N699+O699</f>
        <v>0.3112146</v>
      </c>
      <c r="T699" s="47" t="n">
        <f aca="false">M699+P699</f>
        <v>0.6151664</v>
      </c>
    </row>
    <row r="700" customFormat="false" ht="15" hidden="false" customHeight="false" outlineLevel="0" collapsed="false">
      <c r="A700" s="42" t="s">
        <v>44</v>
      </c>
      <c r="B700" s="42" t="n">
        <v>-8</v>
      </c>
      <c r="C700" s="42" t="n">
        <v>99</v>
      </c>
      <c r="D700" s="42" t="n">
        <v>74271014</v>
      </c>
      <c r="E700" s="43" t="n">
        <v>0.989243672615346</v>
      </c>
      <c r="F700" s="43" t="n">
        <v>0.984274317768426</v>
      </c>
      <c r="G700" s="43" t="n">
        <v>0.984403064082992</v>
      </c>
      <c r="H700" s="43" t="n">
        <v>0.986455650640799</v>
      </c>
      <c r="I700" s="42" t="n">
        <v>1</v>
      </c>
      <c r="J700" s="42" t="n">
        <v>1</v>
      </c>
      <c r="K700" s="44" t="str">
        <f aca="false">IF(AND(I700=1,J700=1),"两者都跟住",IF(AND(I700=0,J700=1),"仅 PC-TBD 跟住",IF(AND(I700=1,J700=0),"仅 VIT-LPS 跟住","都没跟住")))</f>
        <v>两者都跟住</v>
      </c>
      <c r="L700" s="45" t="n">
        <f aca="false">F700-G700</f>
        <v>-0.000128746314566053</v>
      </c>
      <c r="M700" s="46" t="n">
        <v>0.1342201</v>
      </c>
      <c r="N700" s="46" t="n">
        <v>0.0986788</v>
      </c>
      <c r="O700" s="46" t="n">
        <v>0.1026445</v>
      </c>
      <c r="P700" s="46" t="n">
        <v>0.4724781</v>
      </c>
      <c r="Q700" s="46" t="n">
        <v>1.1094369</v>
      </c>
      <c r="R700" s="46" t="n">
        <v>1.073974</v>
      </c>
      <c r="S700" s="47" t="n">
        <f aca="false">M700+N700+O700</f>
        <v>0.3355434</v>
      </c>
      <c r="T700" s="47" t="n">
        <f aca="false">M700+P700</f>
        <v>0.6066982</v>
      </c>
    </row>
    <row r="701" customFormat="false" ht="15" hidden="false" customHeight="false" outlineLevel="0" collapsed="false">
      <c r="A701" s="42" t="s">
        <v>44</v>
      </c>
      <c r="B701" s="42" t="n">
        <v>-8</v>
      </c>
      <c r="C701" s="42" t="n">
        <v>100</v>
      </c>
      <c r="D701" s="42" t="n">
        <v>74271015</v>
      </c>
      <c r="E701" s="43" t="n">
        <v>0.986197066673133</v>
      </c>
      <c r="F701" s="43" t="n">
        <v>0.98534029136458</v>
      </c>
      <c r="G701" s="43" t="n">
        <v>0.985594988958333</v>
      </c>
      <c r="H701" s="43" t="n">
        <v>0.987191010714695</v>
      </c>
      <c r="I701" s="42" t="n">
        <v>1</v>
      </c>
      <c r="J701" s="42" t="n">
        <v>1</v>
      </c>
      <c r="K701" s="44" t="str">
        <f aca="false">IF(AND(I701=1,J701=1),"两者都跟住",IF(AND(I701=0,J701=1),"仅 PC-TBD 跟住",IF(AND(I701=1,J701=0),"仅 VIT-LPS 跟住","都没跟住")))</f>
        <v>两者都跟住</v>
      </c>
      <c r="L701" s="45" t="n">
        <f aca="false">F701-G701</f>
        <v>-0.000254697593752962</v>
      </c>
      <c r="M701" s="46" t="n">
        <v>0.16578</v>
      </c>
      <c r="N701" s="46" t="n">
        <v>0.095153</v>
      </c>
      <c r="O701" s="46" t="n">
        <v>0.127364</v>
      </c>
      <c r="P701" s="46" t="n">
        <v>0.3911987</v>
      </c>
      <c r="Q701" s="46" t="n">
        <v>1.3581378</v>
      </c>
      <c r="R701" s="46" t="n">
        <v>1.1001513</v>
      </c>
      <c r="S701" s="47" t="n">
        <f aca="false">M701+N701+O701</f>
        <v>0.388297</v>
      </c>
      <c r="T701" s="47" t="n">
        <f aca="false">M701+P701</f>
        <v>0.5569787</v>
      </c>
    </row>
    <row r="702" customFormat="false" ht="15" hidden="false" customHeight="false" outlineLevel="0" collapsed="false">
      <c r="A702" s="42" t="s">
        <v>45</v>
      </c>
      <c r="B702" s="42" t="n">
        <v>-20</v>
      </c>
      <c r="C702" s="42" t="n">
        <v>1</v>
      </c>
      <c r="D702" s="42" t="n">
        <v>74290916</v>
      </c>
      <c r="E702" s="43" t="n">
        <v>0.290420259831157</v>
      </c>
      <c r="F702" s="43" t="n">
        <v>0.295948626363058</v>
      </c>
      <c r="G702" s="43" t="n">
        <v>0.468551750848457</v>
      </c>
      <c r="H702" s="43" t="n">
        <v>0.511831699161017</v>
      </c>
      <c r="I702" s="42" t="n">
        <v>1</v>
      </c>
      <c r="J702" s="42" t="n">
        <v>1</v>
      </c>
      <c r="K702" s="44" t="str">
        <f aca="false">IF(AND(I702=1,J702=1),"两者都跟住",IF(AND(I702=0,J702=1),"仅 PC-TBD 跟住",IF(AND(I702=1,J702=0),"仅 VIT-LPS 跟住","都没跟住")))</f>
        <v>两者都跟住</v>
      </c>
      <c r="L702" s="45" t="n">
        <f aca="false">F702-G702</f>
        <v>-0.172603124485399</v>
      </c>
      <c r="M702" s="46" t="n">
        <v>0.8470815</v>
      </c>
      <c r="N702" s="46" t="n">
        <v>0.4128587</v>
      </c>
      <c r="O702" s="46" t="n">
        <v>4.1858961</v>
      </c>
      <c r="P702" s="46" t="n">
        <v>1.278489</v>
      </c>
      <c r="Q702" s="46" t="n">
        <v>12.0393288</v>
      </c>
      <c r="R702" s="46" t="n">
        <v>2.7163701</v>
      </c>
      <c r="S702" s="47" t="n">
        <f aca="false">M702+N702+O702</f>
        <v>5.4458363</v>
      </c>
      <c r="T702" s="47" t="n">
        <f aca="false">M702+P702</f>
        <v>2.1255705</v>
      </c>
    </row>
    <row r="703" customFormat="false" ht="15" hidden="false" customHeight="false" outlineLevel="0" collapsed="false">
      <c r="A703" s="42" t="s">
        <v>45</v>
      </c>
      <c r="B703" s="42" t="n">
        <v>-20</v>
      </c>
      <c r="C703" s="42" t="n">
        <v>2</v>
      </c>
      <c r="D703" s="42" t="n">
        <v>74290917</v>
      </c>
      <c r="E703" s="43" t="n">
        <v>0.245925048557831</v>
      </c>
      <c r="F703" s="43" t="n">
        <v>0.590316443281246</v>
      </c>
      <c r="G703" s="43" t="n">
        <v>0.647039271223865</v>
      </c>
      <c r="H703" s="43" t="n">
        <v>0.621667118199284</v>
      </c>
      <c r="I703" s="42" t="n">
        <v>1</v>
      </c>
      <c r="J703" s="42" t="n">
        <v>1</v>
      </c>
      <c r="K703" s="44" t="str">
        <f aca="false">IF(AND(I703=1,J703=1),"两者都跟住",IF(AND(I703=0,J703=1),"仅 PC-TBD 跟住",IF(AND(I703=1,J703=0),"仅 VIT-LPS 跟住","都没跟住")))</f>
        <v>两者都跟住</v>
      </c>
      <c r="L703" s="45" t="n">
        <f aca="false">F703-G703</f>
        <v>-0.056722827942619</v>
      </c>
      <c r="M703" s="46" t="n">
        <v>0.8164</v>
      </c>
      <c r="N703" s="46" t="n">
        <v>0.416417</v>
      </c>
      <c r="O703" s="46" t="n">
        <v>4.0972604</v>
      </c>
      <c r="P703" s="46" t="n">
        <v>1.2784642</v>
      </c>
      <c r="Q703" s="46" t="n">
        <v>5.7951253</v>
      </c>
      <c r="R703" s="46" t="n">
        <v>3.8273016</v>
      </c>
      <c r="S703" s="47" t="n">
        <f aca="false">M703+N703+O703</f>
        <v>5.3300774</v>
      </c>
      <c r="T703" s="47" t="n">
        <f aca="false">M703+P703</f>
        <v>2.0948642</v>
      </c>
    </row>
    <row r="704" customFormat="false" ht="15" hidden="false" customHeight="false" outlineLevel="0" collapsed="false">
      <c r="A704" s="42" t="s">
        <v>45</v>
      </c>
      <c r="B704" s="42" t="n">
        <v>-20</v>
      </c>
      <c r="C704" s="42" t="n">
        <v>3</v>
      </c>
      <c r="D704" s="42" t="n">
        <v>74290918</v>
      </c>
      <c r="E704" s="43" t="n">
        <v>0.352476037041559</v>
      </c>
      <c r="F704" s="43" t="n">
        <v>0.491531220705798</v>
      </c>
      <c r="G704" s="43" t="n">
        <v>0.288107924792057</v>
      </c>
      <c r="H704" s="43" t="n">
        <v>0.326607206811518</v>
      </c>
      <c r="I704" s="42" t="n">
        <v>1</v>
      </c>
      <c r="J704" s="42" t="n">
        <v>0</v>
      </c>
      <c r="K704" s="44" t="str">
        <f aca="false">IF(AND(I704=1,J704=1),"两者都跟住",IF(AND(I704=0,J704=1),"仅 PC-TBD 跟住",IF(AND(I704=1,J704=0),"仅 VIT-LPS 跟住","都没跟住")))</f>
        <v>仅 VIT-LPS 跟住</v>
      </c>
      <c r="L704" s="45" t="n">
        <f aca="false">F704-G704</f>
        <v>0.203423295913741</v>
      </c>
      <c r="M704" s="46" t="n">
        <v>0.8643639</v>
      </c>
      <c r="N704" s="46" t="n">
        <v>0.4330595</v>
      </c>
      <c r="O704" s="46" t="n">
        <v>4.1217709</v>
      </c>
      <c r="P704" s="46" t="n">
        <v>1.2052579</v>
      </c>
      <c r="Q704" s="46" t="n">
        <v>6.1966472</v>
      </c>
      <c r="R704" s="46" t="n">
        <v>3.6085275</v>
      </c>
      <c r="S704" s="47" t="n">
        <f aca="false">M704+N704+O704</f>
        <v>5.4191943</v>
      </c>
      <c r="T704" s="47" t="n">
        <f aca="false">M704+P704</f>
        <v>2.0696218</v>
      </c>
    </row>
    <row r="705" customFormat="false" ht="15" hidden="false" customHeight="false" outlineLevel="0" collapsed="false">
      <c r="A705" s="42" t="s">
        <v>45</v>
      </c>
      <c r="B705" s="42" t="n">
        <v>-20</v>
      </c>
      <c r="C705" s="42" t="n">
        <v>4</v>
      </c>
      <c r="D705" s="42" t="n">
        <v>74290919</v>
      </c>
      <c r="E705" s="43" t="n">
        <v>0.164009556169729</v>
      </c>
      <c r="F705" s="43" t="n">
        <v>0.409591655556473</v>
      </c>
      <c r="G705" s="43" t="n">
        <v>0.374265802038507</v>
      </c>
      <c r="H705" s="43" t="n">
        <v>0.386497262366284</v>
      </c>
      <c r="I705" s="42" t="n">
        <v>1</v>
      </c>
      <c r="J705" s="42" t="n">
        <v>0</v>
      </c>
      <c r="K705" s="44" t="str">
        <f aca="false">IF(AND(I705=1,J705=1),"两者都跟住",IF(AND(I705=0,J705=1),"仅 PC-TBD 跟住",IF(AND(I705=1,J705=0),"仅 VIT-LPS 跟住","都没跟住")))</f>
        <v>仅 VIT-LPS 跟住</v>
      </c>
      <c r="L705" s="45" t="n">
        <f aca="false">F705-G705</f>
        <v>0.035325853517966</v>
      </c>
      <c r="M705" s="46" t="n">
        <v>0.8743287</v>
      </c>
      <c r="N705" s="46" t="n">
        <v>0.4053545</v>
      </c>
      <c r="O705" s="46" t="n">
        <v>4.1668957</v>
      </c>
      <c r="P705" s="46" t="n">
        <v>1.2732139</v>
      </c>
      <c r="Q705" s="46" t="n">
        <v>9.5778736</v>
      </c>
      <c r="R705" s="46" t="n">
        <v>3.6472704</v>
      </c>
      <c r="S705" s="47" t="n">
        <f aca="false">M705+N705+O705</f>
        <v>5.4465789</v>
      </c>
      <c r="T705" s="47" t="n">
        <f aca="false">M705+P705</f>
        <v>2.1475426</v>
      </c>
    </row>
    <row r="706" customFormat="false" ht="15" hidden="false" customHeight="false" outlineLevel="0" collapsed="false">
      <c r="A706" s="42" t="s">
        <v>45</v>
      </c>
      <c r="B706" s="42" t="n">
        <v>-20</v>
      </c>
      <c r="C706" s="42" t="n">
        <v>5</v>
      </c>
      <c r="D706" s="42" t="n">
        <v>74290920</v>
      </c>
      <c r="E706" s="43" t="n">
        <v>0.213255361633051</v>
      </c>
      <c r="F706" s="43" t="n">
        <v>0.509492912432978</v>
      </c>
      <c r="G706" s="43" t="n">
        <v>0.231769636904716</v>
      </c>
      <c r="H706" s="43" t="n">
        <v>0.228744113301009</v>
      </c>
      <c r="I706" s="42" t="n">
        <v>1</v>
      </c>
      <c r="J706" s="42" t="n">
        <v>0</v>
      </c>
      <c r="K706" s="44" t="str">
        <f aca="false">IF(AND(I706=1,J706=1),"两者都跟住",IF(AND(I706=0,J706=1),"仅 PC-TBD 跟住",IF(AND(I706=1,J706=0),"仅 VIT-LPS 跟住","都没跟住")))</f>
        <v>仅 VIT-LPS 跟住</v>
      </c>
      <c r="L706" s="45" t="n">
        <f aca="false">F706-G706</f>
        <v>0.277723275528262</v>
      </c>
      <c r="M706" s="46" t="n">
        <v>0.846573</v>
      </c>
      <c r="N706" s="46" t="n">
        <v>0.4066463</v>
      </c>
      <c r="O706" s="46" t="n">
        <v>4.151092</v>
      </c>
      <c r="P706" s="46" t="n">
        <v>1.1657543</v>
      </c>
      <c r="Q706" s="46" t="n">
        <v>6.1196932</v>
      </c>
      <c r="R706" s="46" t="n">
        <v>3.6394872</v>
      </c>
      <c r="S706" s="47" t="n">
        <f aca="false">M706+N706+O706</f>
        <v>5.4043113</v>
      </c>
      <c r="T706" s="47" t="n">
        <f aca="false">M706+P706</f>
        <v>2.0123273</v>
      </c>
    </row>
    <row r="707" customFormat="false" ht="15" hidden="false" customHeight="false" outlineLevel="0" collapsed="false">
      <c r="A707" s="42" t="s">
        <v>45</v>
      </c>
      <c r="B707" s="42" t="n">
        <v>-20</v>
      </c>
      <c r="C707" s="42" t="n">
        <v>6</v>
      </c>
      <c r="D707" s="42" t="n">
        <v>74290921</v>
      </c>
      <c r="E707" s="43" t="n">
        <v>0.213988270431389</v>
      </c>
      <c r="F707" s="43" t="n">
        <v>0.434635816853599</v>
      </c>
      <c r="G707" s="43" t="n">
        <v>0.597600225609476</v>
      </c>
      <c r="H707" s="43" t="n">
        <v>0.590041370365056</v>
      </c>
      <c r="I707" s="42" t="n">
        <v>1</v>
      </c>
      <c r="J707" s="42" t="n">
        <v>1</v>
      </c>
      <c r="K707" s="44" t="str">
        <f aca="false">IF(AND(I707=1,J707=1),"两者都跟住",IF(AND(I707=0,J707=1),"仅 PC-TBD 跟住",IF(AND(I707=1,J707=0),"仅 VIT-LPS 跟住","都没跟住")))</f>
        <v>两者都跟住</v>
      </c>
      <c r="L707" s="45" t="n">
        <f aca="false">F707-G707</f>
        <v>-0.162964408755877</v>
      </c>
      <c r="M707" s="46" t="n">
        <v>0.8184403</v>
      </c>
      <c r="N707" s="46" t="n">
        <v>0.4509553</v>
      </c>
      <c r="O707" s="46" t="n">
        <v>4.1718873</v>
      </c>
      <c r="P707" s="46" t="n">
        <v>1.3159353</v>
      </c>
      <c r="Q707" s="46" t="n">
        <v>5.8654972</v>
      </c>
      <c r="R707" s="46" t="n">
        <v>3.1969247</v>
      </c>
      <c r="S707" s="47" t="n">
        <f aca="false">M707+N707+O707</f>
        <v>5.4412829</v>
      </c>
      <c r="T707" s="47" t="n">
        <f aca="false">M707+P707</f>
        <v>2.1343756</v>
      </c>
    </row>
    <row r="708" customFormat="false" ht="15" hidden="false" customHeight="false" outlineLevel="0" collapsed="false">
      <c r="A708" s="42" t="s">
        <v>45</v>
      </c>
      <c r="B708" s="42" t="n">
        <v>-20</v>
      </c>
      <c r="C708" s="42" t="n">
        <v>7</v>
      </c>
      <c r="D708" s="42" t="n">
        <v>74290922</v>
      </c>
      <c r="E708" s="43" t="n">
        <v>0.15558813195446</v>
      </c>
      <c r="F708" s="43" t="n">
        <v>0.369286731069648</v>
      </c>
      <c r="G708" s="43" t="n">
        <v>0.255726248881976</v>
      </c>
      <c r="H708" s="43" t="n">
        <v>0.265967891665916</v>
      </c>
      <c r="I708" s="42" t="n">
        <v>0</v>
      </c>
      <c r="J708" s="42" t="n">
        <v>0</v>
      </c>
      <c r="K708" s="44" t="str">
        <f aca="false">IF(AND(I708=1,J708=1),"两者都跟住",IF(AND(I708=0,J708=1),"仅 PC-TBD 跟住",IF(AND(I708=1,J708=0),"仅 VIT-LPS 跟住","都没跟住")))</f>
        <v>都没跟住</v>
      </c>
      <c r="L708" s="45" t="n">
        <f aca="false">F708-G708</f>
        <v>0.113560482187672</v>
      </c>
      <c r="M708" s="46" t="n">
        <v>0.200762</v>
      </c>
      <c r="N708" s="46" t="n">
        <v>0.1370653</v>
      </c>
      <c r="O708" s="46" t="n">
        <v>0.4475803</v>
      </c>
      <c r="P708" s="46" t="n">
        <v>0.623247</v>
      </c>
      <c r="Q708" s="46" t="n">
        <v>4.3094411</v>
      </c>
      <c r="R708" s="46" t="n">
        <v>0.9814747</v>
      </c>
      <c r="S708" s="47" t="n">
        <f aca="false">M708+N708+O708</f>
        <v>0.7854076</v>
      </c>
      <c r="T708" s="47" t="n">
        <f aca="false">M708+P708</f>
        <v>0.824009</v>
      </c>
    </row>
    <row r="709" customFormat="false" ht="15" hidden="false" customHeight="false" outlineLevel="0" collapsed="false">
      <c r="A709" s="42" t="s">
        <v>45</v>
      </c>
      <c r="B709" s="42" t="n">
        <v>-20</v>
      </c>
      <c r="C709" s="42" t="n">
        <v>8</v>
      </c>
      <c r="D709" s="42" t="n">
        <v>74290923</v>
      </c>
      <c r="E709" s="43" t="n">
        <v>0.121971398952748</v>
      </c>
      <c r="F709" s="43" t="n">
        <v>0.145303237191655</v>
      </c>
      <c r="G709" s="43" t="n">
        <v>0.310922675437755</v>
      </c>
      <c r="H709" s="43" t="n">
        <v>0.339558922470623</v>
      </c>
      <c r="I709" s="42" t="n">
        <v>0</v>
      </c>
      <c r="J709" s="42" t="n">
        <v>0</v>
      </c>
      <c r="K709" s="44" t="str">
        <f aca="false">IF(AND(I709=1,J709=1),"两者都跟住",IF(AND(I709=0,J709=1),"仅 PC-TBD 跟住",IF(AND(I709=1,J709=0),"仅 VIT-LPS 跟住","都没跟住")))</f>
        <v>都没跟住</v>
      </c>
      <c r="L709" s="45" t="n">
        <f aca="false">F709-G709</f>
        <v>-0.1656194382461</v>
      </c>
      <c r="M709" s="46" t="n">
        <v>0.2732367</v>
      </c>
      <c r="N709" s="46" t="n">
        <v>0.1849995</v>
      </c>
      <c r="O709" s="46" t="n">
        <v>0.4597226</v>
      </c>
      <c r="P709" s="46" t="n">
        <v>0.7071555</v>
      </c>
      <c r="Q709" s="46" t="n">
        <v>2.5645567</v>
      </c>
      <c r="R709" s="46" t="n">
        <v>2.0947513</v>
      </c>
      <c r="S709" s="47" t="n">
        <f aca="false">M709+N709+O709</f>
        <v>0.9179588</v>
      </c>
      <c r="T709" s="47" t="n">
        <f aca="false">M709+P709</f>
        <v>0.9803922</v>
      </c>
    </row>
    <row r="710" customFormat="false" ht="15" hidden="false" customHeight="false" outlineLevel="0" collapsed="false">
      <c r="A710" s="42" t="s">
        <v>45</v>
      </c>
      <c r="B710" s="42" t="n">
        <v>-20</v>
      </c>
      <c r="C710" s="42" t="n">
        <v>9</v>
      </c>
      <c r="D710" s="42" t="n">
        <v>74290924</v>
      </c>
      <c r="E710" s="43" t="n">
        <v>0.194792227134363</v>
      </c>
      <c r="F710" s="43" t="n">
        <v>0.544904877958219</v>
      </c>
      <c r="G710" s="43" t="n">
        <v>0.624537323732656</v>
      </c>
      <c r="H710" s="43" t="n">
        <v>0.606061979448241</v>
      </c>
      <c r="I710" s="42" t="n">
        <v>1</v>
      </c>
      <c r="J710" s="42" t="n">
        <v>1</v>
      </c>
      <c r="K710" s="44" t="str">
        <f aca="false">IF(AND(I710=1,J710=1),"两者都跟住",IF(AND(I710=0,J710=1),"仅 PC-TBD 跟住",IF(AND(I710=1,J710=0),"仅 VIT-LPS 跟住","都没跟住")))</f>
        <v>两者都跟住</v>
      </c>
      <c r="L710" s="45" t="n">
        <f aca="false">F710-G710</f>
        <v>-0.0796324457744371</v>
      </c>
      <c r="M710" s="46" t="n">
        <v>0.1808498</v>
      </c>
      <c r="N710" s="46" t="n">
        <v>0.1301099</v>
      </c>
      <c r="O710" s="46" t="n">
        <v>0.3259514</v>
      </c>
      <c r="P710" s="46" t="n">
        <v>0.5608464</v>
      </c>
      <c r="Q710" s="46" t="n">
        <v>2.5128793</v>
      </c>
      <c r="R710" s="46" t="n">
        <v>2.4433086</v>
      </c>
      <c r="S710" s="47" t="n">
        <f aca="false">M710+N710+O710</f>
        <v>0.6369111</v>
      </c>
      <c r="T710" s="47" t="n">
        <f aca="false">M710+P710</f>
        <v>0.7416962</v>
      </c>
    </row>
    <row r="711" customFormat="false" ht="15" hidden="false" customHeight="false" outlineLevel="0" collapsed="false">
      <c r="A711" s="42" t="s">
        <v>45</v>
      </c>
      <c r="B711" s="42" t="n">
        <v>-20</v>
      </c>
      <c r="C711" s="42" t="n">
        <v>10</v>
      </c>
      <c r="D711" s="42" t="n">
        <v>74290925</v>
      </c>
      <c r="E711" s="43" t="n">
        <v>0.186005111927038</v>
      </c>
      <c r="F711" s="43" t="n">
        <v>0.402016974901165</v>
      </c>
      <c r="G711" s="43" t="n">
        <v>0.455592194842761</v>
      </c>
      <c r="H711" s="43" t="n">
        <v>0.431087003521583</v>
      </c>
      <c r="I711" s="42" t="n">
        <v>1</v>
      </c>
      <c r="J711" s="42" t="n">
        <v>0</v>
      </c>
      <c r="K711" s="44" t="str">
        <f aca="false">IF(AND(I711=1,J711=1),"两者都跟住",IF(AND(I711=0,J711=1),"仅 PC-TBD 跟住",IF(AND(I711=1,J711=0),"仅 VIT-LPS 跟住","都没跟住")))</f>
        <v>仅 VIT-LPS 跟住</v>
      </c>
      <c r="L711" s="45" t="n">
        <f aca="false">F711-G711</f>
        <v>-0.053575219941596</v>
      </c>
      <c r="M711" s="46" t="n">
        <v>0.1754841</v>
      </c>
      <c r="N711" s="46" t="n">
        <v>0.1146581</v>
      </c>
      <c r="O711" s="46" t="n">
        <v>0.3442778</v>
      </c>
      <c r="P711" s="46" t="n">
        <v>0.5086144</v>
      </c>
      <c r="Q711" s="46" t="n">
        <v>5.9235893</v>
      </c>
      <c r="R711" s="46" t="n">
        <v>1.4460344</v>
      </c>
      <c r="S711" s="47" t="n">
        <f aca="false">M711+N711+O711</f>
        <v>0.63442</v>
      </c>
      <c r="T711" s="47" t="n">
        <f aca="false">M711+P711</f>
        <v>0.6840985</v>
      </c>
    </row>
    <row r="712" customFormat="false" ht="15" hidden="false" customHeight="false" outlineLevel="0" collapsed="false">
      <c r="A712" s="42" t="s">
        <v>45</v>
      </c>
      <c r="B712" s="42" t="n">
        <v>-20</v>
      </c>
      <c r="C712" s="42" t="n">
        <v>11</v>
      </c>
      <c r="D712" s="42" t="n">
        <v>74290926</v>
      </c>
      <c r="E712" s="43" t="n">
        <v>0.143609298197035</v>
      </c>
      <c r="F712" s="43" t="n">
        <v>0.176741649264837</v>
      </c>
      <c r="G712" s="43" t="n">
        <v>0.192242421931395</v>
      </c>
      <c r="H712" s="43" t="n">
        <v>0.206822562386399</v>
      </c>
      <c r="I712" s="42" t="n">
        <v>0</v>
      </c>
      <c r="J712" s="42" t="n">
        <v>0</v>
      </c>
      <c r="K712" s="44" t="str">
        <f aca="false">IF(AND(I712=1,J712=1),"两者都跟住",IF(AND(I712=0,J712=1),"仅 PC-TBD 跟住",IF(AND(I712=1,J712=0),"仅 VIT-LPS 跟住","都没跟住")))</f>
        <v>都没跟住</v>
      </c>
      <c r="L712" s="45" t="n">
        <f aca="false">F712-G712</f>
        <v>-0.015500772666558</v>
      </c>
      <c r="M712" s="46" t="n">
        <v>0.3103556</v>
      </c>
      <c r="N712" s="46" t="n">
        <v>0.142614</v>
      </c>
      <c r="O712" s="46" t="n">
        <v>0.4024634</v>
      </c>
      <c r="P712" s="46" t="n">
        <v>0.802454</v>
      </c>
      <c r="Q712" s="46" t="n">
        <v>7.9791055</v>
      </c>
      <c r="R712" s="46" t="n">
        <v>3.0701092</v>
      </c>
      <c r="S712" s="47" t="n">
        <f aca="false">M712+N712+O712</f>
        <v>0.855433</v>
      </c>
      <c r="T712" s="47" t="n">
        <f aca="false">M712+P712</f>
        <v>1.1128096</v>
      </c>
    </row>
    <row r="713" customFormat="false" ht="15" hidden="false" customHeight="false" outlineLevel="0" collapsed="false">
      <c r="A713" s="42" t="s">
        <v>45</v>
      </c>
      <c r="B713" s="42" t="n">
        <v>-20</v>
      </c>
      <c r="C713" s="42" t="n">
        <v>12</v>
      </c>
      <c r="D713" s="42" t="n">
        <v>74290927</v>
      </c>
      <c r="E713" s="43" t="n">
        <v>0.0933549657848465</v>
      </c>
      <c r="F713" s="43" t="n">
        <v>0.162129990513487</v>
      </c>
      <c r="G713" s="43" t="n">
        <v>0.403273795601883</v>
      </c>
      <c r="H713" s="43" t="n">
        <v>0.396139337024725</v>
      </c>
      <c r="I713" s="42" t="n">
        <v>1</v>
      </c>
      <c r="J713" s="42" t="n">
        <v>0</v>
      </c>
      <c r="K713" s="44" t="str">
        <f aca="false">IF(AND(I713=1,J713=1),"两者都跟住",IF(AND(I713=0,J713=1),"仅 PC-TBD 跟住",IF(AND(I713=1,J713=0),"仅 VIT-LPS 跟住","都没跟住")))</f>
        <v>仅 VIT-LPS 跟住</v>
      </c>
      <c r="L713" s="45" t="n">
        <f aca="false">F713-G713</f>
        <v>-0.241143805088396</v>
      </c>
      <c r="M713" s="46" t="n">
        <v>0.3229979</v>
      </c>
      <c r="N713" s="46" t="n">
        <v>0.1463646</v>
      </c>
      <c r="O713" s="46" t="n">
        <v>0.3779052</v>
      </c>
      <c r="P713" s="46" t="n">
        <v>1.0461731</v>
      </c>
      <c r="Q713" s="46" t="n">
        <v>8.0699134</v>
      </c>
      <c r="R713" s="46" t="n">
        <v>3.085959</v>
      </c>
      <c r="S713" s="47" t="n">
        <f aca="false">M713+N713+O713</f>
        <v>0.8472677</v>
      </c>
      <c r="T713" s="47" t="n">
        <f aca="false">M713+P713</f>
        <v>1.369171</v>
      </c>
    </row>
    <row r="714" customFormat="false" ht="15" hidden="false" customHeight="false" outlineLevel="0" collapsed="false">
      <c r="A714" s="42" t="s">
        <v>45</v>
      </c>
      <c r="B714" s="42" t="n">
        <v>-20</v>
      </c>
      <c r="C714" s="42" t="n">
        <v>13</v>
      </c>
      <c r="D714" s="42" t="n">
        <v>74290928</v>
      </c>
      <c r="E714" s="43" t="n">
        <v>0.169588409679198</v>
      </c>
      <c r="F714" s="43" t="n">
        <v>0.169545525379221</v>
      </c>
      <c r="G714" s="43" t="n">
        <v>0.185726909825174</v>
      </c>
      <c r="H714" s="43" t="n">
        <v>0.187592197126579</v>
      </c>
      <c r="I714" s="42" t="n">
        <v>0</v>
      </c>
      <c r="J714" s="42" t="n">
        <v>0</v>
      </c>
      <c r="K714" s="44" t="str">
        <f aca="false">IF(AND(I714=1,J714=1),"两者都跟住",IF(AND(I714=0,J714=1),"仅 PC-TBD 跟住",IF(AND(I714=1,J714=0),"仅 VIT-LPS 跟住","都没跟住")))</f>
        <v>都没跟住</v>
      </c>
      <c r="L714" s="45" t="n">
        <f aca="false">F714-G714</f>
        <v>-0.016181384445953</v>
      </c>
      <c r="M714" s="46" t="n">
        <v>0.3003263</v>
      </c>
      <c r="N714" s="46" t="n">
        <v>0.154831</v>
      </c>
      <c r="O714" s="46" t="n">
        <v>0.3916475</v>
      </c>
      <c r="P714" s="46" t="n">
        <v>1.0942788</v>
      </c>
      <c r="Q714" s="46" t="n">
        <v>7.0921264</v>
      </c>
      <c r="R714" s="46" t="n">
        <v>3.3997472</v>
      </c>
      <c r="S714" s="47" t="n">
        <f aca="false">M714+N714+O714</f>
        <v>0.8468048</v>
      </c>
      <c r="T714" s="47" t="n">
        <f aca="false">M714+P714</f>
        <v>1.3946051</v>
      </c>
    </row>
    <row r="715" customFormat="false" ht="15" hidden="false" customHeight="false" outlineLevel="0" collapsed="false">
      <c r="A715" s="42" t="s">
        <v>45</v>
      </c>
      <c r="B715" s="42" t="n">
        <v>-20</v>
      </c>
      <c r="C715" s="42" t="n">
        <v>14</v>
      </c>
      <c r="D715" s="42" t="n">
        <v>74290929</v>
      </c>
      <c r="E715" s="43" t="n">
        <v>0.221182366145339</v>
      </c>
      <c r="F715" s="43" t="n">
        <v>0.377582258286191</v>
      </c>
      <c r="G715" s="43" t="n">
        <v>0.567175864964027</v>
      </c>
      <c r="H715" s="43" t="n">
        <v>0.562051029515257</v>
      </c>
      <c r="I715" s="42" t="n">
        <v>1</v>
      </c>
      <c r="J715" s="42" t="n">
        <v>1</v>
      </c>
      <c r="K715" s="44" t="str">
        <f aca="false">IF(AND(I715=1,J715=1),"两者都跟住",IF(AND(I715=0,J715=1),"仅 PC-TBD 跟住",IF(AND(I715=1,J715=0),"仅 VIT-LPS 跟住","都没跟住")))</f>
        <v>两者都跟住</v>
      </c>
      <c r="L715" s="45" t="n">
        <f aca="false">F715-G715</f>
        <v>-0.189593606677836</v>
      </c>
      <c r="M715" s="46" t="n">
        <v>0.3253121</v>
      </c>
      <c r="N715" s="46" t="n">
        <v>0.1396977</v>
      </c>
      <c r="O715" s="46" t="n">
        <v>0.3553627</v>
      </c>
      <c r="P715" s="46" t="n">
        <v>1.0177901</v>
      </c>
      <c r="Q715" s="46" t="n">
        <v>3.1395647</v>
      </c>
      <c r="R715" s="46" t="n">
        <v>2.7014272</v>
      </c>
      <c r="S715" s="47" t="n">
        <f aca="false">M715+N715+O715</f>
        <v>0.8203725</v>
      </c>
      <c r="T715" s="47" t="n">
        <f aca="false">M715+P715</f>
        <v>1.3431022</v>
      </c>
    </row>
    <row r="716" customFormat="false" ht="15" hidden="false" customHeight="false" outlineLevel="0" collapsed="false">
      <c r="A716" s="42" t="s">
        <v>45</v>
      </c>
      <c r="B716" s="42" t="n">
        <v>-20</v>
      </c>
      <c r="C716" s="42" t="n">
        <v>15</v>
      </c>
      <c r="D716" s="42" t="n">
        <v>74290930</v>
      </c>
      <c r="E716" s="43" t="n">
        <v>0.176131077580949</v>
      </c>
      <c r="F716" s="43" t="n">
        <v>0.247354321851542</v>
      </c>
      <c r="G716" s="43" t="n">
        <v>0.22866084494023</v>
      </c>
      <c r="H716" s="43" t="n">
        <v>0.241258635958484</v>
      </c>
      <c r="I716" s="42" t="n">
        <v>0</v>
      </c>
      <c r="J716" s="42" t="n">
        <v>1</v>
      </c>
      <c r="K716" s="44" t="str">
        <f aca="false">IF(AND(I716=1,J716=1),"两者都跟住",IF(AND(I716=0,J716=1),"仅 PC-TBD 跟住",IF(AND(I716=1,J716=0),"仅 VIT-LPS 跟住","都没跟住")))</f>
        <v>仅 PC-TBD 跟住</v>
      </c>
      <c r="L716" s="45" t="n">
        <f aca="false">F716-G716</f>
        <v>0.018693476911312</v>
      </c>
      <c r="M716" s="46" t="n">
        <v>0.3234932</v>
      </c>
      <c r="N716" s="46" t="n">
        <v>0.168846</v>
      </c>
      <c r="O716" s="46" t="n">
        <v>0.4471737</v>
      </c>
      <c r="P716" s="46" t="n">
        <v>0.969465</v>
      </c>
      <c r="Q716" s="46" t="n">
        <v>3.3183934</v>
      </c>
      <c r="R716" s="46" t="n">
        <v>3.1463724</v>
      </c>
      <c r="S716" s="47" t="n">
        <f aca="false">M716+N716+O716</f>
        <v>0.9395129</v>
      </c>
      <c r="T716" s="47" t="n">
        <f aca="false">M716+P716</f>
        <v>1.2929582</v>
      </c>
    </row>
    <row r="717" customFormat="false" ht="15" hidden="false" customHeight="false" outlineLevel="0" collapsed="false">
      <c r="A717" s="42" t="s">
        <v>45</v>
      </c>
      <c r="B717" s="42" t="n">
        <v>-20</v>
      </c>
      <c r="C717" s="42" t="n">
        <v>16</v>
      </c>
      <c r="D717" s="42" t="n">
        <v>74290931</v>
      </c>
      <c r="E717" s="43" t="n">
        <v>0.209897142276902</v>
      </c>
      <c r="F717" s="43" t="n">
        <v>0.36883319693171</v>
      </c>
      <c r="G717" s="43" t="n">
        <v>0.287182639989958</v>
      </c>
      <c r="H717" s="43" t="n">
        <v>0.323815897814163</v>
      </c>
      <c r="I717" s="42" t="n">
        <v>1</v>
      </c>
      <c r="J717" s="42" t="n">
        <v>0</v>
      </c>
      <c r="K717" s="44" t="str">
        <f aca="false">IF(AND(I717=1,J717=1),"两者都跟住",IF(AND(I717=0,J717=1),"仅 PC-TBD 跟住",IF(AND(I717=1,J717=0),"仅 VIT-LPS 跟住","都没跟住")))</f>
        <v>仅 VIT-LPS 跟住</v>
      </c>
      <c r="L717" s="45" t="n">
        <f aca="false">F717-G717</f>
        <v>0.081650556941752</v>
      </c>
      <c r="M717" s="46" t="n">
        <v>0.3029871</v>
      </c>
      <c r="N717" s="46" t="n">
        <v>0.1609899</v>
      </c>
      <c r="O717" s="46" t="n">
        <v>0.4336761</v>
      </c>
      <c r="P717" s="46" t="n">
        <v>0.7964315</v>
      </c>
      <c r="Q717" s="46" t="n">
        <v>6.1393254</v>
      </c>
      <c r="R717" s="46" t="n">
        <v>5.6772022</v>
      </c>
      <c r="S717" s="47" t="n">
        <f aca="false">M717+N717+O717</f>
        <v>0.8976531</v>
      </c>
      <c r="T717" s="47" t="n">
        <f aca="false">M717+P717</f>
        <v>1.0994186</v>
      </c>
    </row>
    <row r="718" customFormat="false" ht="15" hidden="false" customHeight="false" outlineLevel="0" collapsed="false">
      <c r="A718" s="42" t="s">
        <v>45</v>
      </c>
      <c r="B718" s="42" t="n">
        <v>-20</v>
      </c>
      <c r="C718" s="42" t="n">
        <v>17</v>
      </c>
      <c r="D718" s="42" t="n">
        <v>74290932</v>
      </c>
      <c r="E718" s="43" t="n">
        <v>0.282316416039326</v>
      </c>
      <c r="F718" s="43" t="n">
        <v>0.664548537857232</v>
      </c>
      <c r="G718" s="43" t="n">
        <v>0.57767346424305</v>
      </c>
      <c r="H718" s="43" t="n">
        <v>0.622286268839117</v>
      </c>
      <c r="I718" s="42" t="n">
        <v>1</v>
      </c>
      <c r="J718" s="42" t="n">
        <v>1</v>
      </c>
      <c r="K718" s="44" t="str">
        <f aca="false">IF(AND(I718=1,J718=1),"两者都跟住",IF(AND(I718=0,J718=1),"仅 PC-TBD 跟住",IF(AND(I718=1,J718=0),"仅 VIT-LPS 跟住","都没跟住")))</f>
        <v>两者都跟住</v>
      </c>
      <c r="L718" s="45" t="n">
        <f aca="false">F718-G718</f>
        <v>0.086875073614182</v>
      </c>
      <c r="M718" s="46" t="n">
        <v>0.1961747</v>
      </c>
      <c r="N718" s="46" t="n">
        <v>0.1419664</v>
      </c>
      <c r="O718" s="46" t="n">
        <v>0.3410675</v>
      </c>
      <c r="P718" s="46" t="n">
        <v>0.5215727</v>
      </c>
      <c r="Q718" s="46" t="n">
        <v>2.3254846</v>
      </c>
      <c r="R718" s="46" t="n">
        <v>2.4688486</v>
      </c>
      <c r="S718" s="47" t="n">
        <f aca="false">M718+N718+O718</f>
        <v>0.6792086</v>
      </c>
      <c r="T718" s="47" t="n">
        <f aca="false">M718+P718</f>
        <v>0.7177474</v>
      </c>
    </row>
    <row r="719" customFormat="false" ht="15" hidden="false" customHeight="false" outlineLevel="0" collapsed="false">
      <c r="A719" s="42" t="s">
        <v>45</v>
      </c>
      <c r="B719" s="42" t="n">
        <v>-20</v>
      </c>
      <c r="C719" s="42" t="n">
        <v>18</v>
      </c>
      <c r="D719" s="42" t="n">
        <v>74290933</v>
      </c>
      <c r="E719" s="43" t="n">
        <v>0.149251045536006</v>
      </c>
      <c r="F719" s="43" t="n">
        <v>0.265658887125088</v>
      </c>
      <c r="G719" s="43" t="n">
        <v>0.179035819202836</v>
      </c>
      <c r="H719" s="43" t="n">
        <v>0.187183591716034</v>
      </c>
      <c r="I719" s="42" t="n">
        <v>0</v>
      </c>
      <c r="J719" s="42" t="n">
        <v>0</v>
      </c>
      <c r="K719" s="44" t="str">
        <f aca="false">IF(AND(I719=1,J719=1),"两者都跟住",IF(AND(I719=0,J719=1),"仅 PC-TBD 跟住",IF(AND(I719=1,J719=0),"仅 VIT-LPS 跟住","都没跟住")))</f>
        <v>都没跟住</v>
      </c>
      <c r="L719" s="45" t="n">
        <f aca="false">F719-G719</f>
        <v>0.086623067922252</v>
      </c>
      <c r="M719" s="46" t="n">
        <v>0.139285</v>
      </c>
      <c r="N719" s="46" t="n">
        <v>0.0868246</v>
      </c>
      <c r="O719" s="46" t="n">
        <v>0.3298986</v>
      </c>
      <c r="P719" s="46" t="n">
        <v>0.6346162</v>
      </c>
      <c r="Q719" s="46" t="n">
        <v>2.3065444</v>
      </c>
      <c r="R719" s="46" t="n">
        <v>2.4073291</v>
      </c>
      <c r="S719" s="47" t="n">
        <f aca="false">M719+N719+O719</f>
        <v>0.5560082</v>
      </c>
      <c r="T719" s="47" t="n">
        <f aca="false">M719+P719</f>
        <v>0.7739012</v>
      </c>
    </row>
    <row r="720" customFormat="false" ht="15" hidden="false" customHeight="false" outlineLevel="0" collapsed="false">
      <c r="A720" s="42" t="s">
        <v>45</v>
      </c>
      <c r="B720" s="42" t="n">
        <v>-20</v>
      </c>
      <c r="C720" s="42" t="n">
        <v>19</v>
      </c>
      <c r="D720" s="42" t="n">
        <v>74290934</v>
      </c>
      <c r="E720" s="43" t="n">
        <v>0.0231243140345217</v>
      </c>
      <c r="F720" s="43" t="n">
        <v>0.0435796511895108</v>
      </c>
      <c r="G720" s="43" t="n">
        <v>0.139269902536363</v>
      </c>
      <c r="H720" s="43" t="n">
        <v>0.159839053323804</v>
      </c>
      <c r="I720" s="42" t="n">
        <v>0</v>
      </c>
      <c r="J720" s="42" t="n">
        <v>0</v>
      </c>
      <c r="K720" s="44" t="str">
        <f aca="false">IF(AND(I720=1,J720=1),"两者都跟住",IF(AND(I720=0,J720=1),"仅 PC-TBD 跟住",IF(AND(I720=1,J720=0),"仅 VIT-LPS 跟住","都没跟住")))</f>
        <v>都没跟住</v>
      </c>
      <c r="L720" s="45" t="n">
        <f aca="false">F720-G720</f>
        <v>-0.0956902513468522</v>
      </c>
      <c r="M720" s="46" t="n">
        <v>0.1863273</v>
      </c>
      <c r="N720" s="46" t="n">
        <v>0.1451666</v>
      </c>
      <c r="O720" s="46" t="n">
        <v>0.4264573</v>
      </c>
      <c r="P720" s="46" t="n">
        <v>0.5858016</v>
      </c>
      <c r="Q720" s="46" t="n">
        <v>6.5815981</v>
      </c>
      <c r="R720" s="46" t="n">
        <v>3.2310006</v>
      </c>
      <c r="S720" s="47" t="n">
        <f aca="false">M720+N720+O720</f>
        <v>0.7579512</v>
      </c>
      <c r="T720" s="47" t="n">
        <f aca="false">M720+P720</f>
        <v>0.7721289</v>
      </c>
    </row>
    <row r="721" customFormat="false" ht="15" hidden="false" customHeight="false" outlineLevel="0" collapsed="false">
      <c r="A721" s="42" t="s">
        <v>45</v>
      </c>
      <c r="B721" s="42" t="n">
        <v>-20</v>
      </c>
      <c r="C721" s="42" t="n">
        <v>20</v>
      </c>
      <c r="D721" s="42" t="n">
        <v>74290935</v>
      </c>
      <c r="E721" s="43" t="n">
        <v>0.130389508873111</v>
      </c>
      <c r="F721" s="43" t="n">
        <v>0.23737404077581</v>
      </c>
      <c r="G721" s="43" t="n">
        <v>0.195418180692362</v>
      </c>
      <c r="H721" s="43" t="n">
        <v>0.220916231671003</v>
      </c>
      <c r="I721" s="42" t="n">
        <v>0</v>
      </c>
      <c r="J721" s="42" t="n">
        <v>0</v>
      </c>
      <c r="K721" s="44" t="str">
        <f aca="false">IF(AND(I721=1,J721=1),"两者都跟住",IF(AND(I721=0,J721=1),"仅 PC-TBD 跟住",IF(AND(I721=1,J721=0),"仅 VIT-LPS 跟住","都没跟住")))</f>
        <v>都没跟住</v>
      </c>
      <c r="L721" s="45" t="n">
        <f aca="false">F721-G721</f>
        <v>0.041955860083448</v>
      </c>
      <c r="M721" s="46" t="n">
        <v>0.1842349</v>
      </c>
      <c r="N721" s="46" t="n">
        <v>0.1292998</v>
      </c>
      <c r="O721" s="46" t="n">
        <v>0.3235479</v>
      </c>
      <c r="P721" s="46" t="n">
        <v>0.6884532</v>
      </c>
      <c r="Q721" s="46" t="n">
        <v>6.4273003</v>
      </c>
      <c r="R721" s="46" t="n">
        <v>2.6660513</v>
      </c>
      <c r="S721" s="47" t="n">
        <f aca="false">M721+N721+O721</f>
        <v>0.6370826</v>
      </c>
      <c r="T721" s="47" t="n">
        <f aca="false">M721+P721</f>
        <v>0.8726881</v>
      </c>
    </row>
    <row r="722" customFormat="false" ht="15" hidden="false" customHeight="false" outlineLevel="0" collapsed="false">
      <c r="A722" s="42" t="s">
        <v>45</v>
      </c>
      <c r="B722" s="42" t="n">
        <v>-20</v>
      </c>
      <c r="C722" s="42" t="n">
        <v>21</v>
      </c>
      <c r="D722" s="42" t="n">
        <v>74290936</v>
      </c>
      <c r="E722" s="43" t="n">
        <v>0.200956593247143</v>
      </c>
      <c r="F722" s="43" t="n">
        <v>0.509700967440967</v>
      </c>
      <c r="G722" s="43" t="n">
        <v>0.450723847359807</v>
      </c>
      <c r="H722" s="43" t="n">
        <v>0.477685181125812</v>
      </c>
      <c r="I722" s="42" t="n">
        <v>1</v>
      </c>
      <c r="J722" s="42" t="n">
        <v>0</v>
      </c>
      <c r="K722" s="44" t="str">
        <f aca="false">IF(AND(I722=1,J722=1),"两者都跟住",IF(AND(I722=0,J722=1),"仅 PC-TBD 跟住",IF(AND(I722=1,J722=0),"仅 VIT-LPS 跟住","都没跟住")))</f>
        <v>仅 VIT-LPS 跟住</v>
      </c>
      <c r="L722" s="45" t="n">
        <f aca="false">F722-G722</f>
        <v>0.0589771200811601</v>
      </c>
      <c r="M722" s="46" t="n">
        <v>0.3584442</v>
      </c>
      <c r="N722" s="46" t="n">
        <v>0.134724</v>
      </c>
      <c r="O722" s="46" t="n">
        <v>0.6612472</v>
      </c>
      <c r="P722" s="46" t="n">
        <v>0.8892664</v>
      </c>
      <c r="Q722" s="46" t="n">
        <v>4.0664823</v>
      </c>
      <c r="R722" s="46" t="n">
        <v>3.3076646</v>
      </c>
      <c r="S722" s="47" t="n">
        <f aca="false">M722+N722+O722</f>
        <v>1.1544154</v>
      </c>
      <c r="T722" s="47" t="n">
        <f aca="false">M722+P722</f>
        <v>1.2477106</v>
      </c>
    </row>
    <row r="723" customFormat="false" ht="15" hidden="false" customHeight="false" outlineLevel="0" collapsed="false">
      <c r="A723" s="42" t="s">
        <v>45</v>
      </c>
      <c r="B723" s="42" t="n">
        <v>-20</v>
      </c>
      <c r="C723" s="42" t="n">
        <v>22</v>
      </c>
      <c r="D723" s="42" t="n">
        <v>74290937</v>
      </c>
      <c r="E723" s="43" t="n">
        <v>0.273970310831362</v>
      </c>
      <c r="F723" s="43" t="n">
        <v>0.538643796314393</v>
      </c>
      <c r="G723" s="43" t="n">
        <v>0.480090063437386</v>
      </c>
      <c r="H723" s="43" t="n">
        <v>0.481876074932392</v>
      </c>
      <c r="I723" s="42" t="n">
        <v>1</v>
      </c>
      <c r="J723" s="42" t="n">
        <v>0</v>
      </c>
      <c r="K723" s="44" t="str">
        <f aca="false">IF(AND(I723=1,J723=1),"两者都跟住",IF(AND(I723=0,J723=1),"仅 PC-TBD 跟住",IF(AND(I723=1,J723=0),"仅 VIT-LPS 跟住","都没跟住")))</f>
        <v>仅 VIT-LPS 跟住</v>
      </c>
      <c r="L723" s="45" t="n">
        <f aca="false">F723-G723</f>
        <v>0.0585537328770069</v>
      </c>
      <c r="M723" s="46" t="n">
        <v>0.3580598</v>
      </c>
      <c r="N723" s="46" t="n">
        <v>0.1494681</v>
      </c>
      <c r="O723" s="46" t="n">
        <v>0.4945292</v>
      </c>
      <c r="P723" s="46" t="n">
        <v>0.8690615</v>
      </c>
      <c r="Q723" s="46" t="n">
        <v>3.8282834</v>
      </c>
      <c r="R723" s="46" t="n">
        <v>3.4050619</v>
      </c>
      <c r="S723" s="47" t="n">
        <f aca="false">M723+N723+O723</f>
        <v>1.0020571</v>
      </c>
      <c r="T723" s="47" t="n">
        <f aca="false">M723+P723</f>
        <v>1.2271213</v>
      </c>
    </row>
    <row r="724" customFormat="false" ht="15" hidden="false" customHeight="false" outlineLevel="0" collapsed="false">
      <c r="A724" s="42" t="s">
        <v>45</v>
      </c>
      <c r="B724" s="42" t="n">
        <v>-20</v>
      </c>
      <c r="C724" s="42" t="n">
        <v>23</v>
      </c>
      <c r="D724" s="42" t="n">
        <v>74290938</v>
      </c>
      <c r="E724" s="43" t="n">
        <v>0.386479551220297</v>
      </c>
      <c r="F724" s="43" t="n">
        <v>0.590457217420275</v>
      </c>
      <c r="G724" s="43" t="n">
        <v>0.682263373602393</v>
      </c>
      <c r="H724" s="43" t="n">
        <v>0.66560269124498</v>
      </c>
      <c r="I724" s="42" t="n">
        <v>1</v>
      </c>
      <c r="J724" s="42" t="n">
        <v>1</v>
      </c>
      <c r="K724" s="44" t="str">
        <f aca="false">IF(AND(I724=1,J724=1),"两者都跟住",IF(AND(I724=0,J724=1),"仅 PC-TBD 跟住",IF(AND(I724=1,J724=0),"仅 VIT-LPS 跟住","都没跟住")))</f>
        <v>两者都跟住</v>
      </c>
      <c r="L724" s="45" t="n">
        <f aca="false">F724-G724</f>
        <v>-0.091806156182118</v>
      </c>
      <c r="M724" s="46" t="n">
        <v>0.3875377</v>
      </c>
      <c r="N724" s="46" t="n">
        <v>0.1602273</v>
      </c>
      <c r="O724" s="46" t="n">
        <v>0.662751</v>
      </c>
      <c r="P724" s="46" t="n">
        <v>0.7825143</v>
      </c>
      <c r="Q724" s="46" t="n">
        <v>3.9372853</v>
      </c>
      <c r="R724" s="46" t="n">
        <v>3.3502891</v>
      </c>
      <c r="S724" s="47" t="n">
        <f aca="false">M724+N724+O724</f>
        <v>1.210516</v>
      </c>
      <c r="T724" s="47" t="n">
        <f aca="false">M724+P724</f>
        <v>1.170052</v>
      </c>
    </row>
    <row r="725" customFormat="false" ht="15" hidden="false" customHeight="false" outlineLevel="0" collapsed="false">
      <c r="A725" s="42" t="s">
        <v>45</v>
      </c>
      <c r="B725" s="42" t="n">
        <v>-20</v>
      </c>
      <c r="C725" s="42" t="n">
        <v>24</v>
      </c>
      <c r="D725" s="42" t="n">
        <v>74290939</v>
      </c>
      <c r="E725" s="43" t="n">
        <v>0.198650788261866</v>
      </c>
      <c r="F725" s="43" t="n">
        <v>0.408131823968493</v>
      </c>
      <c r="G725" s="43" t="n">
        <v>0.445055384206607</v>
      </c>
      <c r="H725" s="43" t="n">
        <v>0.432823281987174</v>
      </c>
      <c r="I725" s="42" t="n">
        <v>1</v>
      </c>
      <c r="J725" s="42" t="n">
        <v>1</v>
      </c>
      <c r="K725" s="44" t="str">
        <f aca="false">IF(AND(I725=1,J725=1),"两者都跟住",IF(AND(I725=0,J725=1),"仅 PC-TBD 跟住",IF(AND(I725=1,J725=0),"仅 VIT-LPS 跟住","都没跟住")))</f>
        <v>两者都跟住</v>
      </c>
      <c r="L725" s="45" t="n">
        <f aca="false">F725-G725</f>
        <v>-0.036923560238114</v>
      </c>
      <c r="M725" s="46" t="n">
        <v>0.3716434</v>
      </c>
      <c r="N725" s="46" t="n">
        <v>0.1632787</v>
      </c>
      <c r="O725" s="46" t="n">
        <v>0.6783537</v>
      </c>
      <c r="P725" s="46" t="n">
        <v>0.8438765</v>
      </c>
      <c r="Q725" s="46" t="n">
        <v>3.7762404</v>
      </c>
      <c r="R725" s="46" t="n">
        <v>3.4561355</v>
      </c>
      <c r="S725" s="47" t="n">
        <f aca="false">M725+N725+O725</f>
        <v>1.2132758</v>
      </c>
      <c r="T725" s="47" t="n">
        <f aca="false">M725+P725</f>
        <v>1.2155199</v>
      </c>
    </row>
    <row r="726" customFormat="false" ht="15" hidden="false" customHeight="false" outlineLevel="0" collapsed="false">
      <c r="A726" s="42" t="s">
        <v>45</v>
      </c>
      <c r="B726" s="42" t="n">
        <v>-20</v>
      </c>
      <c r="C726" s="42" t="n">
        <v>25</v>
      </c>
      <c r="D726" s="42" t="n">
        <v>74290940</v>
      </c>
      <c r="E726" s="43" t="n">
        <v>0.189745560562399</v>
      </c>
      <c r="F726" s="43" t="n">
        <v>0.241508827947105</v>
      </c>
      <c r="G726" s="43" t="n">
        <v>0.27818243695365</v>
      </c>
      <c r="H726" s="43" t="n">
        <v>0.301394613592587</v>
      </c>
      <c r="I726" s="42" t="n">
        <v>1</v>
      </c>
      <c r="J726" s="42" t="n">
        <v>0</v>
      </c>
      <c r="K726" s="44" t="str">
        <f aca="false">IF(AND(I726=1,J726=1),"两者都跟住",IF(AND(I726=0,J726=1),"仅 PC-TBD 跟住",IF(AND(I726=1,J726=0),"仅 VIT-LPS 跟住","都没跟住")))</f>
        <v>仅 VIT-LPS 跟住</v>
      </c>
      <c r="L726" s="45" t="n">
        <f aca="false">F726-G726</f>
        <v>-0.036673609006545</v>
      </c>
      <c r="M726" s="46" t="n">
        <v>0.4050736</v>
      </c>
      <c r="N726" s="46" t="n">
        <v>0.1328361</v>
      </c>
      <c r="O726" s="46" t="n">
        <v>0.4430249</v>
      </c>
      <c r="P726" s="46" t="n">
        <v>0.8014469</v>
      </c>
      <c r="Q726" s="46" t="n">
        <v>4.2212877</v>
      </c>
      <c r="R726" s="46" t="n">
        <v>3.2509256</v>
      </c>
      <c r="S726" s="47" t="n">
        <f aca="false">M726+N726+O726</f>
        <v>0.9809346</v>
      </c>
      <c r="T726" s="47" t="n">
        <f aca="false">M726+P726</f>
        <v>1.2065205</v>
      </c>
    </row>
    <row r="727" customFormat="false" ht="15" hidden="false" customHeight="false" outlineLevel="0" collapsed="false">
      <c r="A727" s="42" t="s">
        <v>45</v>
      </c>
      <c r="B727" s="42" t="n">
        <v>-20</v>
      </c>
      <c r="C727" s="42" t="n">
        <v>26</v>
      </c>
      <c r="D727" s="42" t="n">
        <v>74290941</v>
      </c>
      <c r="E727" s="43" t="n">
        <v>0.167277305863496</v>
      </c>
      <c r="F727" s="43" t="n">
        <v>0.346935154386334</v>
      </c>
      <c r="G727" s="43" t="n">
        <v>0.351718973788374</v>
      </c>
      <c r="H727" s="43" t="n">
        <v>0.411122313166522</v>
      </c>
      <c r="I727" s="42" t="n">
        <v>0</v>
      </c>
      <c r="J727" s="42" t="n">
        <v>0</v>
      </c>
      <c r="K727" s="44" t="str">
        <f aca="false">IF(AND(I727=1,J727=1),"两者都跟住",IF(AND(I727=0,J727=1),"仅 PC-TBD 跟住",IF(AND(I727=1,J727=0),"仅 VIT-LPS 跟住","都没跟住")))</f>
        <v>都没跟住</v>
      </c>
      <c r="L727" s="45" t="n">
        <f aca="false">F727-G727</f>
        <v>-0.00478381940204004</v>
      </c>
      <c r="M727" s="46" t="n">
        <v>0.306189</v>
      </c>
      <c r="N727" s="46" t="n">
        <v>0.1530265</v>
      </c>
      <c r="O727" s="46" t="n">
        <v>0.4241202</v>
      </c>
      <c r="P727" s="46" t="n">
        <v>0.9476508</v>
      </c>
      <c r="Q727" s="46" t="n">
        <v>9.6315063</v>
      </c>
      <c r="R727" s="46" t="n">
        <v>2.7208844</v>
      </c>
      <c r="S727" s="47" t="n">
        <f aca="false">M727+N727+O727</f>
        <v>0.8833357</v>
      </c>
      <c r="T727" s="47" t="n">
        <f aca="false">M727+P727</f>
        <v>1.2538398</v>
      </c>
    </row>
    <row r="728" customFormat="false" ht="15" hidden="false" customHeight="false" outlineLevel="0" collapsed="false">
      <c r="A728" s="42" t="s">
        <v>45</v>
      </c>
      <c r="B728" s="42" t="n">
        <v>-20</v>
      </c>
      <c r="C728" s="42" t="n">
        <v>27</v>
      </c>
      <c r="D728" s="42" t="n">
        <v>74290942</v>
      </c>
      <c r="E728" s="43" t="n">
        <v>0.161293717760676</v>
      </c>
      <c r="F728" s="43" t="n">
        <v>0.236790707236118</v>
      </c>
      <c r="G728" s="43" t="n">
        <v>0.381157012179094</v>
      </c>
      <c r="H728" s="43" t="n">
        <v>0.36136634929414</v>
      </c>
      <c r="I728" s="42" t="n">
        <v>0</v>
      </c>
      <c r="J728" s="42" t="n">
        <v>0</v>
      </c>
      <c r="K728" s="44" t="str">
        <f aca="false">IF(AND(I728=1,J728=1),"两者都跟住",IF(AND(I728=0,J728=1),"仅 PC-TBD 跟住",IF(AND(I728=1,J728=0),"仅 VIT-LPS 跟住","都没跟住")))</f>
        <v>都没跟住</v>
      </c>
      <c r="L728" s="45" t="n">
        <f aca="false">F728-G728</f>
        <v>-0.144366304942976</v>
      </c>
      <c r="M728" s="46" t="n">
        <v>0.1958444</v>
      </c>
      <c r="N728" s="46" t="n">
        <v>0.1124035</v>
      </c>
      <c r="O728" s="46" t="n">
        <v>0.276297</v>
      </c>
      <c r="P728" s="46" t="n">
        <v>0.59664</v>
      </c>
      <c r="Q728" s="46" t="n">
        <v>3.4229926</v>
      </c>
      <c r="R728" s="46" t="n">
        <v>2.4083719</v>
      </c>
      <c r="S728" s="47" t="n">
        <f aca="false">M728+N728+O728</f>
        <v>0.5845449</v>
      </c>
      <c r="T728" s="47" t="n">
        <f aca="false">M728+P728</f>
        <v>0.7924844</v>
      </c>
    </row>
    <row r="729" customFormat="false" ht="15" hidden="false" customHeight="false" outlineLevel="0" collapsed="false">
      <c r="A729" s="42" t="s">
        <v>45</v>
      </c>
      <c r="B729" s="42" t="n">
        <v>-20</v>
      </c>
      <c r="C729" s="42" t="n">
        <v>28</v>
      </c>
      <c r="D729" s="42" t="n">
        <v>74290943</v>
      </c>
      <c r="E729" s="43" t="n">
        <v>0.13267867722658</v>
      </c>
      <c r="F729" s="43" t="n">
        <v>0.235157456168983</v>
      </c>
      <c r="G729" s="43" t="n">
        <v>0.36197340255875</v>
      </c>
      <c r="H729" s="43" t="n">
        <v>0.379367578809282</v>
      </c>
      <c r="I729" s="42" t="n">
        <v>0</v>
      </c>
      <c r="J729" s="42" t="n">
        <v>0</v>
      </c>
      <c r="K729" s="44" t="str">
        <f aca="false">IF(AND(I729=1,J729=1),"两者都跟住",IF(AND(I729=0,J729=1),"仅 PC-TBD 跟住",IF(AND(I729=1,J729=0),"仅 VIT-LPS 跟住","都没跟住")))</f>
        <v>都没跟住</v>
      </c>
      <c r="L729" s="45" t="n">
        <f aca="false">F729-G729</f>
        <v>-0.126815946389767</v>
      </c>
      <c r="M729" s="46" t="n">
        <v>0.2200383</v>
      </c>
      <c r="N729" s="46" t="n">
        <v>0.12274</v>
      </c>
      <c r="O729" s="46" t="n">
        <v>0.234153</v>
      </c>
      <c r="P729" s="46" t="n">
        <v>0.6219766</v>
      </c>
      <c r="Q729" s="46" t="n">
        <v>2.4254302</v>
      </c>
      <c r="R729" s="46" t="n">
        <v>2.1249033</v>
      </c>
      <c r="S729" s="47" t="n">
        <f aca="false">M729+N729+O729</f>
        <v>0.5769313</v>
      </c>
      <c r="T729" s="47" t="n">
        <f aca="false">M729+P729</f>
        <v>0.8420149</v>
      </c>
    </row>
    <row r="730" customFormat="false" ht="15" hidden="false" customHeight="false" outlineLevel="0" collapsed="false">
      <c r="A730" s="42" t="s">
        <v>45</v>
      </c>
      <c r="B730" s="42" t="n">
        <v>-20</v>
      </c>
      <c r="C730" s="42" t="n">
        <v>29</v>
      </c>
      <c r="D730" s="42" t="n">
        <v>74290944</v>
      </c>
      <c r="E730" s="43" t="n">
        <v>0.194491754972171</v>
      </c>
      <c r="F730" s="43" t="n">
        <v>0.367722045015458</v>
      </c>
      <c r="G730" s="43" t="n">
        <v>0.342836056904827</v>
      </c>
      <c r="H730" s="43" t="n">
        <v>0.389073801343111</v>
      </c>
      <c r="I730" s="42" t="n">
        <v>0</v>
      </c>
      <c r="J730" s="42" t="n">
        <v>0</v>
      </c>
      <c r="K730" s="44" t="str">
        <f aca="false">IF(AND(I730=1,J730=1),"两者都跟住",IF(AND(I730=0,J730=1),"仅 PC-TBD 跟住",IF(AND(I730=1,J730=0),"仅 VIT-LPS 跟住","都没跟住")))</f>
        <v>都没跟住</v>
      </c>
      <c r="L730" s="45" t="n">
        <f aca="false">F730-G730</f>
        <v>0.024885988110631</v>
      </c>
      <c r="M730" s="46" t="n">
        <v>0.171599</v>
      </c>
      <c r="N730" s="46" t="n">
        <v>0.1360565</v>
      </c>
      <c r="O730" s="46" t="n">
        <v>0.2738476</v>
      </c>
      <c r="P730" s="46" t="n">
        <v>0.5354344</v>
      </c>
      <c r="Q730" s="46" t="n">
        <v>3.3349294</v>
      </c>
      <c r="R730" s="46" t="n">
        <v>3.9067016</v>
      </c>
      <c r="S730" s="47" t="n">
        <f aca="false">M730+N730+O730</f>
        <v>0.5815031</v>
      </c>
      <c r="T730" s="47" t="n">
        <f aca="false">M730+P730</f>
        <v>0.7070334</v>
      </c>
    </row>
    <row r="731" customFormat="false" ht="15" hidden="false" customHeight="false" outlineLevel="0" collapsed="false">
      <c r="A731" s="42" t="s">
        <v>45</v>
      </c>
      <c r="B731" s="42" t="n">
        <v>-20</v>
      </c>
      <c r="C731" s="42" t="n">
        <v>30</v>
      </c>
      <c r="D731" s="42" t="n">
        <v>74290945</v>
      </c>
      <c r="E731" s="43" t="n">
        <v>0.185295831272398</v>
      </c>
      <c r="F731" s="43" t="n">
        <v>0.26261436627831</v>
      </c>
      <c r="G731" s="43" t="n">
        <v>0.240973057245077</v>
      </c>
      <c r="H731" s="43" t="n">
        <v>0.23500850710671</v>
      </c>
      <c r="I731" s="42" t="n">
        <v>1</v>
      </c>
      <c r="J731" s="42" t="n">
        <v>0</v>
      </c>
      <c r="K731" s="44" t="str">
        <f aca="false">IF(AND(I731=1,J731=1),"两者都跟住",IF(AND(I731=0,J731=1),"仅 PC-TBD 跟住",IF(AND(I731=1,J731=0),"仅 VIT-LPS 跟住","都没跟住")))</f>
        <v>仅 VIT-LPS 跟住</v>
      </c>
      <c r="L731" s="45" t="n">
        <f aca="false">F731-G731</f>
        <v>0.021641309033233</v>
      </c>
      <c r="M731" s="46" t="n">
        <v>0.2355717</v>
      </c>
      <c r="N731" s="46" t="n">
        <v>0.1346931</v>
      </c>
      <c r="O731" s="46" t="n">
        <v>0.2795962</v>
      </c>
      <c r="P731" s="46" t="n">
        <v>0.7100263</v>
      </c>
      <c r="Q731" s="46" t="n">
        <v>5.2041284</v>
      </c>
      <c r="R731" s="46" t="n">
        <v>1.9641633</v>
      </c>
      <c r="S731" s="47" t="n">
        <f aca="false">M731+N731+O731</f>
        <v>0.649861</v>
      </c>
      <c r="T731" s="47" t="n">
        <f aca="false">M731+P731</f>
        <v>0.945598</v>
      </c>
    </row>
    <row r="732" customFormat="false" ht="15" hidden="false" customHeight="false" outlineLevel="0" collapsed="false">
      <c r="A732" s="42" t="s">
        <v>45</v>
      </c>
      <c r="B732" s="42" t="n">
        <v>-20</v>
      </c>
      <c r="C732" s="42" t="n">
        <v>31</v>
      </c>
      <c r="D732" s="42" t="n">
        <v>74290946</v>
      </c>
      <c r="E732" s="43" t="n">
        <v>0.246295977659607</v>
      </c>
      <c r="F732" s="43" t="n">
        <v>0.539418106713482</v>
      </c>
      <c r="G732" s="43" t="n">
        <v>0.533997885891756</v>
      </c>
      <c r="H732" s="43" t="n">
        <v>0.53180797542541</v>
      </c>
      <c r="I732" s="42" t="n">
        <v>1</v>
      </c>
      <c r="J732" s="42" t="n">
        <v>0</v>
      </c>
      <c r="K732" s="44" t="str">
        <f aca="false">IF(AND(I732=1,J732=1),"两者都跟住",IF(AND(I732=0,J732=1),"仅 PC-TBD 跟住",IF(AND(I732=1,J732=0),"仅 VIT-LPS 跟住","都没跟住")))</f>
        <v>仅 VIT-LPS 跟住</v>
      </c>
      <c r="L732" s="45" t="n">
        <f aca="false">F732-G732</f>
        <v>0.005420220821726</v>
      </c>
      <c r="M732" s="46" t="n">
        <v>0.2544309</v>
      </c>
      <c r="N732" s="46" t="n">
        <v>0.1252059</v>
      </c>
      <c r="O732" s="46" t="n">
        <v>0.294819</v>
      </c>
      <c r="P732" s="46" t="n">
        <v>0.6646461</v>
      </c>
      <c r="Q732" s="46" t="n">
        <v>3.2447519</v>
      </c>
      <c r="R732" s="46" t="n">
        <v>3.0593746</v>
      </c>
      <c r="S732" s="47" t="n">
        <f aca="false">M732+N732+O732</f>
        <v>0.6744558</v>
      </c>
      <c r="T732" s="47" t="n">
        <f aca="false">M732+P732</f>
        <v>0.919077</v>
      </c>
    </row>
    <row r="733" customFormat="false" ht="15" hidden="false" customHeight="false" outlineLevel="0" collapsed="false">
      <c r="A733" s="42" t="s">
        <v>45</v>
      </c>
      <c r="B733" s="42" t="n">
        <v>-20</v>
      </c>
      <c r="C733" s="42" t="n">
        <v>32</v>
      </c>
      <c r="D733" s="42" t="n">
        <v>74290947</v>
      </c>
      <c r="E733" s="43" t="n">
        <v>0.34300189592056</v>
      </c>
      <c r="F733" s="43" t="n">
        <v>0.647254469925443</v>
      </c>
      <c r="G733" s="43" t="n">
        <v>0.640162075170898</v>
      </c>
      <c r="H733" s="43" t="n">
        <v>0.658706571269027</v>
      </c>
      <c r="I733" s="42" t="n">
        <v>1</v>
      </c>
      <c r="J733" s="42" t="n">
        <v>1</v>
      </c>
      <c r="K733" s="44" t="str">
        <f aca="false">IF(AND(I733=1,J733=1),"两者都跟住",IF(AND(I733=0,J733=1),"仅 PC-TBD 跟住",IF(AND(I733=1,J733=0),"仅 VIT-LPS 跟住","都没跟住")))</f>
        <v>两者都跟住</v>
      </c>
      <c r="L733" s="45" t="n">
        <f aca="false">F733-G733</f>
        <v>0.00709239475454504</v>
      </c>
      <c r="M733" s="46" t="n">
        <v>0.2741081</v>
      </c>
      <c r="N733" s="46" t="n">
        <v>0.1585452</v>
      </c>
      <c r="O733" s="46" t="n">
        <v>0.3622057</v>
      </c>
      <c r="P733" s="46" t="n">
        <v>0.7369825</v>
      </c>
      <c r="Q733" s="46" t="n">
        <v>4.1389441</v>
      </c>
      <c r="R733" s="46" t="n">
        <v>4.023215</v>
      </c>
      <c r="S733" s="47" t="n">
        <f aca="false">M733+N733+O733</f>
        <v>0.794859</v>
      </c>
      <c r="T733" s="47" t="n">
        <f aca="false">M733+P733</f>
        <v>1.0110906</v>
      </c>
    </row>
    <row r="734" customFormat="false" ht="15" hidden="false" customHeight="false" outlineLevel="0" collapsed="false">
      <c r="A734" s="42" t="s">
        <v>45</v>
      </c>
      <c r="B734" s="42" t="n">
        <v>-20</v>
      </c>
      <c r="C734" s="42" t="n">
        <v>33</v>
      </c>
      <c r="D734" s="42" t="n">
        <v>74290948</v>
      </c>
      <c r="E734" s="43" t="n">
        <v>0.269531839973679</v>
      </c>
      <c r="F734" s="43" t="n">
        <v>0.698715315276663</v>
      </c>
      <c r="G734" s="43" t="n">
        <v>0.604153687595172</v>
      </c>
      <c r="H734" s="43" t="n">
        <v>0.638112600070695</v>
      </c>
      <c r="I734" s="42" t="n">
        <v>1</v>
      </c>
      <c r="J734" s="42" t="n">
        <v>1</v>
      </c>
      <c r="K734" s="44" t="str">
        <f aca="false">IF(AND(I734=1,J734=1),"两者都跟住",IF(AND(I734=0,J734=1),"仅 PC-TBD 跟住",IF(AND(I734=1,J734=0),"仅 VIT-LPS 跟住","都没跟住")))</f>
        <v>两者都跟住</v>
      </c>
      <c r="L734" s="45" t="n">
        <f aca="false">F734-G734</f>
        <v>0.094561627681491</v>
      </c>
      <c r="M734" s="46" t="n">
        <v>0.2476032</v>
      </c>
      <c r="N734" s="46" t="n">
        <v>0.1425972</v>
      </c>
      <c r="O734" s="46" t="n">
        <v>0.3322991</v>
      </c>
      <c r="P734" s="46" t="n">
        <v>0.7299939</v>
      </c>
      <c r="Q734" s="46" t="n">
        <v>3.5986926</v>
      </c>
      <c r="R734" s="46" t="n">
        <v>3.3478063</v>
      </c>
      <c r="S734" s="47" t="n">
        <f aca="false">M734+N734+O734</f>
        <v>0.7224995</v>
      </c>
      <c r="T734" s="47" t="n">
        <f aca="false">M734+P734</f>
        <v>0.9775971</v>
      </c>
    </row>
    <row r="735" customFormat="false" ht="15" hidden="false" customHeight="false" outlineLevel="0" collapsed="false">
      <c r="A735" s="42" t="s">
        <v>45</v>
      </c>
      <c r="B735" s="42" t="n">
        <v>-20</v>
      </c>
      <c r="C735" s="42" t="n">
        <v>34</v>
      </c>
      <c r="D735" s="42" t="n">
        <v>74290949</v>
      </c>
      <c r="E735" s="43" t="n">
        <v>0.0759737086151644</v>
      </c>
      <c r="F735" s="43" t="n">
        <v>0.290673230898155</v>
      </c>
      <c r="G735" s="43" t="n">
        <v>0.268690244844533</v>
      </c>
      <c r="H735" s="43" t="n">
        <v>0.290128666980661</v>
      </c>
      <c r="I735" s="42" t="n">
        <v>0</v>
      </c>
      <c r="J735" s="42" t="n">
        <v>0</v>
      </c>
      <c r="K735" s="44" t="str">
        <f aca="false">IF(AND(I735=1,J735=1),"两者都跟住",IF(AND(I735=0,J735=1),"仅 PC-TBD 跟住",IF(AND(I735=1,J735=0),"仅 VIT-LPS 跟住","都没跟住")))</f>
        <v>都没跟住</v>
      </c>
      <c r="L735" s="45" t="n">
        <f aca="false">F735-G735</f>
        <v>0.021982986053622</v>
      </c>
      <c r="M735" s="46" t="n">
        <v>0.2473378</v>
      </c>
      <c r="N735" s="46" t="n">
        <v>0.1530975</v>
      </c>
      <c r="O735" s="46" t="n">
        <v>0.3555222</v>
      </c>
      <c r="P735" s="46" t="n">
        <v>0.6657261</v>
      </c>
      <c r="Q735" s="46" t="n">
        <v>7.3066732</v>
      </c>
      <c r="R735" s="46" t="n">
        <v>2.7301854</v>
      </c>
      <c r="S735" s="47" t="n">
        <f aca="false">M735+N735+O735</f>
        <v>0.7559575</v>
      </c>
      <c r="T735" s="47" t="n">
        <f aca="false">M735+P735</f>
        <v>0.9130639</v>
      </c>
    </row>
    <row r="736" customFormat="false" ht="15" hidden="false" customHeight="false" outlineLevel="0" collapsed="false">
      <c r="A736" s="42" t="s">
        <v>45</v>
      </c>
      <c r="B736" s="42" t="n">
        <v>-20</v>
      </c>
      <c r="C736" s="42" t="n">
        <v>35</v>
      </c>
      <c r="D736" s="42" t="n">
        <v>74290950</v>
      </c>
      <c r="E736" s="43" t="n">
        <v>0.190354618083861</v>
      </c>
      <c r="F736" s="43" t="n">
        <v>0.237199599290773</v>
      </c>
      <c r="G736" s="43" t="n">
        <v>0.420491489877305</v>
      </c>
      <c r="H736" s="43" t="n">
        <v>0.445370143612889</v>
      </c>
      <c r="I736" s="42" t="n">
        <v>1</v>
      </c>
      <c r="J736" s="42" t="n">
        <v>0</v>
      </c>
      <c r="K736" s="44" t="str">
        <f aca="false">IF(AND(I736=1,J736=1),"两者都跟住",IF(AND(I736=0,J736=1),"仅 PC-TBD 跟住",IF(AND(I736=1,J736=0),"仅 VIT-LPS 跟住","都没跟住")))</f>
        <v>仅 VIT-LPS 跟住</v>
      </c>
      <c r="L736" s="45" t="n">
        <f aca="false">F736-G736</f>
        <v>-0.183291890586532</v>
      </c>
      <c r="M736" s="46" t="n">
        <v>0.2463733</v>
      </c>
      <c r="N736" s="46" t="n">
        <v>0.1216984</v>
      </c>
      <c r="O736" s="46" t="n">
        <v>0.3442281</v>
      </c>
      <c r="P736" s="46" t="n">
        <v>0.672218</v>
      </c>
      <c r="Q736" s="46" t="n">
        <v>3.4497952</v>
      </c>
      <c r="R736" s="46" t="n">
        <v>2.5582907</v>
      </c>
      <c r="S736" s="47" t="n">
        <f aca="false">M736+N736+O736</f>
        <v>0.7122998</v>
      </c>
      <c r="T736" s="47" t="n">
        <f aca="false">M736+P736</f>
        <v>0.9185913</v>
      </c>
    </row>
    <row r="737" customFormat="false" ht="15" hidden="false" customHeight="false" outlineLevel="0" collapsed="false">
      <c r="A737" s="42" t="s">
        <v>45</v>
      </c>
      <c r="B737" s="42" t="n">
        <v>-20</v>
      </c>
      <c r="C737" s="42" t="n">
        <v>36</v>
      </c>
      <c r="D737" s="42" t="n">
        <v>74290951</v>
      </c>
      <c r="E737" s="43" t="n">
        <v>0.0784045744052252</v>
      </c>
      <c r="F737" s="43" t="n">
        <v>0.214674156517339</v>
      </c>
      <c r="G737" s="43" t="n">
        <v>0.286450139294598</v>
      </c>
      <c r="H737" s="43" t="n">
        <v>0.337382556959109</v>
      </c>
      <c r="I737" s="42" t="n">
        <v>1</v>
      </c>
      <c r="J737" s="42" t="n">
        <v>1</v>
      </c>
      <c r="K737" s="44" t="str">
        <f aca="false">IF(AND(I737=1,J737=1),"两者都跟住",IF(AND(I737=0,J737=1),"仅 PC-TBD 跟住",IF(AND(I737=1,J737=0),"仅 VIT-LPS 跟住","都没跟住")))</f>
        <v>两者都跟住</v>
      </c>
      <c r="L737" s="45" t="n">
        <f aca="false">F737-G737</f>
        <v>-0.071775982777259</v>
      </c>
      <c r="M737" s="46" t="n">
        <v>0.224568</v>
      </c>
      <c r="N737" s="46" t="n">
        <v>0.1229346</v>
      </c>
      <c r="O737" s="46" t="n">
        <v>0.3758179</v>
      </c>
      <c r="P737" s="46" t="n">
        <v>0.6907597</v>
      </c>
      <c r="Q737" s="46" t="n">
        <v>8.8488518</v>
      </c>
      <c r="R737" s="46" t="n">
        <v>3.4429788</v>
      </c>
      <c r="S737" s="47" t="n">
        <f aca="false">M737+N737+O737</f>
        <v>0.7233205</v>
      </c>
      <c r="T737" s="47" t="n">
        <f aca="false">M737+P737</f>
        <v>0.9153277</v>
      </c>
    </row>
    <row r="738" customFormat="false" ht="15" hidden="false" customHeight="false" outlineLevel="0" collapsed="false">
      <c r="A738" s="42" t="s">
        <v>45</v>
      </c>
      <c r="B738" s="42" t="n">
        <v>-20</v>
      </c>
      <c r="C738" s="42" t="n">
        <v>37</v>
      </c>
      <c r="D738" s="42" t="n">
        <v>74290952</v>
      </c>
      <c r="E738" s="43" t="n">
        <v>0.272595519354748</v>
      </c>
      <c r="F738" s="43" t="n">
        <v>0.377912824579474</v>
      </c>
      <c r="G738" s="43" t="n">
        <v>0.52353242415198</v>
      </c>
      <c r="H738" s="43" t="n">
        <v>0.527601310618258</v>
      </c>
      <c r="I738" s="42" t="n">
        <v>0</v>
      </c>
      <c r="J738" s="42" t="n">
        <v>0</v>
      </c>
      <c r="K738" s="44" t="str">
        <f aca="false">IF(AND(I738=1,J738=1),"两者都跟住",IF(AND(I738=0,J738=1),"仅 PC-TBD 跟住",IF(AND(I738=1,J738=0),"仅 VIT-LPS 跟住","都没跟住")))</f>
        <v>都没跟住</v>
      </c>
      <c r="L738" s="45" t="n">
        <f aca="false">F738-G738</f>
        <v>-0.145619599572506</v>
      </c>
      <c r="M738" s="46" t="n">
        <v>0.151537</v>
      </c>
      <c r="N738" s="46" t="n">
        <v>0.0882036</v>
      </c>
      <c r="O738" s="46" t="n">
        <v>0.2154022</v>
      </c>
      <c r="P738" s="46" t="n">
        <v>0.4911232</v>
      </c>
      <c r="Q738" s="46" t="n">
        <v>5.9562549</v>
      </c>
      <c r="R738" s="46" t="n">
        <v>2.4915874</v>
      </c>
      <c r="S738" s="47" t="n">
        <f aca="false">M738+N738+O738</f>
        <v>0.4551428</v>
      </c>
      <c r="T738" s="47" t="n">
        <f aca="false">M738+P738</f>
        <v>0.6426602</v>
      </c>
    </row>
    <row r="739" customFormat="false" ht="15" hidden="false" customHeight="false" outlineLevel="0" collapsed="false">
      <c r="A739" s="42" t="s">
        <v>45</v>
      </c>
      <c r="B739" s="42" t="n">
        <v>-20</v>
      </c>
      <c r="C739" s="42" t="n">
        <v>38</v>
      </c>
      <c r="D739" s="42" t="n">
        <v>74290953</v>
      </c>
      <c r="E739" s="43" t="n">
        <v>0.240696219572805</v>
      </c>
      <c r="F739" s="43" t="n">
        <v>0.394783181727174</v>
      </c>
      <c r="G739" s="43" t="n">
        <v>0.510339487546278</v>
      </c>
      <c r="H739" s="43" t="n">
        <v>0.545519476998522</v>
      </c>
      <c r="I739" s="42" t="n">
        <v>1</v>
      </c>
      <c r="J739" s="42" t="n">
        <v>1</v>
      </c>
      <c r="K739" s="44" t="str">
        <f aca="false">IF(AND(I739=1,J739=1),"两者都跟住",IF(AND(I739=0,J739=1),"仅 PC-TBD 跟住",IF(AND(I739=1,J739=0),"仅 VIT-LPS 跟住","都没跟住")))</f>
        <v>两者都跟住</v>
      </c>
      <c r="L739" s="45" t="n">
        <f aca="false">F739-G739</f>
        <v>-0.115556305819104</v>
      </c>
      <c r="M739" s="46" t="n">
        <v>0.1695264</v>
      </c>
      <c r="N739" s="46" t="n">
        <v>0.1040487</v>
      </c>
      <c r="O739" s="46" t="n">
        <v>0.216592</v>
      </c>
      <c r="P739" s="46" t="n">
        <v>0.5898606</v>
      </c>
      <c r="Q739" s="46" t="n">
        <v>5.0776036</v>
      </c>
      <c r="R739" s="46" t="n">
        <v>2.4813145</v>
      </c>
      <c r="S739" s="47" t="n">
        <f aca="false">M739+N739+O739</f>
        <v>0.4901671</v>
      </c>
      <c r="T739" s="47" t="n">
        <f aca="false">M739+P739</f>
        <v>0.759387</v>
      </c>
    </row>
    <row r="740" customFormat="false" ht="15" hidden="false" customHeight="false" outlineLevel="0" collapsed="false">
      <c r="A740" s="42" t="s">
        <v>45</v>
      </c>
      <c r="B740" s="42" t="n">
        <v>-20</v>
      </c>
      <c r="C740" s="42" t="n">
        <v>39</v>
      </c>
      <c r="D740" s="42" t="n">
        <v>74290954</v>
      </c>
      <c r="E740" s="43" t="n">
        <v>0.267292620586772</v>
      </c>
      <c r="F740" s="43" t="n">
        <v>0.457941253412166</v>
      </c>
      <c r="G740" s="43" t="n">
        <v>0.503952740510377</v>
      </c>
      <c r="H740" s="43" t="n">
        <v>0.484007352370288</v>
      </c>
      <c r="I740" s="42" t="n">
        <v>0</v>
      </c>
      <c r="J740" s="42" t="n">
        <v>0</v>
      </c>
      <c r="K740" s="44" t="str">
        <f aca="false">IF(AND(I740=1,J740=1),"两者都跟住",IF(AND(I740=0,J740=1),"仅 PC-TBD 跟住",IF(AND(I740=1,J740=0),"仅 VIT-LPS 跟住","都没跟住")))</f>
        <v>都没跟住</v>
      </c>
      <c r="L740" s="45" t="n">
        <f aca="false">F740-G740</f>
        <v>-0.046011487098211</v>
      </c>
      <c r="M740" s="46" t="n">
        <v>0.1757129</v>
      </c>
      <c r="N740" s="46" t="n">
        <v>0.1374737</v>
      </c>
      <c r="O740" s="46" t="n">
        <v>0.2478704</v>
      </c>
      <c r="P740" s="46" t="n">
        <v>0.5948393</v>
      </c>
      <c r="Q740" s="46" t="n">
        <v>5.1865201</v>
      </c>
      <c r="R740" s="46" t="n">
        <v>2.5992282</v>
      </c>
      <c r="S740" s="47" t="n">
        <f aca="false">M740+N740+O740</f>
        <v>0.561057</v>
      </c>
      <c r="T740" s="47" t="n">
        <f aca="false">M740+P740</f>
        <v>0.7705522</v>
      </c>
    </row>
    <row r="741" customFormat="false" ht="15" hidden="false" customHeight="false" outlineLevel="0" collapsed="false">
      <c r="A741" s="42" t="s">
        <v>45</v>
      </c>
      <c r="B741" s="42" t="n">
        <v>-20</v>
      </c>
      <c r="C741" s="42" t="n">
        <v>40</v>
      </c>
      <c r="D741" s="42" t="n">
        <v>74290955</v>
      </c>
      <c r="E741" s="43" t="n">
        <v>0.29573140028077</v>
      </c>
      <c r="F741" s="43" t="n">
        <v>0.567070120501896</v>
      </c>
      <c r="G741" s="43" t="n">
        <v>0.531888161376966</v>
      </c>
      <c r="H741" s="43" t="n">
        <v>0.535454768947801</v>
      </c>
      <c r="I741" s="42" t="n">
        <v>1</v>
      </c>
      <c r="J741" s="42" t="n">
        <v>1</v>
      </c>
      <c r="K741" s="44" t="str">
        <f aca="false">IF(AND(I741=1,J741=1),"两者都跟住",IF(AND(I741=0,J741=1),"仅 PC-TBD 跟住",IF(AND(I741=1,J741=0),"仅 VIT-LPS 跟住","都没跟住")))</f>
        <v>两者都跟住</v>
      </c>
      <c r="L741" s="45" t="n">
        <f aca="false">F741-G741</f>
        <v>0.0351819591249299</v>
      </c>
      <c r="M741" s="46" t="n">
        <v>0.1880826</v>
      </c>
      <c r="N741" s="46" t="n">
        <v>0.1639701</v>
      </c>
      <c r="O741" s="46" t="n">
        <v>0.3564469</v>
      </c>
      <c r="P741" s="46" t="n">
        <v>1.2677331</v>
      </c>
      <c r="Q741" s="46" t="n">
        <v>6.1643996</v>
      </c>
      <c r="R741" s="46" t="n">
        <v>1.8860448</v>
      </c>
      <c r="S741" s="47" t="n">
        <f aca="false">M741+N741+O741</f>
        <v>0.7084996</v>
      </c>
      <c r="T741" s="47" t="n">
        <f aca="false">M741+P741</f>
        <v>1.4558157</v>
      </c>
    </row>
    <row r="742" customFormat="false" ht="15" hidden="false" customHeight="false" outlineLevel="0" collapsed="false">
      <c r="A742" s="42" t="s">
        <v>45</v>
      </c>
      <c r="B742" s="42" t="n">
        <v>-20</v>
      </c>
      <c r="C742" s="42" t="n">
        <v>41</v>
      </c>
      <c r="D742" s="42" t="n">
        <v>74290956</v>
      </c>
      <c r="E742" s="43" t="n">
        <v>0.180414250106141</v>
      </c>
      <c r="F742" s="43" t="n">
        <v>0.327917914821443</v>
      </c>
      <c r="G742" s="43" t="n">
        <v>0.351162918431312</v>
      </c>
      <c r="H742" s="43" t="n">
        <v>0.379569549503144</v>
      </c>
      <c r="I742" s="42" t="n">
        <v>1</v>
      </c>
      <c r="J742" s="42" t="n">
        <v>0</v>
      </c>
      <c r="K742" s="44" t="str">
        <f aca="false">IF(AND(I742=1,J742=1),"两者都跟住",IF(AND(I742=0,J742=1),"仅 PC-TBD 跟住",IF(AND(I742=1,J742=0),"仅 VIT-LPS 跟住","都没跟住")))</f>
        <v>仅 VIT-LPS 跟住</v>
      </c>
      <c r="L742" s="45" t="n">
        <f aca="false">F742-G742</f>
        <v>-0.023245003609869</v>
      </c>
      <c r="M742" s="46" t="n">
        <v>0.2981934</v>
      </c>
      <c r="N742" s="46" t="n">
        <v>0.1763032</v>
      </c>
      <c r="O742" s="46" t="n">
        <v>0.2348782</v>
      </c>
      <c r="P742" s="46" t="n">
        <v>0.7590217</v>
      </c>
      <c r="Q742" s="46" t="n">
        <v>3.9600244</v>
      </c>
      <c r="R742" s="46" t="n">
        <v>3.7524754</v>
      </c>
      <c r="S742" s="47" t="n">
        <f aca="false">M742+N742+O742</f>
        <v>0.7093748</v>
      </c>
      <c r="T742" s="47" t="n">
        <f aca="false">M742+P742</f>
        <v>1.0572151</v>
      </c>
    </row>
    <row r="743" customFormat="false" ht="15" hidden="false" customHeight="false" outlineLevel="0" collapsed="false">
      <c r="A743" s="42" t="s">
        <v>45</v>
      </c>
      <c r="B743" s="42" t="n">
        <v>-20</v>
      </c>
      <c r="C743" s="42" t="n">
        <v>42</v>
      </c>
      <c r="D743" s="42" t="n">
        <v>74290957</v>
      </c>
      <c r="E743" s="43" t="n">
        <v>0.0160225048072051</v>
      </c>
      <c r="F743" s="43" t="n">
        <v>0.013190948823451</v>
      </c>
      <c r="G743" s="43" t="n">
        <v>0.160503827813935</v>
      </c>
      <c r="H743" s="43" t="n">
        <v>0.184272591744003</v>
      </c>
      <c r="I743" s="42" t="n">
        <v>0</v>
      </c>
      <c r="J743" s="42" t="n">
        <v>0</v>
      </c>
      <c r="K743" s="44" t="str">
        <f aca="false">IF(AND(I743=1,J743=1),"两者都跟住",IF(AND(I743=0,J743=1),"仅 PC-TBD 跟住",IF(AND(I743=1,J743=0),"仅 VIT-LPS 跟住","都没跟住")))</f>
        <v>都没跟住</v>
      </c>
      <c r="L743" s="45" t="n">
        <f aca="false">F743-G743</f>
        <v>-0.147312878990484</v>
      </c>
      <c r="M743" s="46" t="n">
        <v>0.3590948</v>
      </c>
      <c r="N743" s="46" t="n">
        <v>0.1471348</v>
      </c>
      <c r="O743" s="46" t="n">
        <v>0.369992</v>
      </c>
      <c r="P743" s="46" t="n">
        <v>0.7158546</v>
      </c>
      <c r="Q743" s="46" t="n">
        <v>4.400961</v>
      </c>
      <c r="R743" s="46" t="n">
        <v>5.8140508</v>
      </c>
      <c r="S743" s="47" t="n">
        <f aca="false">M743+N743+O743</f>
        <v>0.8762216</v>
      </c>
      <c r="T743" s="47" t="n">
        <f aca="false">M743+P743</f>
        <v>1.0749494</v>
      </c>
    </row>
    <row r="744" customFormat="false" ht="15" hidden="false" customHeight="false" outlineLevel="0" collapsed="false">
      <c r="A744" s="42" t="s">
        <v>45</v>
      </c>
      <c r="B744" s="42" t="n">
        <v>-20</v>
      </c>
      <c r="C744" s="42" t="n">
        <v>43</v>
      </c>
      <c r="D744" s="42" t="n">
        <v>74290958</v>
      </c>
      <c r="E744" s="43" t="n">
        <v>0.244378218700842</v>
      </c>
      <c r="F744" s="43" t="n">
        <v>0.569116428711878</v>
      </c>
      <c r="G744" s="43" t="n">
        <v>0.555434692332868</v>
      </c>
      <c r="H744" s="43" t="n">
        <v>0.562676181081754</v>
      </c>
      <c r="I744" s="42" t="n">
        <v>1</v>
      </c>
      <c r="J744" s="42" t="n">
        <v>1</v>
      </c>
      <c r="K744" s="44" t="str">
        <f aca="false">IF(AND(I744=1,J744=1),"两者都跟住",IF(AND(I744=0,J744=1),"仅 PC-TBD 跟住",IF(AND(I744=1,J744=0),"仅 VIT-LPS 跟住","都没跟住")))</f>
        <v>两者都跟住</v>
      </c>
      <c r="L744" s="45" t="n">
        <f aca="false">F744-G744</f>
        <v>0.0136817363790099</v>
      </c>
      <c r="M744" s="46" t="n">
        <v>0.3408936</v>
      </c>
      <c r="N744" s="46" t="n">
        <v>0.1389691</v>
      </c>
      <c r="O744" s="46" t="n">
        <v>0.1723227</v>
      </c>
      <c r="P744" s="46" t="n">
        <v>0.7554552</v>
      </c>
      <c r="Q744" s="46" t="n">
        <v>2.4840106</v>
      </c>
      <c r="R744" s="46" t="n">
        <v>2.5141905</v>
      </c>
      <c r="S744" s="47" t="n">
        <f aca="false">M744+N744+O744</f>
        <v>0.6521854</v>
      </c>
      <c r="T744" s="47" t="n">
        <f aca="false">M744+P744</f>
        <v>1.0963488</v>
      </c>
    </row>
    <row r="745" customFormat="false" ht="15" hidden="false" customHeight="false" outlineLevel="0" collapsed="false">
      <c r="A745" s="42" t="s">
        <v>45</v>
      </c>
      <c r="B745" s="42" t="n">
        <v>-20</v>
      </c>
      <c r="C745" s="42" t="n">
        <v>44</v>
      </c>
      <c r="D745" s="42" t="n">
        <v>74290959</v>
      </c>
      <c r="E745" s="43" t="n">
        <v>0.153024770133532</v>
      </c>
      <c r="F745" s="43" t="n">
        <v>0.172612709938696</v>
      </c>
      <c r="G745" s="43" t="n">
        <v>0.192315331752097</v>
      </c>
      <c r="H745" s="43" t="n">
        <v>0.210227046146295</v>
      </c>
      <c r="I745" s="42" t="n">
        <v>0</v>
      </c>
      <c r="J745" s="42" t="n">
        <v>0</v>
      </c>
      <c r="K745" s="44" t="str">
        <f aca="false">IF(AND(I745=1,J745=1),"两者都跟住",IF(AND(I745=0,J745=1),"仅 PC-TBD 跟住",IF(AND(I745=1,J745=0),"仅 VIT-LPS 跟住","都没跟住")))</f>
        <v>都没跟住</v>
      </c>
      <c r="L745" s="45" t="n">
        <f aca="false">F745-G745</f>
        <v>-0.019702621813401</v>
      </c>
      <c r="M745" s="46" t="n">
        <v>0.325323</v>
      </c>
      <c r="N745" s="46" t="n">
        <v>0.144432</v>
      </c>
      <c r="O745" s="46" t="n">
        <v>0.2231899</v>
      </c>
      <c r="P745" s="46" t="n">
        <v>0.692458</v>
      </c>
      <c r="Q745" s="46" t="n">
        <v>3.3304142</v>
      </c>
      <c r="R745" s="46" t="n">
        <v>3.2255174</v>
      </c>
      <c r="S745" s="47" t="n">
        <f aca="false">M745+N745+O745</f>
        <v>0.6929449</v>
      </c>
      <c r="T745" s="47" t="n">
        <f aca="false">M745+P745</f>
        <v>1.017781</v>
      </c>
    </row>
    <row r="746" customFormat="false" ht="15" hidden="false" customHeight="false" outlineLevel="0" collapsed="false">
      <c r="A746" s="42" t="s">
        <v>45</v>
      </c>
      <c r="B746" s="42" t="n">
        <v>-20</v>
      </c>
      <c r="C746" s="42" t="n">
        <v>45</v>
      </c>
      <c r="D746" s="42" t="n">
        <v>74290960</v>
      </c>
      <c r="E746" s="43" t="n">
        <v>0.176849981064238</v>
      </c>
      <c r="F746" s="43" t="n">
        <v>0.437981935243044</v>
      </c>
      <c r="G746" s="43" t="n">
        <v>0.298935461117195</v>
      </c>
      <c r="H746" s="43" t="n">
        <v>0.307477776698465</v>
      </c>
      <c r="I746" s="42" t="n">
        <v>1</v>
      </c>
      <c r="J746" s="42" t="n">
        <v>0</v>
      </c>
      <c r="K746" s="44" t="str">
        <f aca="false">IF(AND(I746=1,J746=1),"两者都跟住",IF(AND(I746=0,J746=1),"仅 PC-TBD 跟住",IF(AND(I746=1,J746=0),"仅 VIT-LPS 跟住","都没跟住")))</f>
        <v>仅 VIT-LPS 跟住</v>
      </c>
      <c r="L746" s="45" t="n">
        <f aca="false">F746-G746</f>
        <v>0.139046474125849</v>
      </c>
      <c r="M746" s="46" t="n">
        <v>0.3544266</v>
      </c>
      <c r="N746" s="46" t="n">
        <v>0.1148303</v>
      </c>
      <c r="O746" s="46" t="n">
        <v>0.4232813</v>
      </c>
      <c r="P746" s="46" t="n">
        <v>0.6842399</v>
      </c>
      <c r="Q746" s="46" t="n">
        <v>7.6502125</v>
      </c>
      <c r="R746" s="46" t="n">
        <v>2.8027613</v>
      </c>
      <c r="S746" s="47" t="n">
        <f aca="false">M746+N746+O746</f>
        <v>0.8925382</v>
      </c>
      <c r="T746" s="47" t="n">
        <f aca="false">M746+P746</f>
        <v>1.0386665</v>
      </c>
    </row>
    <row r="747" customFormat="false" ht="15" hidden="false" customHeight="false" outlineLevel="0" collapsed="false">
      <c r="A747" s="42" t="s">
        <v>45</v>
      </c>
      <c r="B747" s="42" t="n">
        <v>-20</v>
      </c>
      <c r="C747" s="42" t="n">
        <v>46</v>
      </c>
      <c r="D747" s="42" t="n">
        <v>74290961</v>
      </c>
      <c r="E747" s="43" t="n">
        <v>0.1860960961654</v>
      </c>
      <c r="F747" s="43" t="n">
        <v>0.35071589249091</v>
      </c>
      <c r="G747" s="43" t="n">
        <v>0.116556558129033</v>
      </c>
      <c r="H747" s="43" t="n">
        <v>0.119730967458916</v>
      </c>
      <c r="I747" s="42" t="n">
        <v>0</v>
      </c>
      <c r="J747" s="42" t="n">
        <v>0</v>
      </c>
      <c r="K747" s="44" t="str">
        <f aca="false">IF(AND(I747=1,J747=1),"两者都跟住",IF(AND(I747=0,J747=1),"仅 PC-TBD 跟住",IF(AND(I747=1,J747=0),"仅 VIT-LPS 跟住","都没跟住")))</f>
        <v>都没跟住</v>
      </c>
      <c r="L747" s="45" t="n">
        <f aca="false">F747-G747</f>
        <v>0.234159334361877</v>
      </c>
      <c r="M747" s="46" t="n">
        <v>0.3496079</v>
      </c>
      <c r="N747" s="46" t="n">
        <v>0.1456717</v>
      </c>
      <c r="O747" s="46" t="n">
        <v>0.390936</v>
      </c>
      <c r="P747" s="46" t="n">
        <v>0.6511702</v>
      </c>
      <c r="Q747" s="46" t="n">
        <v>3.6422214</v>
      </c>
      <c r="R747" s="46" t="n">
        <v>3.303866</v>
      </c>
      <c r="S747" s="47" t="n">
        <f aca="false">M747+N747+O747</f>
        <v>0.8862156</v>
      </c>
      <c r="T747" s="47" t="n">
        <f aca="false">M747+P747</f>
        <v>1.0007781</v>
      </c>
    </row>
    <row r="748" customFormat="false" ht="15" hidden="false" customHeight="false" outlineLevel="0" collapsed="false">
      <c r="A748" s="42" t="s">
        <v>45</v>
      </c>
      <c r="B748" s="42" t="n">
        <v>-20</v>
      </c>
      <c r="C748" s="42" t="n">
        <v>47</v>
      </c>
      <c r="D748" s="42" t="n">
        <v>74290962</v>
      </c>
      <c r="E748" s="43" t="n">
        <v>0.281726565453521</v>
      </c>
      <c r="F748" s="43" t="n">
        <v>0.472433120831229</v>
      </c>
      <c r="G748" s="43" t="n">
        <v>0.586345473073721</v>
      </c>
      <c r="H748" s="43" t="n">
        <v>0.575304015378859</v>
      </c>
      <c r="I748" s="42" t="n">
        <v>0</v>
      </c>
      <c r="J748" s="42" t="n">
        <v>1</v>
      </c>
      <c r="K748" s="44" t="str">
        <f aca="false">IF(AND(I748=1,J748=1),"两者都跟住",IF(AND(I748=0,J748=1),"仅 PC-TBD 跟住",IF(AND(I748=1,J748=0),"仅 VIT-LPS 跟住","都没跟住")))</f>
        <v>仅 PC-TBD 跟住</v>
      </c>
      <c r="L748" s="45" t="n">
        <f aca="false">F748-G748</f>
        <v>-0.113912352242492</v>
      </c>
      <c r="M748" s="46" t="n">
        <v>0.1518996</v>
      </c>
      <c r="N748" s="46" t="n">
        <v>0.1076349</v>
      </c>
      <c r="O748" s="46" t="n">
        <v>0.2392911</v>
      </c>
      <c r="P748" s="46" t="n">
        <v>0.5020847</v>
      </c>
      <c r="Q748" s="46" t="n">
        <v>2.5726178</v>
      </c>
      <c r="R748" s="46" t="n">
        <v>1.729781</v>
      </c>
      <c r="S748" s="47" t="n">
        <f aca="false">M748+N748+O748</f>
        <v>0.4988256</v>
      </c>
      <c r="T748" s="47" t="n">
        <f aca="false">M748+P748</f>
        <v>0.6539843</v>
      </c>
    </row>
    <row r="749" customFormat="false" ht="15" hidden="false" customHeight="false" outlineLevel="0" collapsed="false">
      <c r="A749" s="42" t="s">
        <v>45</v>
      </c>
      <c r="B749" s="42" t="n">
        <v>-20</v>
      </c>
      <c r="C749" s="42" t="n">
        <v>48</v>
      </c>
      <c r="D749" s="42" t="n">
        <v>74290963</v>
      </c>
      <c r="E749" s="43" t="n">
        <v>0.143557871081104</v>
      </c>
      <c r="F749" s="43" t="n">
        <v>0.355409413215255</v>
      </c>
      <c r="G749" s="43" t="n">
        <v>0.143622453968278</v>
      </c>
      <c r="H749" s="43" t="n">
        <v>0.14683183278037</v>
      </c>
      <c r="I749" s="42" t="n">
        <v>0</v>
      </c>
      <c r="J749" s="42" t="n">
        <v>0</v>
      </c>
      <c r="K749" s="44" t="str">
        <f aca="false">IF(AND(I749=1,J749=1),"两者都跟住",IF(AND(I749=0,J749=1),"仅 PC-TBD 跟住",IF(AND(I749=1,J749=0),"仅 VIT-LPS 跟住","都没跟住")))</f>
        <v>都没跟住</v>
      </c>
      <c r="L749" s="45" t="n">
        <f aca="false">F749-G749</f>
        <v>0.211786959246977</v>
      </c>
      <c r="M749" s="46" t="n">
        <v>0.1679801</v>
      </c>
      <c r="N749" s="46" t="n">
        <v>0.1066007</v>
      </c>
      <c r="O749" s="46" t="n">
        <v>0.2362959</v>
      </c>
      <c r="P749" s="46" t="n">
        <v>0.5965676</v>
      </c>
      <c r="Q749" s="46" t="n">
        <v>4.3600891</v>
      </c>
      <c r="R749" s="46" t="n">
        <v>1.9050586</v>
      </c>
      <c r="S749" s="47" t="n">
        <f aca="false">M749+N749+O749</f>
        <v>0.5108767</v>
      </c>
      <c r="T749" s="47" t="n">
        <f aca="false">M749+P749</f>
        <v>0.7645477</v>
      </c>
    </row>
    <row r="750" customFormat="false" ht="15" hidden="false" customHeight="false" outlineLevel="0" collapsed="false">
      <c r="A750" s="42" t="s">
        <v>45</v>
      </c>
      <c r="B750" s="42" t="n">
        <v>-20</v>
      </c>
      <c r="C750" s="42" t="n">
        <v>49</v>
      </c>
      <c r="D750" s="42" t="n">
        <v>74290964</v>
      </c>
      <c r="E750" s="43" t="n">
        <v>0.155944242129531</v>
      </c>
      <c r="F750" s="43" t="n">
        <v>0.338787811499507</v>
      </c>
      <c r="G750" s="43" t="n">
        <v>0.252013593856193</v>
      </c>
      <c r="H750" s="43" t="n">
        <v>0.254491928892973</v>
      </c>
      <c r="I750" s="42" t="n">
        <v>0</v>
      </c>
      <c r="J750" s="42" t="n">
        <v>0</v>
      </c>
      <c r="K750" s="44" t="str">
        <f aca="false">IF(AND(I750=1,J750=1),"两者都跟住",IF(AND(I750=0,J750=1),"仅 PC-TBD 跟住",IF(AND(I750=1,J750=0),"仅 VIT-LPS 跟住","都没跟住")))</f>
        <v>都没跟住</v>
      </c>
      <c r="L750" s="45" t="n">
        <f aca="false">F750-G750</f>
        <v>0.086774217643314</v>
      </c>
      <c r="M750" s="46" t="n">
        <v>0.1816185</v>
      </c>
      <c r="N750" s="46" t="n">
        <v>0.1390371</v>
      </c>
      <c r="O750" s="46" t="n">
        <v>0.2750497</v>
      </c>
      <c r="P750" s="46" t="n">
        <v>0.6554924</v>
      </c>
      <c r="Q750" s="46" t="n">
        <v>6.2070943</v>
      </c>
      <c r="R750" s="46" t="n">
        <v>2.1333692</v>
      </c>
      <c r="S750" s="47" t="n">
        <f aca="false">M750+N750+O750</f>
        <v>0.5957053</v>
      </c>
      <c r="T750" s="47" t="n">
        <f aca="false">M750+P750</f>
        <v>0.8371109</v>
      </c>
    </row>
    <row r="751" customFormat="false" ht="15" hidden="false" customHeight="false" outlineLevel="0" collapsed="false">
      <c r="A751" s="42" t="s">
        <v>45</v>
      </c>
      <c r="B751" s="42" t="n">
        <v>-20</v>
      </c>
      <c r="C751" s="42" t="n">
        <v>50</v>
      </c>
      <c r="D751" s="42" t="n">
        <v>74290965</v>
      </c>
      <c r="E751" s="43" t="n">
        <v>0.209981106021154</v>
      </c>
      <c r="F751" s="43" t="n">
        <v>0.442507878833847</v>
      </c>
      <c r="G751" s="43" t="n">
        <v>0.383964533752303</v>
      </c>
      <c r="H751" s="43" t="n">
        <v>0.370617626052321</v>
      </c>
      <c r="I751" s="42" t="n">
        <v>1</v>
      </c>
      <c r="J751" s="42" t="n">
        <v>0</v>
      </c>
      <c r="K751" s="44" t="str">
        <f aca="false">IF(AND(I751=1,J751=1),"两者都跟住",IF(AND(I751=0,J751=1),"仅 PC-TBD 跟住",IF(AND(I751=1,J751=0),"仅 VIT-LPS 跟住","都没跟住")))</f>
        <v>仅 VIT-LPS 跟住</v>
      </c>
      <c r="L751" s="45" t="n">
        <f aca="false">F751-G751</f>
        <v>0.058543345081544</v>
      </c>
      <c r="M751" s="46" t="n">
        <v>0.1822175</v>
      </c>
      <c r="N751" s="46" t="n">
        <v>0.1118028</v>
      </c>
      <c r="O751" s="46" t="n">
        <v>0.2776553</v>
      </c>
      <c r="P751" s="46" t="n">
        <v>0.5336846</v>
      </c>
      <c r="Q751" s="46" t="n">
        <v>2.2844109</v>
      </c>
      <c r="R751" s="46" t="n">
        <v>2.6981432</v>
      </c>
      <c r="S751" s="47" t="n">
        <f aca="false">M751+N751+O751</f>
        <v>0.5716756</v>
      </c>
      <c r="T751" s="47" t="n">
        <f aca="false">M751+P751</f>
        <v>0.7159021</v>
      </c>
    </row>
    <row r="752" customFormat="false" ht="15" hidden="false" customHeight="false" outlineLevel="0" collapsed="false">
      <c r="A752" s="42" t="s">
        <v>45</v>
      </c>
      <c r="B752" s="42" t="n">
        <v>-20</v>
      </c>
      <c r="C752" s="42" t="n">
        <v>51</v>
      </c>
      <c r="D752" s="42" t="n">
        <v>74290966</v>
      </c>
      <c r="E752" s="43" t="n">
        <v>0.137172846799916</v>
      </c>
      <c r="F752" s="43" t="n">
        <v>0.564133100982131</v>
      </c>
      <c r="G752" s="43" t="n">
        <v>0.581007627143102</v>
      </c>
      <c r="H752" s="43" t="n">
        <v>0.611151843964245</v>
      </c>
      <c r="I752" s="42" t="n">
        <v>1</v>
      </c>
      <c r="J752" s="42" t="n">
        <v>0</v>
      </c>
      <c r="K752" s="44" t="str">
        <f aca="false">IF(AND(I752=1,J752=1),"两者都跟住",IF(AND(I752=0,J752=1),"仅 PC-TBD 跟住",IF(AND(I752=1,J752=0),"仅 VIT-LPS 跟住","都没跟住")))</f>
        <v>仅 VIT-LPS 跟住</v>
      </c>
      <c r="L752" s="45" t="n">
        <f aca="false">F752-G752</f>
        <v>-0.016874526160971</v>
      </c>
      <c r="M752" s="46" t="n">
        <v>0.3012864</v>
      </c>
      <c r="N752" s="46" t="n">
        <v>0.1531128</v>
      </c>
      <c r="O752" s="46" t="n">
        <v>0.3298183</v>
      </c>
      <c r="P752" s="46" t="n">
        <v>0.4856316</v>
      </c>
      <c r="Q752" s="46" t="n">
        <v>6.5320454</v>
      </c>
      <c r="R752" s="46" t="n">
        <v>2.332043</v>
      </c>
      <c r="S752" s="47" t="n">
        <f aca="false">M752+N752+O752</f>
        <v>0.7842175</v>
      </c>
      <c r="T752" s="47" t="n">
        <f aca="false">M752+P752</f>
        <v>0.786918</v>
      </c>
    </row>
    <row r="753" customFormat="false" ht="15" hidden="false" customHeight="false" outlineLevel="0" collapsed="false">
      <c r="A753" s="42" t="s">
        <v>45</v>
      </c>
      <c r="B753" s="42" t="n">
        <v>-20</v>
      </c>
      <c r="C753" s="42" t="n">
        <v>52</v>
      </c>
      <c r="D753" s="42" t="n">
        <v>74290967</v>
      </c>
      <c r="E753" s="43" t="n">
        <v>0.171225739374358</v>
      </c>
      <c r="F753" s="43" t="n">
        <v>0.561202729651559</v>
      </c>
      <c r="G753" s="43" t="n">
        <v>0.509532677672293</v>
      </c>
      <c r="H753" s="43" t="n">
        <v>0.509723823581187</v>
      </c>
      <c r="I753" s="42" t="n">
        <v>1</v>
      </c>
      <c r="J753" s="42" t="n">
        <v>1</v>
      </c>
      <c r="K753" s="44" t="str">
        <f aca="false">IF(AND(I753=1,J753=1),"两者都跟住",IF(AND(I753=0,J753=1),"仅 PC-TBD 跟住",IF(AND(I753=1,J753=0),"仅 VIT-LPS 跟住","都没跟住")))</f>
        <v>两者都跟住</v>
      </c>
      <c r="L753" s="45" t="n">
        <f aca="false">F753-G753</f>
        <v>0.051670051979266</v>
      </c>
      <c r="M753" s="46" t="n">
        <v>0.298185</v>
      </c>
      <c r="N753" s="46" t="n">
        <v>0.1393802</v>
      </c>
      <c r="O753" s="46" t="n">
        <v>0.3658895</v>
      </c>
      <c r="P753" s="46" t="n">
        <v>0.5775454</v>
      </c>
      <c r="Q753" s="46" t="n">
        <v>5.3157257</v>
      </c>
      <c r="R753" s="46" t="n">
        <v>3.0347147</v>
      </c>
      <c r="S753" s="47" t="n">
        <f aca="false">M753+N753+O753</f>
        <v>0.8034547</v>
      </c>
      <c r="T753" s="47" t="n">
        <f aca="false">M753+P753</f>
        <v>0.8757304</v>
      </c>
    </row>
    <row r="754" customFormat="false" ht="15" hidden="false" customHeight="false" outlineLevel="0" collapsed="false">
      <c r="A754" s="42" t="s">
        <v>45</v>
      </c>
      <c r="B754" s="42" t="n">
        <v>-20</v>
      </c>
      <c r="C754" s="42" t="n">
        <v>53</v>
      </c>
      <c r="D754" s="42" t="n">
        <v>74290968</v>
      </c>
      <c r="E754" s="43" t="n">
        <v>0.120827176566694</v>
      </c>
      <c r="F754" s="43" t="n">
        <v>0.383091729975959</v>
      </c>
      <c r="G754" s="43" t="n">
        <v>0.429304995388534</v>
      </c>
      <c r="H754" s="43" t="n">
        <v>0.411005712894663</v>
      </c>
      <c r="I754" s="42" t="n">
        <v>0</v>
      </c>
      <c r="J754" s="42" t="n">
        <v>0</v>
      </c>
      <c r="K754" s="44" t="str">
        <f aca="false">IF(AND(I754=1,J754=1),"两者都跟住",IF(AND(I754=0,J754=1),"仅 PC-TBD 跟住",IF(AND(I754=1,J754=0),"仅 VIT-LPS 跟住","都没跟住")))</f>
        <v>都没跟住</v>
      </c>
      <c r="L754" s="45" t="n">
        <f aca="false">F754-G754</f>
        <v>-0.046213265412575</v>
      </c>
      <c r="M754" s="46" t="n">
        <v>0.2881475</v>
      </c>
      <c r="N754" s="46" t="n">
        <v>0.1464746</v>
      </c>
      <c r="O754" s="46" t="n">
        <v>0.3654565</v>
      </c>
      <c r="P754" s="46" t="n">
        <v>0.5588041</v>
      </c>
      <c r="Q754" s="46" t="n">
        <v>3.2858667</v>
      </c>
      <c r="R754" s="46" t="n">
        <v>3.0678322</v>
      </c>
      <c r="S754" s="47" t="n">
        <f aca="false">M754+N754+O754</f>
        <v>0.8000786</v>
      </c>
      <c r="T754" s="47" t="n">
        <f aca="false">M754+P754</f>
        <v>0.8469516</v>
      </c>
    </row>
    <row r="755" customFormat="false" ht="15" hidden="false" customHeight="false" outlineLevel="0" collapsed="false">
      <c r="A755" s="42" t="s">
        <v>45</v>
      </c>
      <c r="B755" s="42" t="n">
        <v>-20</v>
      </c>
      <c r="C755" s="42" t="n">
        <v>54</v>
      </c>
      <c r="D755" s="42" t="n">
        <v>74290969</v>
      </c>
      <c r="E755" s="43" t="n">
        <v>0.211722399196229</v>
      </c>
      <c r="F755" s="43" t="n">
        <v>0.235331976190134</v>
      </c>
      <c r="G755" s="43" t="n">
        <v>0.194537837960046</v>
      </c>
      <c r="H755" s="43" t="n">
        <v>0.190206792465462</v>
      </c>
      <c r="I755" s="42" t="n">
        <v>1</v>
      </c>
      <c r="J755" s="42" t="n">
        <v>0</v>
      </c>
      <c r="K755" s="44" t="str">
        <f aca="false">IF(AND(I755=1,J755=1),"两者都跟住",IF(AND(I755=0,J755=1),"仅 PC-TBD 跟住",IF(AND(I755=1,J755=0),"仅 VIT-LPS 跟住","都没跟住")))</f>
        <v>仅 VIT-LPS 跟住</v>
      </c>
      <c r="L755" s="45" t="n">
        <f aca="false">F755-G755</f>
        <v>0.040794138230088</v>
      </c>
      <c r="M755" s="46" t="n">
        <v>0.3047141</v>
      </c>
      <c r="N755" s="46" t="n">
        <v>0.143584</v>
      </c>
      <c r="O755" s="46" t="n">
        <v>0.3573803</v>
      </c>
      <c r="P755" s="46" t="n">
        <v>0.5578453</v>
      </c>
      <c r="Q755" s="46" t="n">
        <v>3.7360057</v>
      </c>
      <c r="R755" s="46" t="n">
        <v>3.2828615</v>
      </c>
      <c r="S755" s="47" t="n">
        <f aca="false">M755+N755+O755</f>
        <v>0.8056784</v>
      </c>
      <c r="T755" s="47" t="n">
        <f aca="false">M755+P755</f>
        <v>0.8625594</v>
      </c>
    </row>
    <row r="756" customFormat="false" ht="15" hidden="false" customHeight="false" outlineLevel="0" collapsed="false">
      <c r="A756" s="42" t="s">
        <v>45</v>
      </c>
      <c r="B756" s="42" t="n">
        <v>-20</v>
      </c>
      <c r="C756" s="42" t="n">
        <v>55</v>
      </c>
      <c r="D756" s="42" t="n">
        <v>74290970</v>
      </c>
      <c r="E756" s="43" t="n">
        <v>0.426912834831569</v>
      </c>
      <c r="F756" s="43" t="n">
        <v>0.58053614219554</v>
      </c>
      <c r="G756" s="43" t="n">
        <v>0.533782779219655</v>
      </c>
      <c r="H756" s="43" t="n">
        <v>0.540044229619879</v>
      </c>
      <c r="I756" s="42" t="n">
        <v>1</v>
      </c>
      <c r="J756" s="42" t="n">
        <v>1</v>
      </c>
      <c r="K756" s="44" t="str">
        <f aca="false">IF(AND(I756=1,J756=1),"两者都跟住",IF(AND(I756=0,J756=1),"仅 PC-TBD 跟住",IF(AND(I756=1,J756=0),"仅 VIT-LPS 跟住","都没跟住")))</f>
        <v>两者都跟住</v>
      </c>
      <c r="L756" s="45" t="n">
        <f aca="false">F756-G756</f>
        <v>0.046753362975885</v>
      </c>
      <c r="M756" s="46" t="n">
        <v>0.2999454</v>
      </c>
      <c r="N756" s="46" t="n">
        <v>0.1236865</v>
      </c>
      <c r="O756" s="46" t="n">
        <v>0.3646463</v>
      </c>
      <c r="P756" s="46" t="n">
        <v>0.539328</v>
      </c>
      <c r="Q756" s="46" t="n">
        <v>5.0357772</v>
      </c>
      <c r="R756" s="46" t="n">
        <v>3.308021</v>
      </c>
      <c r="S756" s="47" t="n">
        <f aca="false">M756+N756+O756</f>
        <v>0.7882782</v>
      </c>
      <c r="T756" s="47" t="n">
        <f aca="false">M756+P756</f>
        <v>0.8392734</v>
      </c>
    </row>
    <row r="757" customFormat="false" ht="15" hidden="false" customHeight="false" outlineLevel="0" collapsed="false">
      <c r="A757" s="42" t="s">
        <v>45</v>
      </c>
      <c r="B757" s="42" t="n">
        <v>-20</v>
      </c>
      <c r="C757" s="42" t="n">
        <v>56</v>
      </c>
      <c r="D757" s="42" t="n">
        <v>74290971</v>
      </c>
      <c r="E757" s="43" t="n">
        <v>0.234320430843818</v>
      </c>
      <c r="F757" s="43" t="n">
        <v>0.245271633250199</v>
      </c>
      <c r="G757" s="43" t="n">
        <v>0.38248258729044</v>
      </c>
      <c r="H757" s="43" t="n">
        <v>0.368743647230482</v>
      </c>
      <c r="I757" s="42" t="n">
        <v>0</v>
      </c>
      <c r="J757" s="42" t="n">
        <v>0</v>
      </c>
      <c r="K757" s="44" t="str">
        <f aca="false">IF(AND(I757=1,J757=1),"两者都跟住",IF(AND(I757=0,J757=1),"仅 PC-TBD 跟住",IF(AND(I757=1,J757=0),"仅 VIT-LPS 跟住","都没跟住")))</f>
        <v>都没跟住</v>
      </c>
      <c r="L757" s="45" t="n">
        <f aca="false">F757-G757</f>
        <v>-0.137210954040241</v>
      </c>
      <c r="M757" s="46" t="n">
        <v>0.3102549</v>
      </c>
      <c r="N757" s="46" t="n">
        <v>0.1444318</v>
      </c>
      <c r="O757" s="46" t="n">
        <v>0.3249675</v>
      </c>
      <c r="P757" s="46" t="n">
        <v>0.5541427</v>
      </c>
      <c r="Q757" s="46" t="n">
        <v>3.8231067</v>
      </c>
      <c r="R757" s="46" t="n">
        <v>3.0047837</v>
      </c>
      <c r="S757" s="47" t="n">
        <f aca="false">M757+N757+O757</f>
        <v>0.7796542</v>
      </c>
      <c r="T757" s="47" t="n">
        <f aca="false">M757+P757</f>
        <v>0.8643976</v>
      </c>
    </row>
    <row r="758" customFormat="false" ht="15" hidden="false" customHeight="false" outlineLevel="0" collapsed="false">
      <c r="A758" s="42" t="s">
        <v>45</v>
      </c>
      <c r="B758" s="42" t="n">
        <v>-20</v>
      </c>
      <c r="C758" s="42" t="n">
        <v>57</v>
      </c>
      <c r="D758" s="42" t="n">
        <v>74290972</v>
      </c>
      <c r="E758" s="43" t="n">
        <v>0.0876498844879479</v>
      </c>
      <c r="F758" s="43" t="n">
        <v>0.119958149040086</v>
      </c>
      <c r="G758" s="43" t="n">
        <v>0.34767306242101</v>
      </c>
      <c r="H758" s="43" t="n">
        <v>0.452355234334249</v>
      </c>
      <c r="I758" s="42" t="n">
        <v>0</v>
      </c>
      <c r="J758" s="42" t="n">
        <v>0</v>
      </c>
      <c r="K758" s="44" t="str">
        <f aca="false">IF(AND(I758=1,J758=1),"两者都跟住",IF(AND(I758=0,J758=1),"仅 PC-TBD 跟住",IF(AND(I758=1,J758=0),"仅 VIT-LPS 跟住","都没跟住")))</f>
        <v>都没跟住</v>
      </c>
      <c r="L758" s="45" t="n">
        <f aca="false">F758-G758</f>
        <v>-0.227714913380924</v>
      </c>
      <c r="M758" s="46" t="n">
        <v>0.1561884</v>
      </c>
      <c r="N758" s="46" t="n">
        <v>0.0994602</v>
      </c>
      <c r="O758" s="46" t="n">
        <v>0.1552971</v>
      </c>
      <c r="P758" s="46" t="n">
        <v>0.4382463</v>
      </c>
      <c r="Q758" s="46" t="n">
        <v>4.4272305</v>
      </c>
      <c r="R758" s="46" t="n">
        <v>3.9620409</v>
      </c>
      <c r="S758" s="47" t="n">
        <f aca="false">M758+N758+O758</f>
        <v>0.4109457</v>
      </c>
      <c r="T758" s="47" t="n">
        <f aca="false">M758+P758</f>
        <v>0.5944347</v>
      </c>
    </row>
    <row r="759" customFormat="false" ht="15" hidden="false" customHeight="false" outlineLevel="0" collapsed="false">
      <c r="A759" s="42" t="s">
        <v>45</v>
      </c>
      <c r="B759" s="42" t="n">
        <v>-20</v>
      </c>
      <c r="C759" s="42" t="n">
        <v>58</v>
      </c>
      <c r="D759" s="42" t="n">
        <v>74290973</v>
      </c>
      <c r="E759" s="43" t="n">
        <v>0.16672014485453</v>
      </c>
      <c r="F759" s="43" t="n">
        <v>0.266364253953464</v>
      </c>
      <c r="G759" s="43" t="n">
        <v>0.444591591810197</v>
      </c>
      <c r="H759" s="43" t="n">
        <v>0.43453383618255</v>
      </c>
      <c r="I759" s="42" t="n">
        <v>1</v>
      </c>
      <c r="J759" s="42" t="n">
        <v>0</v>
      </c>
      <c r="K759" s="44" t="str">
        <f aca="false">IF(AND(I759=1,J759=1),"两者都跟住",IF(AND(I759=0,J759=1),"仅 PC-TBD 跟住",IF(AND(I759=1,J759=0),"仅 VIT-LPS 跟住","都没跟住")))</f>
        <v>仅 VIT-LPS 跟住</v>
      </c>
      <c r="L759" s="45" t="n">
        <f aca="false">F759-G759</f>
        <v>-0.178227337856733</v>
      </c>
      <c r="M759" s="46" t="n">
        <v>0.1410904</v>
      </c>
      <c r="N759" s="46" t="n">
        <v>0.0952562</v>
      </c>
      <c r="O759" s="46" t="n">
        <v>0.179293</v>
      </c>
      <c r="P759" s="46" t="n">
        <v>0.4300921</v>
      </c>
      <c r="Q759" s="46" t="n">
        <v>2.2660912</v>
      </c>
      <c r="R759" s="46" t="n">
        <v>1.8412798</v>
      </c>
      <c r="S759" s="47" t="n">
        <f aca="false">M759+N759+O759</f>
        <v>0.4156396</v>
      </c>
      <c r="T759" s="47" t="n">
        <f aca="false">M759+P759</f>
        <v>0.5711825</v>
      </c>
    </row>
    <row r="760" customFormat="false" ht="15" hidden="false" customHeight="false" outlineLevel="0" collapsed="false">
      <c r="A760" s="42" t="s">
        <v>45</v>
      </c>
      <c r="B760" s="42" t="n">
        <v>-20</v>
      </c>
      <c r="C760" s="42" t="n">
        <v>59</v>
      </c>
      <c r="D760" s="42" t="n">
        <v>74290974</v>
      </c>
      <c r="E760" s="43" t="n">
        <v>0.0225222849866251</v>
      </c>
      <c r="F760" s="43" t="n">
        <v>0.0267635275541744</v>
      </c>
      <c r="G760" s="43" t="n">
        <v>0.391141385430288</v>
      </c>
      <c r="H760" s="43" t="n">
        <v>0.459338698124639</v>
      </c>
      <c r="I760" s="42" t="n">
        <v>0</v>
      </c>
      <c r="J760" s="42" t="n">
        <v>1</v>
      </c>
      <c r="K760" s="44" t="str">
        <f aca="false">IF(AND(I760=1,J760=1),"两者都跟住",IF(AND(I760=0,J760=1),"仅 PC-TBD 跟住",IF(AND(I760=1,J760=0),"仅 VIT-LPS 跟住","都没跟住")))</f>
        <v>仅 PC-TBD 跟住</v>
      </c>
      <c r="L760" s="45" t="n">
        <f aca="false">F760-G760</f>
        <v>-0.364377857876114</v>
      </c>
      <c r="M760" s="46" t="n">
        <v>0.1838108</v>
      </c>
      <c r="N760" s="46" t="n">
        <v>0.1087987</v>
      </c>
      <c r="O760" s="46" t="n">
        <v>0.3095855</v>
      </c>
      <c r="P760" s="46" t="n">
        <v>0.5284293</v>
      </c>
      <c r="Q760" s="46" t="n">
        <v>6.8922013</v>
      </c>
      <c r="R760" s="46" t="n">
        <v>2.1076906</v>
      </c>
      <c r="S760" s="47" t="n">
        <f aca="false">M760+N760+O760</f>
        <v>0.602195</v>
      </c>
      <c r="T760" s="47" t="n">
        <f aca="false">M760+P760</f>
        <v>0.7122401</v>
      </c>
    </row>
    <row r="761" customFormat="false" ht="15" hidden="false" customHeight="false" outlineLevel="0" collapsed="false">
      <c r="A761" s="42" t="s">
        <v>45</v>
      </c>
      <c r="B761" s="42" t="n">
        <v>-20</v>
      </c>
      <c r="C761" s="42" t="n">
        <v>60</v>
      </c>
      <c r="D761" s="42" t="n">
        <v>74290975</v>
      </c>
      <c r="E761" s="43" t="n">
        <v>0.27261227523534</v>
      </c>
      <c r="F761" s="43" t="n">
        <v>0.602904887746392</v>
      </c>
      <c r="G761" s="43" t="n">
        <v>0.650476318797257</v>
      </c>
      <c r="H761" s="43" t="n">
        <v>0.637976424617535</v>
      </c>
      <c r="I761" s="42" t="n">
        <v>1</v>
      </c>
      <c r="J761" s="42" t="n">
        <v>1</v>
      </c>
      <c r="K761" s="44" t="str">
        <f aca="false">IF(AND(I761=1,J761=1),"两者都跟住",IF(AND(I761=0,J761=1),"仅 PC-TBD 跟住",IF(AND(I761=1,J761=0),"仅 VIT-LPS 跟住","都没跟住")))</f>
        <v>两者都跟住</v>
      </c>
      <c r="L761" s="45" t="n">
        <f aca="false">F761-G761</f>
        <v>-0.047571431050865</v>
      </c>
      <c r="M761" s="46" t="n">
        <v>0.1748033</v>
      </c>
      <c r="N761" s="46" t="n">
        <v>0.0951801</v>
      </c>
      <c r="O761" s="46" t="n">
        <v>0.1566128</v>
      </c>
      <c r="P761" s="46" t="n">
        <v>0.4192569</v>
      </c>
      <c r="Q761" s="46" t="n">
        <v>4.0565548</v>
      </c>
      <c r="R761" s="46" t="n">
        <v>1.6261084</v>
      </c>
      <c r="S761" s="47" t="n">
        <f aca="false">M761+N761+O761</f>
        <v>0.4265962</v>
      </c>
      <c r="T761" s="47" t="n">
        <f aca="false">M761+P761</f>
        <v>0.5940602</v>
      </c>
    </row>
    <row r="762" customFormat="false" ht="15" hidden="false" customHeight="false" outlineLevel="0" collapsed="false">
      <c r="A762" s="42" t="s">
        <v>45</v>
      </c>
      <c r="B762" s="42" t="n">
        <v>-20</v>
      </c>
      <c r="C762" s="42" t="n">
        <v>61</v>
      </c>
      <c r="D762" s="42" t="n">
        <v>74290976</v>
      </c>
      <c r="E762" s="43" t="n">
        <v>0.195562847264183</v>
      </c>
      <c r="F762" s="43" t="n">
        <v>0.372940421612531</v>
      </c>
      <c r="G762" s="43" t="n">
        <v>0.310975072327706</v>
      </c>
      <c r="H762" s="43" t="n">
        <v>0.343016542709526</v>
      </c>
      <c r="I762" s="42" t="n">
        <v>1</v>
      </c>
      <c r="J762" s="42" t="n">
        <v>0</v>
      </c>
      <c r="K762" s="44" t="str">
        <f aca="false">IF(AND(I762=1,J762=1),"两者都跟住",IF(AND(I762=0,J762=1),"仅 PC-TBD 跟住",IF(AND(I762=1,J762=0),"仅 VIT-LPS 跟住","都没跟住")))</f>
        <v>仅 VIT-LPS 跟住</v>
      </c>
      <c r="L762" s="45" t="n">
        <f aca="false">F762-G762</f>
        <v>0.061965349284825</v>
      </c>
      <c r="M762" s="46" t="n">
        <v>0.2592223</v>
      </c>
      <c r="N762" s="46" t="n">
        <v>0.112551</v>
      </c>
      <c r="O762" s="46" t="n">
        <v>0.3167801</v>
      </c>
      <c r="P762" s="46" t="n">
        <v>0.6347398</v>
      </c>
      <c r="Q762" s="46" t="n">
        <v>3.3124616</v>
      </c>
      <c r="R762" s="46" t="n">
        <v>3.0034804</v>
      </c>
      <c r="S762" s="47" t="n">
        <f aca="false">M762+N762+O762</f>
        <v>0.6885534</v>
      </c>
      <c r="T762" s="47" t="n">
        <f aca="false">M762+P762</f>
        <v>0.8939621</v>
      </c>
    </row>
    <row r="763" customFormat="false" ht="15" hidden="false" customHeight="false" outlineLevel="0" collapsed="false">
      <c r="A763" s="42" t="s">
        <v>45</v>
      </c>
      <c r="B763" s="42" t="n">
        <v>-20</v>
      </c>
      <c r="C763" s="42" t="n">
        <v>62</v>
      </c>
      <c r="D763" s="42" t="n">
        <v>74290977</v>
      </c>
      <c r="E763" s="43" t="n">
        <v>0.540076436366224</v>
      </c>
      <c r="F763" s="43" t="n">
        <v>0.552391555506313</v>
      </c>
      <c r="G763" s="43" t="n">
        <v>0.556806320154759</v>
      </c>
      <c r="H763" s="43" t="n">
        <v>0.587122475363052</v>
      </c>
      <c r="I763" s="42" t="n">
        <v>1</v>
      </c>
      <c r="J763" s="42" t="n">
        <v>1</v>
      </c>
      <c r="K763" s="44" t="str">
        <f aca="false">IF(AND(I763=1,J763=1),"两者都跟住",IF(AND(I763=0,J763=1),"仅 PC-TBD 跟住",IF(AND(I763=1,J763=0),"仅 VIT-LPS 跟住","都没跟住")))</f>
        <v>两者都跟住</v>
      </c>
      <c r="L763" s="45" t="n">
        <f aca="false">F763-G763</f>
        <v>-0.00441476464844592</v>
      </c>
      <c r="M763" s="46" t="n">
        <v>0.2537854</v>
      </c>
      <c r="N763" s="46" t="n">
        <v>0.1540571</v>
      </c>
      <c r="O763" s="46" t="n">
        <v>0.2914221</v>
      </c>
      <c r="P763" s="46" t="n">
        <v>0.642887</v>
      </c>
      <c r="Q763" s="46" t="n">
        <v>6.5383963</v>
      </c>
      <c r="R763" s="46" t="n">
        <v>2.4685421</v>
      </c>
      <c r="S763" s="47" t="n">
        <f aca="false">M763+N763+O763</f>
        <v>0.6992646</v>
      </c>
      <c r="T763" s="47" t="n">
        <f aca="false">M763+P763</f>
        <v>0.8966724</v>
      </c>
    </row>
    <row r="764" customFormat="false" ht="15" hidden="false" customHeight="false" outlineLevel="0" collapsed="false">
      <c r="A764" s="42" t="s">
        <v>45</v>
      </c>
      <c r="B764" s="42" t="n">
        <v>-20</v>
      </c>
      <c r="C764" s="42" t="n">
        <v>63</v>
      </c>
      <c r="D764" s="42" t="n">
        <v>74290978</v>
      </c>
      <c r="E764" s="43" t="n">
        <v>0.225091412622042</v>
      </c>
      <c r="F764" s="43" t="n">
        <v>0.465489872090636</v>
      </c>
      <c r="G764" s="43" t="n">
        <v>0.338352210942659</v>
      </c>
      <c r="H764" s="43" t="n">
        <v>0.345397886343115</v>
      </c>
      <c r="I764" s="42" t="n">
        <v>1</v>
      </c>
      <c r="J764" s="42" t="n">
        <v>1</v>
      </c>
      <c r="K764" s="44" t="str">
        <f aca="false">IF(AND(I764=1,J764=1),"两者都跟住",IF(AND(I764=0,J764=1),"仅 PC-TBD 跟住",IF(AND(I764=1,J764=0),"仅 VIT-LPS 跟住","都没跟住")))</f>
        <v>两者都跟住</v>
      </c>
      <c r="L764" s="45" t="n">
        <f aca="false">F764-G764</f>
        <v>0.127137661147977</v>
      </c>
      <c r="M764" s="46" t="n">
        <v>0.2000429</v>
      </c>
      <c r="N764" s="46" t="n">
        <v>0.1479453</v>
      </c>
      <c r="O764" s="46" t="n">
        <v>0.2787926</v>
      </c>
      <c r="P764" s="46" t="n">
        <v>0.6538851</v>
      </c>
      <c r="Q764" s="46" t="n">
        <v>3.2461148</v>
      </c>
      <c r="R764" s="46" t="n">
        <v>3.0440325</v>
      </c>
      <c r="S764" s="47" t="n">
        <f aca="false">M764+N764+O764</f>
        <v>0.6267808</v>
      </c>
      <c r="T764" s="47" t="n">
        <f aca="false">M764+P764</f>
        <v>0.853928</v>
      </c>
    </row>
    <row r="765" customFormat="false" ht="15" hidden="false" customHeight="false" outlineLevel="0" collapsed="false">
      <c r="A765" s="42" t="s">
        <v>45</v>
      </c>
      <c r="B765" s="42" t="n">
        <v>-20</v>
      </c>
      <c r="C765" s="42" t="n">
        <v>64</v>
      </c>
      <c r="D765" s="42" t="n">
        <v>74290979</v>
      </c>
      <c r="E765" s="43" t="n">
        <v>0.323503084306461</v>
      </c>
      <c r="F765" s="43" t="n">
        <v>0.42854348393941</v>
      </c>
      <c r="G765" s="43" t="n">
        <v>0.390215006767679</v>
      </c>
      <c r="H765" s="43" t="n">
        <v>0.393812003014118</v>
      </c>
      <c r="I765" s="42" t="n">
        <v>0</v>
      </c>
      <c r="J765" s="42" t="n">
        <v>0</v>
      </c>
      <c r="K765" s="44" t="str">
        <f aca="false">IF(AND(I765=1,J765=1),"两者都跟住",IF(AND(I765=0,J765=1),"仅 PC-TBD 跟住",IF(AND(I765=1,J765=0),"仅 VIT-LPS 跟住","都没跟住")))</f>
        <v>都没跟住</v>
      </c>
      <c r="L765" s="45" t="n">
        <f aca="false">F765-G765</f>
        <v>0.038328477171731</v>
      </c>
      <c r="M765" s="46" t="n">
        <v>0.2214995</v>
      </c>
      <c r="N765" s="46" t="n">
        <v>0.1309438</v>
      </c>
      <c r="O765" s="46" t="n">
        <v>0.2453089</v>
      </c>
      <c r="P765" s="46" t="n">
        <v>0.6127457</v>
      </c>
      <c r="Q765" s="46" t="n">
        <v>3.5286206</v>
      </c>
      <c r="R765" s="46" t="n">
        <v>2.8526894</v>
      </c>
      <c r="S765" s="47" t="n">
        <f aca="false">M765+N765+O765</f>
        <v>0.5977522</v>
      </c>
      <c r="T765" s="47" t="n">
        <f aca="false">M765+P765</f>
        <v>0.8342452</v>
      </c>
    </row>
    <row r="766" customFormat="false" ht="15" hidden="false" customHeight="false" outlineLevel="0" collapsed="false">
      <c r="A766" s="42" t="s">
        <v>45</v>
      </c>
      <c r="B766" s="42" t="n">
        <v>-20</v>
      </c>
      <c r="C766" s="42" t="n">
        <v>65</v>
      </c>
      <c r="D766" s="42" t="n">
        <v>74290980</v>
      </c>
      <c r="E766" s="43" t="n">
        <v>0.352939056597205</v>
      </c>
      <c r="F766" s="43" t="n">
        <v>0.362960133633268</v>
      </c>
      <c r="G766" s="43" t="n">
        <v>0.453810428875907</v>
      </c>
      <c r="H766" s="43" t="n">
        <v>0.492119493994917</v>
      </c>
      <c r="I766" s="42" t="n">
        <v>1</v>
      </c>
      <c r="J766" s="42" t="n">
        <v>0</v>
      </c>
      <c r="K766" s="44" t="str">
        <f aca="false">IF(AND(I766=1,J766=1),"两者都跟住",IF(AND(I766=0,J766=1),"仅 PC-TBD 跟住",IF(AND(I766=1,J766=0),"仅 VIT-LPS 跟住","都没跟住")))</f>
        <v>仅 VIT-LPS 跟住</v>
      </c>
      <c r="L766" s="45" t="n">
        <f aca="false">F766-G766</f>
        <v>-0.090850295242639</v>
      </c>
      <c r="M766" s="46" t="n">
        <v>0.2516525</v>
      </c>
      <c r="N766" s="46" t="n">
        <v>0.1380993</v>
      </c>
      <c r="O766" s="46" t="n">
        <v>0.2948665</v>
      </c>
      <c r="P766" s="46" t="n">
        <v>0.5853069</v>
      </c>
      <c r="Q766" s="46" t="n">
        <v>2.7932201</v>
      </c>
      <c r="R766" s="46" t="n">
        <v>2.8994406</v>
      </c>
      <c r="S766" s="47" t="n">
        <f aca="false">M766+N766+O766</f>
        <v>0.6846183</v>
      </c>
      <c r="T766" s="47" t="n">
        <f aca="false">M766+P766</f>
        <v>0.8369594</v>
      </c>
    </row>
    <row r="767" customFormat="false" ht="15" hidden="false" customHeight="false" outlineLevel="0" collapsed="false">
      <c r="A767" s="42" t="s">
        <v>45</v>
      </c>
      <c r="B767" s="42" t="n">
        <v>-20</v>
      </c>
      <c r="C767" s="42" t="n">
        <v>66</v>
      </c>
      <c r="D767" s="42" t="n">
        <v>74290981</v>
      </c>
      <c r="E767" s="43" t="n">
        <v>0.118320870995983</v>
      </c>
      <c r="F767" s="43" t="n">
        <v>0.147402606556125</v>
      </c>
      <c r="G767" s="43" t="n">
        <v>0.193322688996231</v>
      </c>
      <c r="H767" s="43" t="n">
        <v>0.1878084638498</v>
      </c>
      <c r="I767" s="42" t="n">
        <v>0</v>
      </c>
      <c r="J767" s="42" t="n">
        <v>0</v>
      </c>
      <c r="K767" s="44" t="str">
        <f aca="false">IF(AND(I767=1,J767=1),"两者都跟住",IF(AND(I767=0,J767=1),"仅 PC-TBD 跟住",IF(AND(I767=1,J767=0),"仅 VIT-LPS 跟住","都没跟住")))</f>
        <v>都没跟住</v>
      </c>
      <c r="L767" s="45" t="n">
        <f aca="false">F767-G767</f>
        <v>-0.045920082440106</v>
      </c>
      <c r="M767" s="46" t="n">
        <v>0.2405991</v>
      </c>
      <c r="N767" s="46" t="n">
        <v>0.1233886</v>
      </c>
      <c r="O767" s="46" t="n">
        <v>0.3136265</v>
      </c>
      <c r="P767" s="46" t="n">
        <v>0.5669815</v>
      </c>
      <c r="Q767" s="46" t="n">
        <v>3.1036434</v>
      </c>
      <c r="R767" s="46" t="n">
        <v>3.0167424</v>
      </c>
      <c r="S767" s="47" t="n">
        <f aca="false">M767+N767+O767</f>
        <v>0.6776142</v>
      </c>
      <c r="T767" s="47" t="n">
        <f aca="false">M767+P767</f>
        <v>0.8075806</v>
      </c>
    </row>
    <row r="768" customFormat="false" ht="15" hidden="false" customHeight="false" outlineLevel="0" collapsed="false">
      <c r="A768" s="42" t="s">
        <v>45</v>
      </c>
      <c r="B768" s="42" t="n">
        <v>-20</v>
      </c>
      <c r="C768" s="42" t="n">
        <v>67</v>
      </c>
      <c r="D768" s="42" t="n">
        <v>74290982</v>
      </c>
      <c r="E768" s="43" t="n">
        <v>0.0100559567761612</v>
      </c>
      <c r="F768" s="43" t="n">
        <v>0.0182643240837351</v>
      </c>
      <c r="G768" s="43" t="n">
        <v>0.190314230867067</v>
      </c>
      <c r="H768" s="43" t="n">
        <v>0.204580314733251</v>
      </c>
      <c r="I768" s="42" t="n">
        <v>0</v>
      </c>
      <c r="J768" s="42" t="n">
        <v>0</v>
      </c>
      <c r="K768" s="44" t="str">
        <f aca="false">IF(AND(I768=1,J768=1),"两者都跟住",IF(AND(I768=0,J768=1),"仅 PC-TBD 跟住",IF(AND(I768=1,J768=0),"仅 VIT-LPS 跟住","都没跟住")))</f>
        <v>都没跟住</v>
      </c>
      <c r="L768" s="45" t="n">
        <f aca="false">F768-G768</f>
        <v>-0.172049906783332</v>
      </c>
      <c r="M768" s="46" t="n">
        <v>0.14645</v>
      </c>
      <c r="N768" s="46" t="n">
        <v>0.0876807</v>
      </c>
      <c r="O768" s="46" t="n">
        <v>0.2553783</v>
      </c>
      <c r="P768" s="46" t="n">
        <v>0.3999388</v>
      </c>
      <c r="Q768" s="46" t="n">
        <v>5.4302185</v>
      </c>
      <c r="R768" s="46" t="n">
        <v>1.4301232</v>
      </c>
      <c r="S768" s="47" t="n">
        <f aca="false">M768+N768+O768</f>
        <v>0.489509</v>
      </c>
      <c r="T768" s="47" t="n">
        <f aca="false">M768+P768</f>
        <v>0.5463888</v>
      </c>
    </row>
    <row r="769" customFormat="false" ht="15" hidden="false" customHeight="false" outlineLevel="0" collapsed="false">
      <c r="A769" s="42" t="s">
        <v>45</v>
      </c>
      <c r="B769" s="42" t="n">
        <v>-20</v>
      </c>
      <c r="C769" s="42" t="n">
        <v>68</v>
      </c>
      <c r="D769" s="42" t="n">
        <v>74290983</v>
      </c>
      <c r="E769" s="43" t="n">
        <v>0.329391510679711</v>
      </c>
      <c r="F769" s="43" t="n">
        <v>0.462134643529263</v>
      </c>
      <c r="G769" s="43" t="n">
        <v>0.480009765203754</v>
      </c>
      <c r="H769" s="43" t="n">
        <v>0.521770379973144</v>
      </c>
      <c r="I769" s="42" t="n">
        <v>1</v>
      </c>
      <c r="J769" s="42" t="n">
        <v>1</v>
      </c>
      <c r="K769" s="44" t="str">
        <f aca="false">IF(AND(I769=1,J769=1),"两者都跟住",IF(AND(I769=0,J769=1),"仅 PC-TBD 跟住",IF(AND(I769=1,J769=0),"仅 VIT-LPS 跟住","都没跟住")))</f>
        <v>两者都跟住</v>
      </c>
      <c r="L769" s="45" t="n">
        <f aca="false">F769-G769</f>
        <v>-0.017875121674491</v>
      </c>
      <c r="M769" s="46" t="n">
        <v>0.1629825</v>
      </c>
      <c r="N769" s="46" t="n">
        <v>0.0884878</v>
      </c>
      <c r="O769" s="46" t="n">
        <v>0.1691461</v>
      </c>
      <c r="P769" s="46" t="n">
        <v>0.5105863</v>
      </c>
      <c r="Q769" s="46" t="n">
        <v>2.0607426</v>
      </c>
      <c r="R769" s="46" t="n">
        <v>2.5037575</v>
      </c>
      <c r="S769" s="47" t="n">
        <f aca="false">M769+N769+O769</f>
        <v>0.4206164</v>
      </c>
      <c r="T769" s="47" t="n">
        <f aca="false">M769+P769</f>
        <v>0.6735688</v>
      </c>
    </row>
    <row r="770" customFormat="false" ht="15" hidden="false" customHeight="false" outlineLevel="0" collapsed="false">
      <c r="A770" s="42" t="s">
        <v>45</v>
      </c>
      <c r="B770" s="42" t="n">
        <v>-20</v>
      </c>
      <c r="C770" s="42" t="n">
        <v>69</v>
      </c>
      <c r="D770" s="42" t="n">
        <v>74290984</v>
      </c>
      <c r="E770" s="43" t="n">
        <v>0.150807850554074</v>
      </c>
      <c r="F770" s="43" t="n">
        <v>0.308808939198673</v>
      </c>
      <c r="G770" s="43" t="n">
        <v>0.387523493347553</v>
      </c>
      <c r="H770" s="43" t="n">
        <v>0.387523493347553</v>
      </c>
      <c r="I770" s="42" t="n">
        <v>0</v>
      </c>
      <c r="J770" s="42" t="n">
        <v>0</v>
      </c>
      <c r="K770" s="44" t="str">
        <f aca="false">IF(AND(I770=1,J770=1),"两者都跟住",IF(AND(I770=0,J770=1),"仅 PC-TBD 跟住",IF(AND(I770=1,J770=0),"仅 VIT-LPS 跟住","都没跟住")))</f>
        <v>都没跟住</v>
      </c>
      <c r="L770" s="45" t="n">
        <f aca="false">F770-G770</f>
        <v>-0.07871455414888</v>
      </c>
      <c r="M770" s="46" t="n">
        <v>0.1399759</v>
      </c>
      <c r="N770" s="46" t="n">
        <v>0.0869023</v>
      </c>
      <c r="O770" s="46" t="n">
        <v>0.1750982</v>
      </c>
      <c r="P770" s="46" t="n">
        <v>0.4714275</v>
      </c>
      <c r="Q770" s="46" t="n">
        <v>4.1999973</v>
      </c>
      <c r="R770" s="46" t="n">
        <v>2.1501008</v>
      </c>
      <c r="S770" s="47" t="n">
        <f aca="false">M770+N770+O770</f>
        <v>0.4019764</v>
      </c>
      <c r="T770" s="47" t="n">
        <f aca="false">M770+P770</f>
        <v>0.6114034</v>
      </c>
    </row>
    <row r="771" customFormat="false" ht="15" hidden="false" customHeight="false" outlineLevel="0" collapsed="false">
      <c r="A771" s="42" t="s">
        <v>45</v>
      </c>
      <c r="B771" s="42" t="n">
        <v>-20</v>
      </c>
      <c r="C771" s="42" t="n">
        <v>70</v>
      </c>
      <c r="D771" s="42" t="n">
        <v>74290985</v>
      </c>
      <c r="E771" s="43" t="n">
        <v>0.183760647366428</v>
      </c>
      <c r="F771" s="43" t="n">
        <v>0.350936757526001</v>
      </c>
      <c r="G771" s="43" t="n">
        <v>0.346883390780453</v>
      </c>
      <c r="H771" s="43" t="n">
        <v>0.368486540955419</v>
      </c>
      <c r="I771" s="42" t="n">
        <v>0</v>
      </c>
      <c r="J771" s="42" t="n">
        <v>0</v>
      </c>
      <c r="K771" s="44" t="str">
        <f aca="false">IF(AND(I771=1,J771=1),"两者都跟住",IF(AND(I771=0,J771=1),"仅 PC-TBD 跟住",IF(AND(I771=1,J771=0),"仅 VIT-LPS 跟住","都没跟住")))</f>
        <v>都没跟住</v>
      </c>
      <c r="L771" s="45" t="n">
        <f aca="false">F771-G771</f>
        <v>0.00405336674554802</v>
      </c>
      <c r="M771" s="46" t="n">
        <v>0.1369619</v>
      </c>
      <c r="N771" s="46" t="n">
        <v>0.0705679</v>
      </c>
      <c r="O771" s="46" t="n">
        <v>0.1827685</v>
      </c>
      <c r="P771" s="46" t="n">
        <v>0.5230694</v>
      </c>
      <c r="Q771" s="46" t="n">
        <v>4.1923191</v>
      </c>
      <c r="R771" s="46" t="n">
        <v>1.6134136</v>
      </c>
      <c r="S771" s="47" t="n">
        <f aca="false">M771+N771+O771</f>
        <v>0.3902983</v>
      </c>
      <c r="T771" s="47" t="n">
        <f aca="false">M771+P771</f>
        <v>0.6600313</v>
      </c>
    </row>
    <row r="772" customFormat="false" ht="15" hidden="false" customHeight="false" outlineLevel="0" collapsed="false">
      <c r="A772" s="42" t="s">
        <v>45</v>
      </c>
      <c r="B772" s="42" t="n">
        <v>-20</v>
      </c>
      <c r="C772" s="42" t="n">
        <v>71</v>
      </c>
      <c r="D772" s="42" t="n">
        <v>74290986</v>
      </c>
      <c r="E772" s="43" t="n">
        <v>0.229583809453502</v>
      </c>
      <c r="F772" s="43" t="n">
        <v>0.396061663857107</v>
      </c>
      <c r="G772" s="43" t="n">
        <v>0.486555537461564</v>
      </c>
      <c r="H772" s="43" t="n">
        <v>0.505108164632969</v>
      </c>
      <c r="I772" s="42" t="n">
        <v>0</v>
      </c>
      <c r="J772" s="42" t="n">
        <v>0</v>
      </c>
      <c r="K772" s="44" t="str">
        <f aca="false">IF(AND(I772=1,J772=1),"两者都跟住",IF(AND(I772=0,J772=1),"仅 PC-TBD 跟住",IF(AND(I772=1,J772=0),"仅 VIT-LPS 跟住","都没跟住")))</f>
        <v>都没跟住</v>
      </c>
      <c r="L772" s="45" t="n">
        <f aca="false">F772-G772</f>
        <v>-0.090493873604457</v>
      </c>
      <c r="M772" s="46" t="n">
        <v>0.2965883</v>
      </c>
      <c r="N772" s="46" t="n">
        <v>0.1327344</v>
      </c>
      <c r="O772" s="46" t="n">
        <v>0.2063626</v>
      </c>
      <c r="P772" s="46" t="n">
        <v>0.5658931</v>
      </c>
      <c r="Q772" s="46" t="n">
        <v>3.4517918</v>
      </c>
      <c r="R772" s="46" t="n">
        <v>2.2234949</v>
      </c>
      <c r="S772" s="47" t="n">
        <f aca="false">M772+N772+O772</f>
        <v>0.6356853</v>
      </c>
      <c r="T772" s="47" t="n">
        <f aca="false">M772+P772</f>
        <v>0.8624814</v>
      </c>
    </row>
    <row r="773" customFormat="false" ht="15" hidden="false" customHeight="false" outlineLevel="0" collapsed="false">
      <c r="A773" s="42" t="s">
        <v>45</v>
      </c>
      <c r="B773" s="42" t="n">
        <v>-20</v>
      </c>
      <c r="C773" s="42" t="n">
        <v>72</v>
      </c>
      <c r="D773" s="42" t="n">
        <v>74290987</v>
      </c>
      <c r="E773" s="43" t="n">
        <v>0.0142520579756751</v>
      </c>
      <c r="F773" s="43" t="n">
        <v>0.0145620964613276</v>
      </c>
      <c r="G773" s="43" t="n">
        <v>0.174577585804233</v>
      </c>
      <c r="H773" s="43" t="n">
        <v>0.171180477255466</v>
      </c>
      <c r="I773" s="42" t="n">
        <v>0</v>
      </c>
      <c r="J773" s="42" t="n">
        <v>0</v>
      </c>
      <c r="K773" s="44" t="str">
        <f aca="false">IF(AND(I773=1,J773=1),"两者都跟住",IF(AND(I773=0,J773=1),"仅 PC-TBD 跟住",IF(AND(I773=1,J773=0),"仅 VIT-LPS 跟住","都没跟住")))</f>
        <v>都没跟住</v>
      </c>
      <c r="L773" s="45" t="n">
        <f aca="false">F773-G773</f>
        <v>-0.160015489342905</v>
      </c>
      <c r="M773" s="46" t="n">
        <v>0.3077595</v>
      </c>
      <c r="N773" s="46" t="n">
        <v>0.1191174</v>
      </c>
      <c r="O773" s="46" t="n">
        <v>0.3008209</v>
      </c>
      <c r="P773" s="46" t="n">
        <v>0.616498</v>
      </c>
      <c r="Q773" s="46" t="n">
        <v>10.0077856</v>
      </c>
      <c r="R773" s="46" t="n">
        <v>3.326535</v>
      </c>
      <c r="S773" s="47" t="n">
        <f aca="false">M773+N773+O773</f>
        <v>0.7276978</v>
      </c>
      <c r="T773" s="47" t="n">
        <f aca="false">M773+P773</f>
        <v>0.9242575</v>
      </c>
    </row>
    <row r="774" customFormat="false" ht="15" hidden="false" customHeight="false" outlineLevel="0" collapsed="false">
      <c r="A774" s="42" t="s">
        <v>45</v>
      </c>
      <c r="B774" s="42" t="n">
        <v>-20</v>
      </c>
      <c r="C774" s="42" t="n">
        <v>73</v>
      </c>
      <c r="D774" s="42" t="n">
        <v>74290988</v>
      </c>
      <c r="E774" s="43" t="n">
        <v>0.0701011189879222</v>
      </c>
      <c r="F774" s="43" t="n">
        <v>0.137559434643329</v>
      </c>
      <c r="G774" s="43" t="n">
        <v>0.155596623149557</v>
      </c>
      <c r="H774" s="43" t="n">
        <v>0.171536270817219</v>
      </c>
      <c r="I774" s="42" t="n">
        <v>0</v>
      </c>
      <c r="J774" s="42" t="n">
        <v>0</v>
      </c>
      <c r="K774" s="44" t="str">
        <f aca="false">IF(AND(I774=1,J774=1),"两者都跟住",IF(AND(I774=0,J774=1),"仅 PC-TBD 跟住",IF(AND(I774=1,J774=0),"仅 VIT-LPS 跟住","都没跟住")))</f>
        <v>都没跟住</v>
      </c>
      <c r="L774" s="45" t="n">
        <f aca="false">F774-G774</f>
        <v>-0.018037188506228</v>
      </c>
      <c r="M774" s="46" t="n">
        <v>0.2798434</v>
      </c>
      <c r="N774" s="46" t="n">
        <v>0.0970954</v>
      </c>
      <c r="O774" s="46" t="n">
        <v>0.2265215</v>
      </c>
      <c r="P774" s="46" t="n">
        <v>0.5884563</v>
      </c>
      <c r="Q774" s="46" t="n">
        <v>5.2880777</v>
      </c>
      <c r="R774" s="46" t="n">
        <v>3.6065869</v>
      </c>
      <c r="S774" s="47" t="n">
        <f aca="false">M774+N774+O774</f>
        <v>0.6034603</v>
      </c>
      <c r="T774" s="47" t="n">
        <f aca="false">M774+P774</f>
        <v>0.8682997</v>
      </c>
    </row>
    <row r="775" customFormat="false" ht="15" hidden="false" customHeight="false" outlineLevel="0" collapsed="false">
      <c r="A775" s="42" t="s">
        <v>45</v>
      </c>
      <c r="B775" s="42" t="n">
        <v>-20</v>
      </c>
      <c r="C775" s="42" t="n">
        <v>74</v>
      </c>
      <c r="D775" s="42" t="n">
        <v>74290989</v>
      </c>
      <c r="E775" s="43" t="n">
        <v>0.147920728328041</v>
      </c>
      <c r="F775" s="43" t="n">
        <v>0.283971691703249</v>
      </c>
      <c r="G775" s="43" t="n">
        <v>0.461413954021612</v>
      </c>
      <c r="H775" s="43" t="n">
        <v>0.44467030917226</v>
      </c>
      <c r="I775" s="42" t="n">
        <v>0</v>
      </c>
      <c r="J775" s="42" t="n">
        <v>0</v>
      </c>
      <c r="K775" s="44" t="str">
        <f aca="false">IF(AND(I775=1,J775=1),"两者都跟住",IF(AND(I775=0,J775=1),"仅 PC-TBD 跟住",IF(AND(I775=1,J775=0),"仅 VIT-LPS 跟住","都没跟住")))</f>
        <v>都没跟住</v>
      </c>
      <c r="L775" s="45" t="n">
        <f aca="false">F775-G775</f>
        <v>-0.177442262318363</v>
      </c>
      <c r="M775" s="46" t="n">
        <v>0.2736371</v>
      </c>
      <c r="N775" s="46" t="n">
        <v>0.1384665</v>
      </c>
      <c r="O775" s="46" t="n">
        <v>0.2432338</v>
      </c>
      <c r="P775" s="46" t="n">
        <v>0.5618317</v>
      </c>
      <c r="Q775" s="46" t="n">
        <v>4.3275118</v>
      </c>
      <c r="R775" s="46" t="n">
        <v>3.9262936</v>
      </c>
      <c r="S775" s="47" t="n">
        <f aca="false">M775+N775+O775</f>
        <v>0.6553374</v>
      </c>
      <c r="T775" s="47" t="n">
        <f aca="false">M775+P775</f>
        <v>0.8354688</v>
      </c>
    </row>
    <row r="776" customFormat="false" ht="15" hidden="false" customHeight="false" outlineLevel="0" collapsed="false">
      <c r="A776" s="42" t="s">
        <v>45</v>
      </c>
      <c r="B776" s="42" t="n">
        <v>-20</v>
      </c>
      <c r="C776" s="42" t="n">
        <v>75</v>
      </c>
      <c r="D776" s="42" t="n">
        <v>74290990</v>
      </c>
      <c r="E776" s="43" t="n">
        <v>0.0711163429568954</v>
      </c>
      <c r="F776" s="43" t="n">
        <v>0.160531331127901</v>
      </c>
      <c r="G776" s="43" t="n">
        <v>0.274762238671795</v>
      </c>
      <c r="H776" s="43" t="n">
        <v>0.218176577177481</v>
      </c>
      <c r="I776" s="42" t="n">
        <v>0</v>
      </c>
      <c r="J776" s="42" t="n">
        <v>1</v>
      </c>
      <c r="K776" s="44" t="str">
        <f aca="false">IF(AND(I776=1,J776=1),"两者都跟住",IF(AND(I776=0,J776=1),"仅 PC-TBD 跟住",IF(AND(I776=1,J776=0),"仅 VIT-LPS 跟住","都没跟住")))</f>
        <v>仅 PC-TBD 跟住</v>
      </c>
      <c r="L776" s="45" t="n">
        <f aca="false">F776-G776</f>
        <v>-0.114230907543894</v>
      </c>
      <c r="M776" s="46" t="n">
        <v>0.3072207</v>
      </c>
      <c r="N776" s="46" t="n">
        <v>0.1199228</v>
      </c>
      <c r="O776" s="46" t="n">
        <v>0.210949</v>
      </c>
      <c r="P776" s="46" t="n">
        <v>0.6544502</v>
      </c>
      <c r="Q776" s="46" t="n">
        <v>6.9219707</v>
      </c>
      <c r="R776" s="46" t="n">
        <v>3.266276</v>
      </c>
      <c r="S776" s="47" t="n">
        <f aca="false">M776+N776+O776</f>
        <v>0.6380925</v>
      </c>
      <c r="T776" s="47" t="n">
        <f aca="false">M776+P776</f>
        <v>0.9616709</v>
      </c>
    </row>
    <row r="777" customFormat="false" ht="15" hidden="false" customHeight="false" outlineLevel="0" collapsed="false">
      <c r="A777" s="42" t="s">
        <v>45</v>
      </c>
      <c r="B777" s="42" t="n">
        <v>-20</v>
      </c>
      <c r="C777" s="42" t="n">
        <v>76</v>
      </c>
      <c r="D777" s="42" t="n">
        <v>74290991</v>
      </c>
      <c r="E777" s="43" t="n">
        <v>0.264964108426143</v>
      </c>
      <c r="F777" s="43" t="n">
        <v>0.411132213604217</v>
      </c>
      <c r="G777" s="43" t="n">
        <v>0.206887537606288</v>
      </c>
      <c r="H777" s="43" t="n">
        <v>0.221201637545413</v>
      </c>
      <c r="I777" s="42" t="n">
        <v>0</v>
      </c>
      <c r="J777" s="42" t="n">
        <v>0</v>
      </c>
      <c r="K777" s="44" t="str">
        <f aca="false">IF(AND(I777=1,J777=1),"两者都跟住",IF(AND(I777=0,J777=1),"仅 PC-TBD 跟住",IF(AND(I777=1,J777=0),"仅 VIT-LPS 跟住","都没跟住")))</f>
        <v>都没跟住</v>
      </c>
      <c r="L777" s="45" t="n">
        <f aca="false">F777-G777</f>
        <v>0.204244675997929</v>
      </c>
      <c r="M777" s="46" t="n">
        <v>0.3173004</v>
      </c>
      <c r="N777" s="46" t="n">
        <v>0.1210073</v>
      </c>
      <c r="O777" s="46" t="n">
        <v>0.2188292</v>
      </c>
      <c r="P777" s="46" t="n">
        <v>0.5153376</v>
      </c>
      <c r="Q777" s="46" t="n">
        <v>3.9471848</v>
      </c>
      <c r="R777" s="46" t="n">
        <v>2.6736383</v>
      </c>
      <c r="S777" s="47" t="n">
        <f aca="false">M777+N777+O777</f>
        <v>0.6571369</v>
      </c>
      <c r="T777" s="47" t="n">
        <f aca="false">M777+P777</f>
        <v>0.832638</v>
      </c>
    </row>
    <row r="778" customFormat="false" ht="15" hidden="false" customHeight="false" outlineLevel="0" collapsed="false">
      <c r="A778" s="42" t="s">
        <v>45</v>
      </c>
      <c r="B778" s="42" t="n">
        <v>-20</v>
      </c>
      <c r="C778" s="42" t="n">
        <v>77</v>
      </c>
      <c r="D778" s="42" t="n">
        <v>74290992</v>
      </c>
      <c r="E778" s="43" t="n">
        <v>0.218761238411616</v>
      </c>
      <c r="F778" s="43" t="n">
        <v>0.381886288119404</v>
      </c>
      <c r="G778" s="43" t="n">
        <v>0.337359653121098</v>
      </c>
      <c r="H778" s="43" t="n">
        <v>0.346444960787525</v>
      </c>
      <c r="I778" s="42" t="n">
        <v>1</v>
      </c>
      <c r="J778" s="42" t="n">
        <v>1</v>
      </c>
      <c r="K778" s="44" t="str">
        <f aca="false">IF(AND(I778=1,J778=1),"两者都跟住",IF(AND(I778=0,J778=1),"仅 PC-TBD 跟住",IF(AND(I778=1,J778=0),"仅 VIT-LPS 跟住","都没跟住")))</f>
        <v>两者都跟住</v>
      </c>
      <c r="L778" s="45" t="n">
        <f aca="false">F778-G778</f>
        <v>0.044526634998306</v>
      </c>
      <c r="M778" s="46" t="n">
        <v>0.1396039</v>
      </c>
      <c r="N778" s="46" t="n">
        <v>0.1221815</v>
      </c>
      <c r="O778" s="46" t="n">
        <v>0.1732598</v>
      </c>
      <c r="P778" s="46" t="n">
        <v>0.4499498</v>
      </c>
      <c r="Q778" s="46" t="n">
        <v>3.9320846</v>
      </c>
      <c r="R778" s="46" t="n">
        <v>1.2891455</v>
      </c>
      <c r="S778" s="47" t="n">
        <f aca="false">M778+N778+O778</f>
        <v>0.4350452</v>
      </c>
      <c r="T778" s="47" t="n">
        <f aca="false">M778+P778</f>
        <v>0.5895537</v>
      </c>
    </row>
    <row r="779" customFormat="false" ht="15" hidden="false" customHeight="false" outlineLevel="0" collapsed="false">
      <c r="A779" s="42" t="s">
        <v>45</v>
      </c>
      <c r="B779" s="42" t="n">
        <v>-20</v>
      </c>
      <c r="C779" s="42" t="n">
        <v>78</v>
      </c>
      <c r="D779" s="42" t="n">
        <v>74290993</v>
      </c>
      <c r="E779" s="43" t="n">
        <v>0.151718297274425</v>
      </c>
      <c r="F779" s="43" t="n">
        <v>0.204284455874095</v>
      </c>
      <c r="G779" s="43" t="n">
        <v>0.403238540861248</v>
      </c>
      <c r="H779" s="43" t="n">
        <v>0.396594072428797</v>
      </c>
      <c r="I779" s="42" t="n">
        <v>1</v>
      </c>
      <c r="J779" s="42" t="n">
        <v>0</v>
      </c>
      <c r="K779" s="44" t="str">
        <f aca="false">IF(AND(I779=1,J779=1),"两者都跟住",IF(AND(I779=0,J779=1),"仅 PC-TBD 跟住",IF(AND(I779=1,J779=0),"仅 VIT-LPS 跟住","都没跟住")))</f>
        <v>仅 VIT-LPS 跟住</v>
      </c>
      <c r="L779" s="45" t="n">
        <f aca="false">F779-G779</f>
        <v>-0.198954084987153</v>
      </c>
      <c r="M779" s="46" t="n">
        <v>0.1708329</v>
      </c>
      <c r="N779" s="46" t="n">
        <v>0.0839166</v>
      </c>
      <c r="O779" s="46" t="n">
        <v>0.2417794</v>
      </c>
      <c r="P779" s="46" t="n">
        <v>0.5616208</v>
      </c>
      <c r="Q779" s="46" t="n">
        <v>5.0699307</v>
      </c>
      <c r="R779" s="46" t="n">
        <v>2.0243527</v>
      </c>
      <c r="S779" s="47" t="n">
        <f aca="false">M779+N779+O779</f>
        <v>0.4965289</v>
      </c>
      <c r="T779" s="47" t="n">
        <f aca="false">M779+P779</f>
        <v>0.7324537</v>
      </c>
    </row>
    <row r="780" customFormat="false" ht="15" hidden="false" customHeight="false" outlineLevel="0" collapsed="false">
      <c r="A780" s="42" t="s">
        <v>45</v>
      </c>
      <c r="B780" s="42" t="n">
        <v>-20</v>
      </c>
      <c r="C780" s="42" t="n">
        <v>79</v>
      </c>
      <c r="D780" s="42" t="n">
        <v>74290994</v>
      </c>
      <c r="E780" s="43" t="n">
        <v>0.199395187209172</v>
      </c>
      <c r="F780" s="43" t="n">
        <v>0.45306387231726</v>
      </c>
      <c r="G780" s="43" t="n">
        <v>0.280690479014326</v>
      </c>
      <c r="H780" s="43" t="n">
        <v>0.295787753369074</v>
      </c>
      <c r="I780" s="42" t="n">
        <v>1</v>
      </c>
      <c r="J780" s="42" t="n">
        <v>0</v>
      </c>
      <c r="K780" s="44" t="str">
        <f aca="false">IF(AND(I780=1,J780=1),"两者都跟住",IF(AND(I780=0,J780=1),"仅 PC-TBD 跟住",IF(AND(I780=1,J780=0),"仅 VIT-LPS 跟住","都没跟住")))</f>
        <v>仅 VIT-LPS 跟住</v>
      </c>
      <c r="L780" s="45" t="n">
        <f aca="false">F780-G780</f>
        <v>0.172373393302934</v>
      </c>
      <c r="M780" s="46" t="n">
        <v>0.2123692</v>
      </c>
      <c r="N780" s="46" t="n">
        <v>0.1132439</v>
      </c>
      <c r="O780" s="46" t="n">
        <v>0.1841769</v>
      </c>
      <c r="P780" s="46" t="n">
        <v>0.7223113</v>
      </c>
      <c r="Q780" s="46" t="n">
        <v>6.0086657</v>
      </c>
      <c r="R780" s="46" t="n">
        <v>2.5178336</v>
      </c>
      <c r="S780" s="47" t="n">
        <f aca="false">M780+N780+O780</f>
        <v>0.50979</v>
      </c>
      <c r="T780" s="47" t="n">
        <f aca="false">M780+P780</f>
        <v>0.9346805</v>
      </c>
    </row>
    <row r="781" customFormat="false" ht="15" hidden="false" customHeight="false" outlineLevel="0" collapsed="false">
      <c r="A781" s="42" t="s">
        <v>45</v>
      </c>
      <c r="B781" s="42" t="n">
        <v>-20</v>
      </c>
      <c r="C781" s="42" t="n">
        <v>80</v>
      </c>
      <c r="D781" s="42" t="n">
        <v>74290995</v>
      </c>
      <c r="E781" s="43" t="n">
        <v>0.329112526456742</v>
      </c>
      <c r="F781" s="43" t="n">
        <v>0.608885807218335</v>
      </c>
      <c r="G781" s="43" t="n">
        <v>0.406716705408286</v>
      </c>
      <c r="H781" s="43" t="n">
        <v>0.452277355159659</v>
      </c>
      <c r="I781" s="42" t="n">
        <v>1</v>
      </c>
      <c r="J781" s="42" t="n">
        <v>1</v>
      </c>
      <c r="K781" s="44" t="str">
        <f aca="false">IF(AND(I781=1,J781=1),"两者都跟住",IF(AND(I781=0,J781=1),"仅 PC-TBD 跟住",IF(AND(I781=1,J781=0),"仅 VIT-LPS 跟住","都没跟住")))</f>
        <v>两者都跟住</v>
      </c>
      <c r="L781" s="45" t="n">
        <f aca="false">F781-G781</f>
        <v>0.202169101810049</v>
      </c>
      <c r="M781" s="46" t="n">
        <v>0.161085</v>
      </c>
      <c r="N781" s="46" t="n">
        <v>0.1398377</v>
      </c>
      <c r="O781" s="46" t="n">
        <v>0.2123934</v>
      </c>
      <c r="P781" s="46" t="n">
        <v>0.5996717</v>
      </c>
      <c r="Q781" s="46" t="n">
        <v>2.7901292</v>
      </c>
      <c r="R781" s="46" t="n">
        <v>2.0968005</v>
      </c>
      <c r="S781" s="47" t="n">
        <f aca="false">M781+N781+O781</f>
        <v>0.5133161</v>
      </c>
      <c r="T781" s="47" t="n">
        <f aca="false">M781+P781</f>
        <v>0.7607567</v>
      </c>
    </row>
    <row r="782" customFormat="false" ht="15" hidden="false" customHeight="false" outlineLevel="0" collapsed="false">
      <c r="A782" s="42" t="s">
        <v>45</v>
      </c>
      <c r="B782" s="42" t="n">
        <v>-20</v>
      </c>
      <c r="C782" s="42" t="n">
        <v>81</v>
      </c>
      <c r="D782" s="42" t="n">
        <v>74290996</v>
      </c>
      <c r="E782" s="43" t="n">
        <v>0.179919572231687</v>
      </c>
      <c r="F782" s="43" t="n">
        <v>0.37822215787835</v>
      </c>
      <c r="G782" s="43" t="n">
        <v>0.42716739991138</v>
      </c>
      <c r="H782" s="43" t="n">
        <v>0.450151461775708</v>
      </c>
      <c r="I782" s="42" t="n">
        <v>0</v>
      </c>
      <c r="J782" s="42" t="n">
        <v>0</v>
      </c>
      <c r="K782" s="44" t="str">
        <f aca="false">IF(AND(I782=1,J782=1),"两者都跟住",IF(AND(I782=0,J782=1),"仅 PC-TBD 跟住",IF(AND(I782=1,J782=0),"仅 VIT-LPS 跟住","都没跟住")))</f>
        <v>都没跟住</v>
      </c>
      <c r="L782" s="45" t="n">
        <f aca="false">F782-G782</f>
        <v>-0.04894524203303</v>
      </c>
      <c r="M782" s="46" t="n">
        <v>0.2339237</v>
      </c>
      <c r="N782" s="46" t="n">
        <v>0.1052452</v>
      </c>
      <c r="O782" s="46" t="n">
        <v>0.2630702</v>
      </c>
      <c r="P782" s="46" t="n">
        <v>0.5498724</v>
      </c>
      <c r="Q782" s="46" t="n">
        <v>3.1160503</v>
      </c>
      <c r="R782" s="46" t="n">
        <v>2.8471931</v>
      </c>
      <c r="S782" s="47" t="n">
        <f aca="false">M782+N782+O782</f>
        <v>0.6022391</v>
      </c>
      <c r="T782" s="47" t="n">
        <f aca="false">M782+P782</f>
        <v>0.7837961</v>
      </c>
    </row>
    <row r="783" customFormat="false" ht="15" hidden="false" customHeight="false" outlineLevel="0" collapsed="false">
      <c r="A783" s="42" t="s">
        <v>45</v>
      </c>
      <c r="B783" s="42" t="n">
        <v>-20</v>
      </c>
      <c r="C783" s="42" t="n">
        <v>82</v>
      </c>
      <c r="D783" s="42" t="n">
        <v>74290997</v>
      </c>
      <c r="E783" s="43" t="n">
        <v>0.442671583239006</v>
      </c>
      <c r="F783" s="43" t="n">
        <v>0.630209888942945</v>
      </c>
      <c r="G783" s="43" t="n">
        <v>0.711628641050847</v>
      </c>
      <c r="H783" s="43" t="n">
        <v>0.714635410938104</v>
      </c>
      <c r="I783" s="42" t="n">
        <v>1</v>
      </c>
      <c r="J783" s="42" t="n">
        <v>1</v>
      </c>
      <c r="K783" s="44" t="str">
        <f aca="false">IF(AND(I783=1,J783=1),"两者都跟住",IF(AND(I783=0,J783=1),"仅 PC-TBD 跟住",IF(AND(I783=1,J783=0),"仅 VIT-LPS 跟住","都没跟住")))</f>
        <v>两者都跟住</v>
      </c>
      <c r="L783" s="45" t="n">
        <f aca="false">F783-G783</f>
        <v>-0.081418752107902</v>
      </c>
      <c r="M783" s="46" t="n">
        <v>0.2218826</v>
      </c>
      <c r="N783" s="46" t="n">
        <v>0.1399833</v>
      </c>
      <c r="O783" s="46" t="n">
        <v>0.2352909</v>
      </c>
      <c r="P783" s="46" t="n">
        <v>0.5895069</v>
      </c>
      <c r="Q783" s="46" t="n">
        <v>3.4510641</v>
      </c>
      <c r="R783" s="46" t="n">
        <v>3.0064732</v>
      </c>
      <c r="S783" s="47" t="n">
        <f aca="false">M783+N783+O783</f>
        <v>0.5971568</v>
      </c>
      <c r="T783" s="47" t="n">
        <f aca="false">M783+P783</f>
        <v>0.8113895</v>
      </c>
    </row>
    <row r="784" customFormat="false" ht="15" hidden="false" customHeight="false" outlineLevel="0" collapsed="false">
      <c r="A784" s="42" t="s">
        <v>45</v>
      </c>
      <c r="B784" s="42" t="n">
        <v>-20</v>
      </c>
      <c r="C784" s="42" t="n">
        <v>83</v>
      </c>
      <c r="D784" s="42" t="n">
        <v>74290998</v>
      </c>
      <c r="E784" s="43" t="n">
        <v>0.198747907563605</v>
      </c>
      <c r="F784" s="43" t="n">
        <v>0.404364587949604</v>
      </c>
      <c r="G784" s="43" t="n">
        <v>0.494957789536145</v>
      </c>
      <c r="H784" s="43" t="n">
        <v>0.485556240835738</v>
      </c>
      <c r="I784" s="42" t="n">
        <v>1</v>
      </c>
      <c r="J784" s="42" t="n">
        <v>0</v>
      </c>
      <c r="K784" s="44" t="str">
        <f aca="false">IF(AND(I784=1,J784=1),"两者都跟住",IF(AND(I784=0,J784=1),"仅 PC-TBD 跟住",IF(AND(I784=1,J784=0),"仅 VIT-LPS 跟住","都没跟住")))</f>
        <v>仅 VIT-LPS 跟住</v>
      </c>
      <c r="L784" s="45" t="n">
        <f aca="false">F784-G784</f>
        <v>-0.090593201586541</v>
      </c>
      <c r="M784" s="46" t="n">
        <v>0.2316595</v>
      </c>
      <c r="N784" s="46" t="n">
        <v>0.1314339</v>
      </c>
      <c r="O784" s="46" t="n">
        <v>0.2463856</v>
      </c>
      <c r="P784" s="46" t="n">
        <v>0.588206</v>
      </c>
      <c r="Q784" s="46" t="n">
        <v>3.594256</v>
      </c>
      <c r="R784" s="46" t="n">
        <v>3.2592432</v>
      </c>
      <c r="S784" s="47" t="n">
        <f aca="false">M784+N784+O784</f>
        <v>0.609479</v>
      </c>
      <c r="T784" s="47" t="n">
        <f aca="false">M784+P784</f>
        <v>0.8198655</v>
      </c>
    </row>
    <row r="785" customFormat="false" ht="15" hidden="false" customHeight="false" outlineLevel="0" collapsed="false">
      <c r="A785" s="42" t="s">
        <v>45</v>
      </c>
      <c r="B785" s="42" t="n">
        <v>-20</v>
      </c>
      <c r="C785" s="42" t="n">
        <v>84</v>
      </c>
      <c r="D785" s="42" t="n">
        <v>74290999</v>
      </c>
      <c r="E785" s="43" t="n">
        <v>0.540268548840134</v>
      </c>
      <c r="F785" s="43" t="n">
        <v>0.497704212481925</v>
      </c>
      <c r="G785" s="43" t="n">
        <v>0.520230993329884</v>
      </c>
      <c r="H785" s="43" t="n">
        <v>0.465312464186233</v>
      </c>
      <c r="I785" s="42" t="n">
        <v>1</v>
      </c>
      <c r="J785" s="42" t="n">
        <v>0</v>
      </c>
      <c r="K785" s="44" t="str">
        <f aca="false">IF(AND(I785=1,J785=1),"两者都跟住",IF(AND(I785=0,J785=1),"仅 PC-TBD 跟住",IF(AND(I785=1,J785=0),"仅 VIT-LPS 跟住","都没跟住")))</f>
        <v>仅 VIT-LPS 跟住</v>
      </c>
      <c r="L785" s="45" t="n">
        <f aca="false">F785-G785</f>
        <v>-0.022526780847959</v>
      </c>
      <c r="M785" s="46" t="n">
        <v>0.2528203</v>
      </c>
      <c r="N785" s="46" t="n">
        <v>0.1187797</v>
      </c>
      <c r="O785" s="46" t="n">
        <v>0.232442</v>
      </c>
      <c r="P785" s="46" t="n">
        <v>0.5226659</v>
      </c>
      <c r="Q785" s="46" t="n">
        <v>5.3579495</v>
      </c>
      <c r="R785" s="46" t="n">
        <v>3.2641619</v>
      </c>
      <c r="S785" s="47" t="n">
        <f aca="false">M785+N785+O785</f>
        <v>0.604042</v>
      </c>
      <c r="T785" s="47" t="n">
        <f aca="false">M785+P785</f>
        <v>0.7754862</v>
      </c>
    </row>
    <row r="786" customFormat="false" ht="15" hidden="false" customHeight="false" outlineLevel="0" collapsed="false">
      <c r="A786" s="42" t="s">
        <v>45</v>
      </c>
      <c r="B786" s="42" t="n">
        <v>-20</v>
      </c>
      <c r="C786" s="42" t="n">
        <v>85</v>
      </c>
      <c r="D786" s="42" t="n">
        <v>74291000</v>
      </c>
      <c r="E786" s="43" t="n">
        <v>0.0971130623881603</v>
      </c>
      <c r="F786" s="43" t="n">
        <v>0.129483820097778</v>
      </c>
      <c r="G786" s="43" t="n">
        <v>0.345585348833888</v>
      </c>
      <c r="H786" s="43" t="n">
        <v>0.344688880330374</v>
      </c>
      <c r="I786" s="42" t="n">
        <v>0</v>
      </c>
      <c r="J786" s="42" t="n">
        <v>0</v>
      </c>
      <c r="K786" s="44" t="str">
        <f aca="false">IF(AND(I786=1,J786=1),"两者都跟住",IF(AND(I786=0,J786=1),"仅 PC-TBD 跟住",IF(AND(I786=1,J786=0),"仅 VIT-LPS 跟住","都没跟住")))</f>
        <v>都没跟住</v>
      </c>
      <c r="L786" s="45" t="n">
        <f aca="false">F786-G786</f>
        <v>-0.21610152873611</v>
      </c>
      <c r="M786" s="46" t="n">
        <v>0.2579019</v>
      </c>
      <c r="N786" s="46" t="n">
        <v>0.1407389</v>
      </c>
      <c r="O786" s="46" t="n">
        <v>0.2223393</v>
      </c>
      <c r="P786" s="46" t="n">
        <v>0.5619521</v>
      </c>
      <c r="Q786" s="46" t="n">
        <v>6.8778188</v>
      </c>
      <c r="R786" s="46" t="n">
        <v>2.7291393</v>
      </c>
      <c r="S786" s="47" t="n">
        <f aca="false">M786+N786+O786</f>
        <v>0.6209801</v>
      </c>
      <c r="T786" s="47" t="n">
        <f aca="false">M786+P786</f>
        <v>0.819854</v>
      </c>
    </row>
    <row r="787" customFormat="false" ht="15" hidden="false" customHeight="false" outlineLevel="0" collapsed="false">
      <c r="A787" s="42" t="s">
        <v>45</v>
      </c>
      <c r="B787" s="42" t="n">
        <v>-20</v>
      </c>
      <c r="C787" s="42" t="n">
        <v>86</v>
      </c>
      <c r="D787" s="42" t="n">
        <v>74291001</v>
      </c>
      <c r="E787" s="43" t="n">
        <v>0.0154706928644471</v>
      </c>
      <c r="F787" s="43" t="n">
        <v>0.0119671564354413</v>
      </c>
      <c r="G787" s="43" t="n">
        <v>0.278783067252656</v>
      </c>
      <c r="H787" s="43" t="n">
        <v>0.294783740440393</v>
      </c>
      <c r="I787" s="42" t="n">
        <v>0</v>
      </c>
      <c r="J787" s="42" t="n">
        <v>0</v>
      </c>
      <c r="K787" s="44" t="str">
        <f aca="false">IF(AND(I787=1,J787=1),"两者都跟住",IF(AND(I787=0,J787=1),"仅 PC-TBD 跟住",IF(AND(I787=1,J787=0),"仅 VIT-LPS 跟住","都没跟住")))</f>
        <v>都没跟住</v>
      </c>
      <c r="L787" s="45" t="n">
        <f aca="false">F787-G787</f>
        <v>-0.266815910817215</v>
      </c>
      <c r="M787" s="46" t="n">
        <v>0.2289555</v>
      </c>
      <c r="N787" s="46" t="n">
        <v>0.1273135</v>
      </c>
      <c r="O787" s="46" t="n">
        <v>0.3525491</v>
      </c>
      <c r="P787" s="46" t="n">
        <v>0.5418311</v>
      </c>
      <c r="Q787" s="46" t="n">
        <v>4.7991674</v>
      </c>
      <c r="R787" s="46" t="n">
        <v>2.8398495</v>
      </c>
      <c r="S787" s="47" t="n">
        <f aca="false">M787+N787+O787</f>
        <v>0.7088181</v>
      </c>
      <c r="T787" s="47" t="n">
        <f aca="false">M787+P787</f>
        <v>0.7707866</v>
      </c>
    </row>
    <row r="788" customFormat="false" ht="15" hidden="false" customHeight="false" outlineLevel="0" collapsed="false">
      <c r="A788" s="42" t="s">
        <v>45</v>
      </c>
      <c r="B788" s="42" t="n">
        <v>-20</v>
      </c>
      <c r="C788" s="42" t="n">
        <v>87</v>
      </c>
      <c r="D788" s="42" t="n">
        <v>74291002</v>
      </c>
      <c r="E788" s="43" t="n">
        <v>0.180310712365886</v>
      </c>
      <c r="F788" s="43" t="n">
        <v>0.182550558249909</v>
      </c>
      <c r="G788" s="43" t="n">
        <v>0.255797395262662</v>
      </c>
      <c r="H788" s="43" t="n">
        <v>0.256531805163849</v>
      </c>
      <c r="I788" s="42" t="n">
        <v>0</v>
      </c>
      <c r="J788" s="42" t="n">
        <v>0</v>
      </c>
      <c r="K788" s="44" t="str">
        <f aca="false">IF(AND(I788=1,J788=1),"两者都跟住",IF(AND(I788=0,J788=1),"仅 PC-TBD 跟住",IF(AND(I788=1,J788=0),"仅 VIT-LPS 跟住","都没跟住")))</f>
        <v>都没跟住</v>
      </c>
      <c r="L788" s="45" t="n">
        <f aca="false">F788-G788</f>
        <v>-0.073246837012753</v>
      </c>
      <c r="M788" s="46" t="n">
        <v>0.1666788</v>
      </c>
      <c r="N788" s="46" t="n">
        <v>0.0783603</v>
      </c>
      <c r="O788" s="46" t="n">
        <v>0.183242</v>
      </c>
      <c r="P788" s="46" t="n">
        <v>0.4582248</v>
      </c>
      <c r="Q788" s="46" t="n">
        <v>2.9236513</v>
      </c>
      <c r="R788" s="46" t="n">
        <v>1.8671121</v>
      </c>
      <c r="S788" s="47" t="n">
        <f aca="false">M788+N788+O788</f>
        <v>0.4282811</v>
      </c>
      <c r="T788" s="47" t="n">
        <f aca="false">M788+P788</f>
        <v>0.6249036</v>
      </c>
    </row>
    <row r="789" customFormat="false" ht="15" hidden="false" customHeight="false" outlineLevel="0" collapsed="false">
      <c r="A789" s="42" t="s">
        <v>45</v>
      </c>
      <c r="B789" s="42" t="n">
        <v>-20</v>
      </c>
      <c r="C789" s="42" t="n">
        <v>88</v>
      </c>
      <c r="D789" s="42" t="n">
        <v>74291003</v>
      </c>
      <c r="E789" s="43" t="n">
        <v>0.267759981520857</v>
      </c>
      <c r="F789" s="43" t="n">
        <v>0.421330141397978</v>
      </c>
      <c r="G789" s="43" t="n">
        <v>0.420544591986938</v>
      </c>
      <c r="H789" s="43" t="n">
        <v>0.419486386504633</v>
      </c>
      <c r="I789" s="42" t="n">
        <v>1</v>
      </c>
      <c r="J789" s="42" t="n">
        <v>0</v>
      </c>
      <c r="K789" s="44" t="str">
        <f aca="false">IF(AND(I789=1,J789=1),"两者都跟住",IF(AND(I789=0,J789=1),"仅 PC-TBD 跟住",IF(AND(I789=1,J789=0),"仅 VIT-LPS 跟住","都没跟住")))</f>
        <v>仅 VIT-LPS 跟住</v>
      </c>
      <c r="L789" s="45" t="n">
        <f aca="false">F789-G789</f>
        <v>0.000785549411039976</v>
      </c>
      <c r="M789" s="46" t="n">
        <v>0.201484</v>
      </c>
      <c r="N789" s="46" t="n">
        <v>0.1465745</v>
      </c>
      <c r="O789" s="46" t="n">
        <v>0.2581448</v>
      </c>
      <c r="P789" s="46" t="n">
        <v>0.6222988</v>
      </c>
      <c r="Q789" s="46" t="n">
        <v>2.9767812</v>
      </c>
      <c r="R789" s="46" t="n">
        <v>2.241266</v>
      </c>
      <c r="S789" s="47" t="n">
        <f aca="false">M789+N789+O789</f>
        <v>0.6062033</v>
      </c>
      <c r="T789" s="47" t="n">
        <f aca="false">M789+P789</f>
        <v>0.8237828</v>
      </c>
    </row>
    <row r="790" customFormat="false" ht="15" hidden="false" customHeight="false" outlineLevel="0" collapsed="false">
      <c r="A790" s="42" t="s">
        <v>45</v>
      </c>
      <c r="B790" s="42" t="n">
        <v>-20</v>
      </c>
      <c r="C790" s="42" t="n">
        <v>89</v>
      </c>
      <c r="D790" s="42" t="n">
        <v>74291004</v>
      </c>
      <c r="E790" s="43" t="n">
        <v>0.168913417761927</v>
      </c>
      <c r="F790" s="43" t="n">
        <v>0.258371922145667</v>
      </c>
      <c r="G790" s="43" t="n">
        <v>0.386043841159947</v>
      </c>
      <c r="H790" s="43" t="n">
        <v>0.386043841159947</v>
      </c>
      <c r="I790" s="42" t="n">
        <v>0</v>
      </c>
      <c r="J790" s="42" t="n">
        <v>0</v>
      </c>
      <c r="K790" s="44" t="str">
        <f aca="false">IF(AND(I790=1,J790=1),"两者都跟住",IF(AND(I790=0,J790=1),"仅 PC-TBD 跟住",IF(AND(I790=1,J790=0),"仅 VIT-LPS 跟住","都没跟住")))</f>
        <v>都没跟住</v>
      </c>
      <c r="L790" s="45" t="n">
        <f aca="false">F790-G790</f>
        <v>-0.12767191901428</v>
      </c>
      <c r="M790" s="46" t="n">
        <v>0.1839162</v>
      </c>
      <c r="N790" s="46" t="n">
        <v>0.1218875</v>
      </c>
      <c r="O790" s="46" t="n">
        <v>0.192788</v>
      </c>
      <c r="P790" s="46" t="n">
        <v>0.4744436</v>
      </c>
      <c r="Q790" s="46" t="n">
        <v>2.7506853</v>
      </c>
      <c r="R790" s="46" t="n">
        <v>1.6347911</v>
      </c>
      <c r="S790" s="47" t="n">
        <f aca="false">M790+N790+O790</f>
        <v>0.4985917</v>
      </c>
      <c r="T790" s="47" t="n">
        <f aca="false">M790+P790</f>
        <v>0.6583598</v>
      </c>
    </row>
    <row r="791" customFormat="false" ht="15" hidden="false" customHeight="false" outlineLevel="0" collapsed="false">
      <c r="A791" s="42" t="s">
        <v>45</v>
      </c>
      <c r="B791" s="42" t="n">
        <v>-20</v>
      </c>
      <c r="C791" s="42" t="n">
        <v>90</v>
      </c>
      <c r="D791" s="42" t="n">
        <v>74291005</v>
      </c>
      <c r="E791" s="43" t="n">
        <v>0.132549066950325</v>
      </c>
      <c r="F791" s="43" t="n">
        <v>0.214385084837721</v>
      </c>
      <c r="G791" s="43" t="n">
        <v>0.194809618638518</v>
      </c>
      <c r="H791" s="43" t="n">
        <v>0.222159299836185</v>
      </c>
      <c r="I791" s="42" t="n">
        <v>1</v>
      </c>
      <c r="J791" s="42" t="n">
        <v>0</v>
      </c>
      <c r="K791" s="44" t="str">
        <f aca="false">IF(AND(I791=1,J791=1),"两者都跟住",IF(AND(I791=0,J791=1),"仅 PC-TBD 跟住",IF(AND(I791=1,J791=0),"仅 VIT-LPS 跟住","都没跟住")))</f>
        <v>仅 VIT-LPS 跟住</v>
      </c>
      <c r="L791" s="45" t="n">
        <f aca="false">F791-G791</f>
        <v>0.019575466199203</v>
      </c>
      <c r="M791" s="46" t="n">
        <v>0.1632883</v>
      </c>
      <c r="N791" s="46" t="n">
        <v>0.1032098</v>
      </c>
      <c r="O791" s="46" t="n">
        <v>0.1926595</v>
      </c>
      <c r="P791" s="46" t="n">
        <v>0.4957327</v>
      </c>
      <c r="Q791" s="46" t="n">
        <v>5.5743086</v>
      </c>
      <c r="R791" s="46" t="n">
        <v>1.4099433</v>
      </c>
      <c r="S791" s="47" t="n">
        <f aca="false">M791+N791+O791</f>
        <v>0.4591576</v>
      </c>
      <c r="T791" s="47" t="n">
        <f aca="false">M791+P791</f>
        <v>0.659021</v>
      </c>
    </row>
    <row r="792" customFormat="false" ht="15" hidden="false" customHeight="false" outlineLevel="0" collapsed="false">
      <c r="A792" s="42" t="s">
        <v>45</v>
      </c>
      <c r="B792" s="42" t="n">
        <v>-20</v>
      </c>
      <c r="C792" s="42" t="n">
        <v>91</v>
      </c>
      <c r="D792" s="42" t="n">
        <v>74291006</v>
      </c>
      <c r="E792" s="43" t="n">
        <v>0.157588081110758</v>
      </c>
      <c r="F792" s="43" t="n">
        <v>0.495433722892515</v>
      </c>
      <c r="G792" s="43" t="n">
        <v>0.353752983461164</v>
      </c>
      <c r="H792" s="43" t="n">
        <v>0.353134610508809</v>
      </c>
      <c r="I792" s="42" t="n">
        <v>1</v>
      </c>
      <c r="J792" s="42" t="n">
        <v>0</v>
      </c>
      <c r="K792" s="44" t="str">
        <f aca="false">IF(AND(I792=1,J792=1),"两者都跟住",IF(AND(I792=0,J792=1),"仅 PC-TBD 跟住",IF(AND(I792=1,J792=0),"仅 VIT-LPS 跟住","都没跟住")))</f>
        <v>仅 VIT-LPS 跟住</v>
      </c>
      <c r="L792" s="45" t="n">
        <f aca="false">F792-G792</f>
        <v>0.141680739431351</v>
      </c>
      <c r="M792" s="46" t="n">
        <v>0.246681</v>
      </c>
      <c r="N792" s="46" t="n">
        <v>0.1384097</v>
      </c>
      <c r="O792" s="46" t="n">
        <v>0.2488418</v>
      </c>
      <c r="P792" s="46" t="n">
        <v>0.4648827</v>
      </c>
      <c r="Q792" s="46" t="n">
        <v>3.4956545</v>
      </c>
      <c r="R792" s="46" t="n">
        <v>3.2954597</v>
      </c>
      <c r="S792" s="47" t="n">
        <f aca="false">M792+N792+O792</f>
        <v>0.6339325</v>
      </c>
      <c r="T792" s="47" t="n">
        <f aca="false">M792+P792</f>
        <v>0.7115637</v>
      </c>
    </row>
    <row r="793" customFormat="false" ht="15" hidden="false" customHeight="false" outlineLevel="0" collapsed="false">
      <c r="A793" s="42" t="s">
        <v>45</v>
      </c>
      <c r="B793" s="42" t="n">
        <v>-20</v>
      </c>
      <c r="C793" s="42" t="n">
        <v>92</v>
      </c>
      <c r="D793" s="42" t="n">
        <v>74291007</v>
      </c>
      <c r="E793" s="43" t="n">
        <v>0.135379886136047</v>
      </c>
      <c r="F793" s="43" t="n">
        <v>0.413910965303966</v>
      </c>
      <c r="G793" s="43" t="n">
        <v>0.347400504237307</v>
      </c>
      <c r="H793" s="43" t="n">
        <v>0.347400504237307</v>
      </c>
      <c r="I793" s="42" t="n">
        <v>0</v>
      </c>
      <c r="J793" s="42" t="n">
        <v>0</v>
      </c>
      <c r="K793" s="44" t="str">
        <f aca="false">IF(AND(I793=1,J793=1),"两者都跟住",IF(AND(I793=0,J793=1),"仅 PC-TBD 跟住",IF(AND(I793=1,J793=0),"仅 VIT-LPS 跟住","都没跟住")))</f>
        <v>都没跟住</v>
      </c>
      <c r="L793" s="45" t="n">
        <f aca="false">F793-G793</f>
        <v>0.066510461066659</v>
      </c>
      <c r="M793" s="46" t="n">
        <v>0.2319365</v>
      </c>
      <c r="N793" s="46" t="n">
        <v>0.1338531</v>
      </c>
      <c r="O793" s="46" t="n">
        <v>0.2556242</v>
      </c>
      <c r="P793" s="46" t="n">
        <v>0.52874</v>
      </c>
      <c r="Q793" s="46" t="n">
        <v>7.7045663</v>
      </c>
      <c r="R793" s="46" t="n">
        <v>3.3471518</v>
      </c>
      <c r="S793" s="47" t="n">
        <f aca="false">M793+N793+O793</f>
        <v>0.6214138</v>
      </c>
      <c r="T793" s="47" t="n">
        <f aca="false">M793+P793</f>
        <v>0.7606765</v>
      </c>
    </row>
    <row r="794" customFormat="false" ht="15" hidden="false" customHeight="false" outlineLevel="0" collapsed="false">
      <c r="A794" s="42" t="s">
        <v>45</v>
      </c>
      <c r="B794" s="42" t="n">
        <v>-20</v>
      </c>
      <c r="C794" s="42" t="n">
        <v>93</v>
      </c>
      <c r="D794" s="42" t="n">
        <v>74291008</v>
      </c>
      <c r="E794" s="43" t="n">
        <v>0.149122083277892</v>
      </c>
      <c r="F794" s="43" t="n">
        <v>0.286702329805446</v>
      </c>
      <c r="G794" s="43" t="n">
        <v>0.231356117133391</v>
      </c>
      <c r="H794" s="43" t="n">
        <v>0.247022950064325</v>
      </c>
      <c r="I794" s="42" t="n">
        <v>1</v>
      </c>
      <c r="J794" s="42" t="n">
        <v>0</v>
      </c>
      <c r="K794" s="44" t="str">
        <f aca="false">IF(AND(I794=1,J794=1),"两者都跟住",IF(AND(I794=0,J794=1),"仅 PC-TBD 跟住",IF(AND(I794=1,J794=0),"仅 VIT-LPS 跟住","都没跟住")))</f>
        <v>仅 VIT-LPS 跟住</v>
      </c>
      <c r="L794" s="45" t="n">
        <f aca="false">F794-G794</f>
        <v>0.055346212672055</v>
      </c>
      <c r="M794" s="46" t="n">
        <v>0.2521516</v>
      </c>
      <c r="N794" s="46" t="n">
        <v>0.0974074</v>
      </c>
      <c r="O794" s="46" t="n">
        <v>0.2280433</v>
      </c>
      <c r="P794" s="46" t="n">
        <v>0.4614061</v>
      </c>
      <c r="Q794" s="46" t="n">
        <v>7.6947188</v>
      </c>
      <c r="R794" s="46" t="n">
        <v>3.2966619</v>
      </c>
      <c r="S794" s="47" t="n">
        <f aca="false">M794+N794+O794</f>
        <v>0.5776023</v>
      </c>
      <c r="T794" s="47" t="n">
        <f aca="false">M794+P794</f>
        <v>0.7135577</v>
      </c>
    </row>
    <row r="795" customFormat="false" ht="15" hidden="false" customHeight="false" outlineLevel="0" collapsed="false">
      <c r="A795" s="42" t="s">
        <v>45</v>
      </c>
      <c r="B795" s="42" t="n">
        <v>-20</v>
      </c>
      <c r="C795" s="42" t="n">
        <v>94</v>
      </c>
      <c r="D795" s="42" t="n">
        <v>74291009</v>
      </c>
      <c r="E795" s="43" t="n">
        <v>0.129745950791885</v>
      </c>
      <c r="F795" s="43" t="n">
        <v>0.167847642553317</v>
      </c>
      <c r="G795" s="43" t="n">
        <v>0.256156416748186</v>
      </c>
      <c r="H795" s="43" t="n">
        <v>0.281766051687402</v>
      </c>
      <c r="I795" s="42" t="n">
        <v>0</v>
      </c>
      <c r="J795" s="42" t="n">
        <v>0</v>
      </c>
      <c r="K795" s="44" t="str">
        <f aca="false">IF(AND(I795=1,J795=1),"两者都跟住",IF(AND(I795=0,J795=1),"仅 PC-TBD 跟住",IF(AND(I795=1,J795=0),"仅 VIT-LPS 跟住","都没跟住")))</f>
        <v>都没跟住</v>
      </c>
      <c r="L795" s="45" t="n">
        <f aca="false">F795-G795</f>
        <v>-0.088308774194869</v>
      </c>
      <c r="M795" s="46" t="n">
        <v>0.2418498</v>
      </c>
      <c r="N795" s="46" t="n">
        <v>0.1220185</v>
      </c>
      <c r="O795" s="46" t="n">
        <v>0.2250242</v>
      </c>
      <c r="P795" s="46" t="n">
        <v>0.5733516</v>
      </c>
      <c r="Q795" s="46" t="n">
        <v>4.1011048</v>
      </c>
      <c r="R795" s="46" t="n">
        <v>2.6694857</v>
      </c>
      <c r="S795" s="47" t="n">
        <f aca="false">M795+N795+O795</f>
        <v>0.5888925</v>
      </c>
      <c r="T795" s="47" t="n">
        <f aca="false">M795+P795</f>
        <v>0.8152014</v>
      </c>
    </row>
    <row r="796" customFormat="false" ht="15" hidden="false" customHeight="false" outlineLevel="0" collapsed="false">
      <c r="A796" s="42" t="s">
        <v>45</v>
      </c>
      <c r="B796" s="42" t="n">
        <v>-20</v>
      </c>
      <c r="C796" s="42" t="n">
        <v>95</v>
      </c>
      <c r="D796" s="42" t="n">
        <v>74291010</v>
      </c>
      <c r="E796" s="43" t="n">
        <v>0.1284630229544</v>
      </c>
      <c r="F796" s="43" t="n">
        <v>0.241466386729329</v>
      </c>
      <c r="G796" s="43" t="n">
        <v>0.28435493496097</v>
      </c>
      <c r="H796" s="43" t="n">
        <v>0.295422374484129</v>
      </c>
      <c r="I796" s="42" t="n">
        <v>1</v>
      </c>
      <c r="J796" s="42" t="n">
        <v>0</v>
      </c>
      <c r="K796" s="44" t="str">
        <f aca="false">IF(AND(I796=1,J796=1),"两者都跟住",IF(AND(I796=0,J796=1),"仅 PC-TBD 跟住",IF(AND(I796=1,J796=0),"仅 VIT-LPS 跟住","都没跟住")))</f>
        <v>仅 VIT-LPS 跟住</v>
      </c>
      <c r="L796" s="45" t="n">
        <f aca="false">F796-G796</f>
        <v>-0.042888548231641</v>
      </c>
      <c r="M796" s="46" t="n">
        <v>0.2325687</v>
      </c>
      <c r="N796" s="46" t="n">
        <v>0.130753</v>
      </c>
      <c r="O796" s="46" t="n">
        <v>0.2042729</v>
      </c>
      <c r="P796" s="46" t="n">
        <v>0.5399046</v>
      </c>
      <c r="Q796" s="46" t="n">
        <v>3.2696883</v>
      </c>
      <c r="R796" s="46" t="n">
        <v>3.0100431</v>
      </c>
      <c r="S796" s="47" t="n">
        <f aca="false">M796+N796+O796</f>
        <v>0.5675946</v>
      </c>
      <c r="T796" s="47" t="n">
        <f aca="false">M796+P796</f>
        <v>0.7724733</v>
      </c>
    </row>
    <row r="797" customFormat="false" ht="15" hidden="false" customHeight="false" outlineLevel="0" collapsed="false">
      <c r="A797" s="42" t="s">
        <v>45</v>
      </c>
      <c r="B797" s="42" t="n">
        <v>-20</v>
      </c>
      <c r="C797" s="42" t="n">
        <v>96</v>
      </c>
      <c r="D797" s="42" t="n">
        <v>74291011</v>
      </c>
      <c r="E797" s="43" t="n">
        <v>0.313184346054334</v>
      </c>
      <c r="F797" s="43" t="n">
        <v>0.417392118822773</v>
      </c>
      <c r="G797" s="43" t="n">
        <v>0.450551810843677</v>
      </c>
      <c r="H797" s="43" t="n">
        <v>0.424212564921346</v>
      </c>
      <c r="I797" s="42" t="n">
        <v>0</v>
      </c>
      <c r="J797" s="42" t="n">
        <v>0</v>
      </c>
      <c r="K797" s="44" t="str">
        <f aca="false">IF(AND(I797=1,J797=1),"两者都跟住",IF(AND(I797=0,J797=1),"仅 PC-TBD 跟住",IF(AND(I797=1,J797=0),"仅 VIT-LPS 跟住","都没跟住")))</f>
        <v>都没跟住</v>
      </c>
      <c r="L797" s="45" t="n">
        <f aca="false">F797-G797</f>
        <v>-0.033159692020904</v>
      </c>
      <c r="M797" s="46" t="n">
        <v>0.2147083</v>
      </c>
      <c r="N797" s="46" t="n">
        <v>0.1386321</v>
      </c>
      <c r="O797" s="46" t="n">
        <v>0.2656135</v>
      </c>
      <c r="P797" s="46" t="n">
        <v>0.5751565</v>
      </c>
      <c r="Q797" s="46" t="n">
        <v>3.8484036</v>
      </c>
      <c r="R797" s="46" t="n">
        <v>4.1465454</v>
      </c>
      <c r="S797" s="47" t="n">
        <f aca="false">M797+N797+O797</f>
        <v>0.6189539</v>
      </c>
      <c r="T797" s="47" t="n">
        <f aca="false">M797+P797</f>
        <v>0.7898648</v>
      </c>
    </row>
    <row r="798" customFormat="false" ht="15" hidden="false" customHeight="false" outlineLevel="0" collapsed="false">
      <c r="A798" s="42" t="s">
        <v>45</v>
      </c>
      <c r="B798" s="42" t="n">
        <v>-20</v>
      </c>
      <c r="C798" s="42" t="n">
        <v>97</v>
      </c>
      <c r="D798" s="42" t="n">
        <v>74291012</v>
      </c>
      <c r="E798" s="43" t="n">
        <v>0.168451764521012</v>
      </c>
      <c r="F798" s="43" t="n">
        <v>0.256412613083236</v>
      </c>
      <c r="G798" s="43" t="n">
        <v>0.332287844307041</v>
      </c>
      <c r="H798" s="43" t="n">
        <v>0.29674620914646</v>
      </c>
      <c r="I798" s="42" t="n">
        <v>1</v>
      </c>
      <c r="J798" s="42" t="n">
        <v>0</v>
      </c>
      <c r="K798" s="44" t="str">
        <f aca="false">IF(AND(I798=1,J798=1),"两者都跟住",IF(AND(I798=0,J798=1),"仅 PC-TBD 跟住",IF(AND(I798=1,J798=0),"仅 VIT-LPS 跟住","都没跟住")))</f>
        <v>仅 VIT-LPS 跟住</v>
      </c>
      <c r="L798" s="45" t="n">
        <f aca="false">F798-G798</f>
        <v>-0.075875231223805</v>
      </c>
      <c r="M798" s="46" t="n">
        <v>0.1692637</v>
      </c>
      <c r="N798" s="46" t="n">
        <v>0.0943703</v>
      </c>
      <c r="O798" s="46" t="n">
        <v>0.1601445</v>
      </c>
      <c r="P798" s="46" t="n">
        <v>0.4078949</v>
      </c>
      <c r="Q798" s="46" t="n">
        <v>5.5537912</v>
      </c>
      <c r="R798" s="46" t="n">
        <v>0.7636957</v>
      </c>
      <c r="S798" s="47" t="n">
        <f aca="false">M798+N798+O798</f>
        <v>0.4237785</v>
      </c>
      <c r="T798" s="47" t="n">
        <f aca="false">M798+P798</f>
        <v>0.5771586</v>
      </c>
    </row>
    <row r="799" customFormat="false" ht="15" hidden="false" customHeight="false" outlineLevel="0" collapsed="false">
      <c r="A799" s="42" t="s">
        <v>45</v>
      </c>
      <c r="B799" s="42" t="n">
        <v>-20</v>
      </c>
      <c r="C799" s="42" t="n">
        <v>98</v>
      </c>
      <c r="D799" s="42" t="n">
        <v>74291013</v>
      </c>
      <c r="E799" s="43" t="n">
        <v>0.226758539193586</v>
      </c>
      <c r="F799" s="43" t="n">
        <v>0.34229576725185</v>
      </c>
      <c r="G799" s="43" t="n">
        <v>0.270491682270295</v>
      </c>
      <c r="H799" s="43" t="n">
        <v>0.290439251295569</v>
      </c>
      <c r="I799" s="42" t="n">
        <v>1</v>
      </c>
      <c r="J799" s="42" t="n">
        <v>0</v>
      </c>
      <c r="K799" s="44" t="str">
        <f aca="false">IF(AND(I799=1,J799=1),"两者都跟住",IF(AND(I799=0,J799=1),"仅 PC-TBD 跟住",IF(AND(I799=1,J799=0),"仅 VIT-LPS 跟住","都没跟住")))</f>
        <v>仅 VIT-LPS 跟住</v>
      </c>
      <c r="L799" s="45" t="n">
        <f aca="false">F799-G799</f>
        <v>0.071804084981555</v>
      </c>
      <c r="M799" s="46" t="n">
        <v>0.1381957</v>
      </c>
      <c r="N799" s="46" t="n">
        <v>0.1057579</v>
      </c>
      <c r="O799" s="46" t="n">
        <v>0.1413807</v>
      </c>
      <c r="P799" s="46" t="n">
        <v>0.358755</v>
      </c>
      <c r="Q799" s="46" t="n">
        <v>2.4551559</v>
      </c>
      <c r="R799" s="46" t="n">
        <v>2.1770939</v>
      </c>
      <c r="S799" s="47" t="n">
        <f aca="false">M799+N799+O799</f>
        <v>0.3853343</v>
      </c>
      <c r="T799" s="47" t="n">
        <f aca="false">M799+P799</f>
        <v>0.4969507</v>
      </c>
    </row>
    <row r="800" customFormat="false" ht="15" hidden="false" customHeight="false" outlineLevel="0" collapsed="false">
      <c r="A800" s="42" t="s">
        <v>45</v>
      </c>
      <c r="B800" s="42" t="n">
        <v>-20</v>
      </c>
      <c r="C800" s="42" t="n">
        <v>99</v>
      </c>
      <c r="D800" s="42" t="n">
        <v>74291014</v>
      </c>
      <c r="E800" s="43" t="n">
        <v>0.17256934013064</v>
      </c>
      <c r="F800" s="43" t="n">
        <v>0.342278631846871</v>
      </c>
      <c r="G800" s="43" t="n">
        <v>0.307720863009812</v>
      </c>
      <c r="H800" s="43" t="n">
        <v>0.351237467857881</v>
      </c>
      <c r="I800" s="42" t="n">
        <v>1</v>
      </c>
      <c r="J800" s="42" t="n">
        <v>0</v>
      </c>
      <c r="K800" s="44" t="str">
        <f aca="false">IF(AND(I800=1,J800=1),"两者都跟住",IF(AND(I800=0,J800=1),"仅 PC-TBD 跟住",IF(AND(I800=1,J800=0),"仅 VIT-LPS 跟住","都没跟住")))</f>
        <v>仅 VIT-LPS 跟住</v>
      </c>
      <c r="L800" s="45" t="n">
        <f aca="false">F800-G800</f>
        <v>0.034557768837059</v>
      </c>
      <c r="M800" s="46" t="n">
        <v>0.1944594</v>
      </c>
      <c r="N800" s="46" t="n">
        <v>0.1181228</v>
      </c>
      <c r="O800" s="46" t="n">
        <v>0.2268719</v>
      </c>
      <c r="P800" s="46" t="n">
        <v>0.5829816</v>
      </c>
      <c r="Q800" s="46" t="n">
        <v>2.3504291</v>
      </c>
      <c r="R800" s="46" t="n">
        <v>1.8014382</v>
      </c>
      <c r="S800" s="47" t="n">
        <f aca="false">M800+N800+O800</f>
        <v>0.5394541</v>
      </c>
      <c r="T800" s="47" t="n">
        <f aca="false">M800+P800</f>
        <v>0.777441</v>
      </c>
    </row>
    <row r="801" customFormat="false" ht="15" hidden="false" customHeight="false" outlineLevel="0" collapsed="false">
      <c r="A801" s="42" t="s">
        <v>45</v>
      </c>
      <c r="B801" s="42" t="n">
        <v>-20</v>
      </c>
      <c r="C801" s="42" t="n">
        <v>100</v>
      </c>
      <c r="D801" s="42" t="n">
        <v>74291015</v>
      </c>
      <c r="E801" s="43" t="n">
        <v>0.295083183377046</v>
      </c>
      <c r="F801" s="43" t="n">
        <v>0.36972820019373</v>
      </c>
      <c r="G801" s="43" t="n">
        <v>0.413643336711841</v>
      </c>
      <c r="H801" s="43" t="n">
        <v>0.412725020414331</v>
      </c>
      <c r="I801" s="42" t="n">
        <v>0</v>
      </c>
      <c r="J801" s="42" t="n">
        <v>0</v>
      </c>
      <c r="K801" s="44" t="str">
        <f aca="false">IF(AND(I801=1,J801=1),"两者都跟住",IF(AND(I801=0,J801=1),"仅 PC-TBD 跟住",IF(AND(I801=1,J801=0),"仅 VIT-LPS 跟住","都没跟住")))</f>
        <v>都没跟住</v>
      </c>
      <c r="L801" s="45" t="n">
        <f aca="false">F801-G801</f>
        <v>-0.043915136518111</v>
      </c>
      <c r="M801" s="46" t="n">
        <v>0.1328218</v>
      </c>
      <c r="N801" s="46" t="n">
        <v>0.0941394</v>
      </c>
      <c r="O801" s="46" t="n">
        <v>0.1975423</v>
      </c>
      <c r="P801" s="46" t="n">
        <v>0.3791089</v>
      </c>
      <c r="Q801" s="46" t="n">
        <v>2.6790072</v>
      </c>
      <c r="R801" s="46" t="n">
        <v>1.9647716</v>
      </c>
      <c r="S801" s="47" t="n">
        <f aca="false">M801+N801+O801</f>
        <v>0.4245035</v>
      </c>
      <c r="T801" s="47" t="n">
        <f aca="false">M801+P801</f>
        <v>0.5119307</v>
      </c>
    </row>
    <row r="802" customFormat="false" ht="15" hidden="false" customHeight="false" outlineLevel="0" collapsed="false">
      <c r="A802" s="42" t="s">
        <v>45</v>
      </c>
      <c r="B802" s="42" t="n">
        <v>-18</v>
      </c>
      <c r="C802" s="42" t="n">
        <v>1</v>
      </c>
      <c r="D802" s="42" t="n">
        <v>74290916</v>
      </c>
      <c r="E802" s="43" t="n">
        <v>0.339371518069041</v>
      </c>
      <c r="F802" s="43" t="n">
        <v>0.535167315103366</v>
      </c>
      <c r="G802" s="43" t="n">
        <v>0.496903844139873</v>
      </c>
      <c r="H802" s="43" t="n">
        <v>0.537793501652926</v>
      </c>
      <c r="I802" s="42" t="n">
        <v>1</v>
      </c>
      <c r="J802" s="42" t="n">
        <v>1</v>
      </c>
      <c r="K802" s="44" t="str">
        <f aca="false">IF(AND(I802=1,J802=1),"两者都跟住",IF(AND(I802=0,J802=1),"仅 PC-TBD 跟住",IF(AND(I802=1,J802=0),"仅 VIT-LPS 跟住","都没跟住")))</f>
        <v>两者都跟住</v>
      </c>
      <c r="L802" s="45" t="n">
        <f aca="false">F802-G802</f>
        <v>0.038263470963493</v>
      </c>
      <c r="M802" s="46" t="n">
        <v>0.8876467</v>
      </c>
      <c r="N802" s="46" t="n">
        <v>0.5716066</v>
      </c>
      <c r="O802" s="46" t="n">
        <v>4.7837587</v>
      </c>
      <c r="P802" s="46" t="n">
        <v>0.9229309</v>
      </c>
      <c r="Q802" s="46" t="n">
        <v>5.03137</v>
      </c>
      <c r="R802" s="46" t="n">
        <v>2.5574039</v>
      </c>
      <c r="S802" s="47" t="n">
        <f aca="false">M802+N802+O802</f>
        <v>6.243012</v>
      </c>
      <c r="T802" s="47" t="n">
        <f aca="false">M802+P802</f>
        <v>1.8105776</v>
      </c>
    </row>
    <row r="803" customFormat="false" ht="15" hidden="false" customHeight="false" outlineLevel="0" collapsed="false">
      <c r="A803" s="42" t="s">
        <v>45</v>
      </c>
      <c r="B803" s="42" t="n">
        <v>-18</v>
      </c>
      <c r="C803" s="42" t="n">
        <v>2</v>
      </c>
      <c r="D803" s="42" t="n">
        <v>74290917</v>
      </c>
      <c r="E803" s="43" t="n">
        <v>0.397599740601963</v>
      </c>
      <c r="F803" s="43" t="n">
        <v>0.64777177848494</v>
      </c>
      <c r="G803" s="43" t="n">
        <v>0.675551867424194</v>
      </c>
      <c r="H803" s="43" t="n">
        <v>0.656832634342134</v>
      </c>
      <c r="I803" s="42" t="n">
        <v>1</v>
      </c>
      <c r="J803" s="42" t="n">
        <v>1</v>
      </c>
      <c r="K803" s="44" t="str">
        <f aca="false">IF(AND(I803=1,J803=1),"两者都跟住",IF(AND(I803=0,J803=1),"仅 PC-TBD 跟住",IF(AND(I803=1,J803=0),"仅 VIT-LPS 跟住","都没跟住")))</f>
        <v>两者都跟住</v>
      </c>
      <c r="L803" s="45" t="n">
        <f aca="false">F803-G803</f>
        <v>-0.027780088939254</v>
      </c>
      <c r="M803" s="46" t="n">
        <v>0.9594928</v>
      </c>
      <c r="N803" s="46" t="n">
        <v>0.5618332</v>
      </c>
      <c r="O803" s="46" t="n">
        <v>4.778107</v>
      </c>
      <c r="P803" s="46" t="n">
        <v>0.9007733</v>
      </c>
      <c r="Q803" s="46" t="n">
        <v>4.6657947</v>
      </c>
      <c r="R803" s="46" t="n">
        <v>3.6543229</v>
      </c>
      <c r="S803" s="47" t="n">
        <f aca="false">M803+N803+O803</f>
        <v>6.299433</v>
      </c>
      <c r="T803" s="47" t="n">
        <f aca="false">M803+P803</f>
        <v>1.8602661</v>
      </c>
    </row>
    <row r="804" customFormat="false" ht="15" hidden="false" customHeight="false" outlineLevel="0" collapsed="false">
      <c r="A804" s="42" t="s">
        <v>45</v>
      </c>
      <c r="B804" s="42" t="n">
        <v>-18</v>
      </c>
      <c r="C804" s="42" t="n">
        <v>3</v>
      </c>
      <c r="D804" s="42" t="n">
        <v>74290918</v>
      </c>
      <c r="E804" s="43" t="n">
        <v>0.405225739569815</v>
      </c>
      <c r="F804" s="43" t="n">
        <v>0.588757880335483</v>
      </c>
      <c r="G804" s="43" t="n">
        <v>0.523251175893208</v>
      </c>
      <c r="H804" s="43" t="n">
        <v>0.558874009729527</v>
      </c>
      <c r="I804" s="42" t="n">
        <v>1</v>
      </c>
      <c r="J804" s="42" t="n">
        <v>1</v>
      </c>
      <c r="K804" s="44" t="str">
        <f aca="false">IF(AND(I804=1,J804=1),"两者都跟住",IF(AND(I804=0,J804=1),"仅 PC-TBD 跟住",IF(AND(I804=1,J804=0),"仅 VIT-LPS 跟住","都没跟住")))</f>
        <v>两者都跟住</v>
      </c>
      <c r="L804" s="45" t="n">
        <f aca="false">F804-G804</f>
        <v>0.065506704442275</v>
      </c>
      <c r="M804" s="46" t="n">
        <v>0.9114205</v>
      </c>
      <c r="N804" s="46" t="n">
        <v>0.5832975</v>
      </c>
      <c r="O804" s="46" t="n">
        <v>4.781708</v>
      </c>
      <c r="P804" s="46" t="n">
        <v>0.8953129</v>
      </c>
      <c r="Q804" s="46" t="n">
        <v>4.8147245</v>
      </c>
      <c r="R804" s="46" t="n">
        <v>3.3536693</v>
      </c>
      <c r="S804" s="47" t="n">
        <f aca="false">M804+N804+O804</f>
        <v>6.276426</v>
      </c>
      <c r="T804" s="47" t="n">
        <f aca="false">M804+P804</f>
        <v>1.8067334</v>
      </c>
    </row>
    <row r="805" customFormat="false" ht="15" hidden="false" customHeight="false" outlineLevel="0" collapsed="false">
      <c r="A805" s="42" t="s">
        <v>45</v>
      </c>
      <c r="B805" s="42" t="n">
        <v>-18</v>
      </c>
      <c r="C805" s="42" t="n">
        <v>4</v>
      </c>
      <c r="D805" s="42" t="n">
        <v>74290919</v>
      </c>
      <c r="E805" s="43" t="n">
        <v>0.351740368515866</v>
      </c>
      <c r="F805" s="43" t="n">
        <v>0.61642394690258</v>
      </c>
      <c r="G805" s="43" t="n">
        <v>0.620434714704797</v>
      </c>
      <c r="H805" s="43" t="n">
        <v>0.647153151138316</v>
      </c>
      <c r="I805" s="42" t="n">
        <v>1</v>
      </c>
      <c r="J805" s="42" t="n">
        <v>1</v>
      </c>
      <c r="K805" s="44" t="str">
        <f aca="false">IF(AND(I805=1,J805=1),"两者都跟住",IF(AND(I805=0,J805=1),"仅 PC-TBD 跟住",IF(AND(I805=1,J805=0),"仅 VIT-LPS 跟住","都没跟住")))</f>
        <v>两者都跟住</v>
      </c>
      <c r="L805" s="45" t="n">
        <f aca="false">F805-G805</f>
        <v>-0.0040107678022171</v>
      </c>
      <c r="M805" s="46" t="n">
        <v>0.8757388</v>
      </c>
      <c r="N805" s="46" t="n">
        <v>0.5905805</v>
      </c>
      <c r="O805" s="46" t="n">
        <v>4.779158</v>
      </c>
      <c r="P805" s="46" t="n">
        <v>1.0839498</v>
      </c>
      <c r="Q805" s="46" t="n">
        <v>3.5712569</v>
      </c>
      <c r="R805" s="46" t="n">
        <v>3.6109641</v>
      </c>
      <c r="S805" s="47" t="n">
        <f aca="false">M805+N805+O805</f>
        <v>6.2454773</v>
      </c>
      <c r="T805" s="47" t="n">
        <f aca="false">M805+P805</f>
        <v>1.9596886</v>
      </c>
    </row>
    <row r="806" customFormat="false" ht="15" hidden="false" customHeight="false" outlineLevel="0" collapsed="false">
      <c r="A806" s="42" t="s">
        <v>45</v>
      </c>
      <c r="B806" s="42" t="n">
        <v>-18</v>
      </c>
      <c r="C806" s="42" t="n">
        <v>5</v>
      </c>
      <c r="D806" s="42" t="n">
        <v>74290920</v>
      </c>
      <c r="E806" s="43" t="n">
        <v>0.458057908461062</v>
      </c>
      <c r="F806" s="43" t="n">
        <v>0.574991130371799</v>
      </c>
      <c r="G806" s="43" t="n">
        <v>0.520587967328283</v>
      </c>
      <c r="H806" s="43" t="n">
        <v>0.57257812480961</v>
      </c>
      <c r="I806" s="42" t="n">
        <v>1</v>
      </c>
      <c r="J806" s="42" t="n">
        <v>1</v>
      </c>
      <c r="K806" s="44" t="str">
        <f aca="false">IF(AND(I806=1,J806=1),"两者都跟住",IF(AND(I806=0,J806=1),"仅 PC-TBD 跟住",IF(AND(I806=1,J806=0),"仅 VIT-LPS 跟住","都没跟住")))</f>
        <v>两者都跟住</v>
      </c>
      <c r="L806" s="45" t="n">
        <f aca="false">F806-G806</f>
        <v>0.054403163043516</v>
      </c>
      <c r="M806" s="46" t="n">
        <v>0.953611</v>
      </c>
      <c r="N806" s="46" t="n">
        <v>0.563641</v>
      </c>
      <c r="O806" s="46" t="n">
        <v>4.7800105</v>
      </c>
      <c r="P806" s="46" t="n">
        <v>0.9776633</v>
      </c>
      <c r="Q806" s="46" t="n">
        <v>8.752543</v>
      </c>
      <c r="R806" s="46" t="n">
        <v>2.7431337</v>
      </c>
      <c r="S806" s="47" t="n">
        <f aca="false">M806+N806+O806</f>
        <v>6.2972625</v>
      </c>
      <c r="T806" s="47" t="n">
        <f aca="false">M806+P806</f>
        <v>1.9312743</v>
      </c>
    </row>
    <row r="807" customFormat="false" ht="15" hidden="false" customHeight="false" outlineLevel="0" collapsed="false">
      <c r="A807" s="42" t="s">
        <v>45</v>
      </c>
      <c r="B807" s="42" t="n">
        <v>-18</v>
      </c>
      <c r="C807" s="42" t="n">
        <v>6</v>
      </c>
      <c r="D807" s="42" t="n">
        <v>74290921</v>
      </c>
      <c r="E807" s="43" t="n">
        <v>0.301600514529365</v>
      </c>
      <c r="F807" s="43" t="n">
        <v>0.620309704013724</v>
      </c>
      <c r="G807" s="43" t="n">
        <v>0.742965762277442</v>
      </c>
      <c r="H807" s="43" t="n">
        <v>0.736153298141886</v>
      </c>
      <c r="I807" s="42" t="n">
        <v>1</v>
      </c>
      <c r="J807" s="42" t="n">
        <v>1</v>
      </c>
      <c r="K807" s="44" t="str">
        <f aca="false">IF(AND(I807=1,J807=1),"两者都跟住",IF(AND(I807=0,J807=1),"仅 PC-TBD 跟住",IF(AND(I807=1,J807=0),"仅 VIT-LPS 跟住","都没跟住")))</f>
        <v>两者都跟住</v>
      </c>
      <c r="L807" s="45" t="n">
        <f aca="false">F807-G807</f>
        <v>-0.122656058263718</v>
      </c>
      <c r="M807" s="46" t="n">
        <v>0.9458051</v>
      </c>
      <c r="N807" s="46" t="n">
        <v>0.5740764</v>
      </c>
      <c r="O807" s="46" t="n">
        <v>4.7836311</v>
      </c>
      <c r="P807" s="46" t="n">
        <v>0.992407</v>
      </c>
      <c r="Q807" s="46" t="n">
        <v>8.7501089</v>
      </c>
      <c r="R807" s="46" t="n">
        <v>3.0483887</v>
      </c>
      <c r="S807" s="47" t="n">
        <f aca="false">M807+N807+O807</f>
        <v>6.3035126</v>
      </c>
      <c r="T807" s="47" t="n">
        <f aca="false">M807+P807</f>
        <v>1.9382121</v>
      </c>
    </row>
    <row r="808" customFormat="false" ht="15" hidden="false" customHeight="false" outlineLevel="0" collapsed="false">
      <c r="A808" s="42" t="s">
        <v>45</v>
      </c>
      <c r="B808" s="42" t="n">
        <v>-18</v>
      </c>
      <c r="C808" s="42" t="n">
        <v>7</v>
      </c>
      <c r="D808" s="42" t="n">
        <v>74290922</v>
      </c>
      <c r="E808" s="43" t="n">
        <v>0.375231300495512</v>
      </c>
      <c r="F808" s="43" t="n">
        <v>0.477441666885312</v>
      </c>
      <c r="G808" s="43" t="n">
        <v>0.439053102743498</v>
      </c>
      <c r="H808" s="43" t="n">
        <v>0.454313649512958</v>
      </c>
      <c r="I808" s="42" t="n">
        <v>0</v>
      </c>
      <c r="J808" s="42" t="n">
        <v>0</v>
      </c>
      <c r="K808" s="44" t="str">
        <f aca="false">IF(AND(I808=1,J808=1),"两者都跟住",IF(AND(I808=0,J808=1),"仅 PC-TBD 跟住",IF(AND(I808=1,J808=0),"仅 VIT-LPS 跟住","都没跟住")))</f>
        <v>都没跟住</v>
      </c>
      <c r="L808" s="45" t="n">
        <f aca="false">F808-G808</f>
        <v>0.038388564141814</v>
      </c>
      <c r="M808" s="46" t="n">
        <v>0.2604552</v>
      </c>
      <c r="N808" s="46" t="n">
        <v>0.1780884</v>
      </c>
      <c r="O808" s="46" t="n">
        <v>0.477784</v>
      </c>
      <c r="P808" s="46" t="n">
        <v>0.7485267</v>
      </c>
      <c r="Q808" s="46" t="n">
        <v>5.0567957</v>
      </c>
      <c r="R808" s="46" t="n">
        <v>1.5372356</v>
      </c>
      <c r="S808" s="47" t="n">
        <f aca="false">M808+N808+O808</f>
        <v>0.9163276</v>
      </c>
      <c r="T808" s="47" t="n">
        <f aca="false">M808+P808</f>
        <v>1.0089819</v>
      </c>
    </row>
    <row r="809" customFormat="false" ht="15" hidden="false" customHeight="false" outlineLevel="0" collapsed="false">
      <c r="A809" s="42" t="s">
        <v>45</v>
      </c>
      <c r="B809" s="42" t="n">
        <v>-18</v>
      </c>
      <c r="C809" s="42" t="n">
        <v>8</v>
      </c>
      <c r="D809" s="42" t="n">
        <v>74290923</v>
      </c>
      <c r="E809" s="43" t="n">
        <v>0.38993718762532</v>
      </c>
      <c r="F809" s="43" t="n">
        <v>0.578761311666713</v>
      </c>
      <c r="G809" s="43" t="n">
        <v>0.68289028889123</v>
      </c>
      <c r="H809" s="43" t="n">
        <v>0.687455851317925</v>
      </c>
      <c r="I809" s="42" t="n">
        <v>1</v>
      </c>
      <c r="J809" s="42" t="n">
        <v>1</v>
      </c>
      <c r="K809" s="44" t="str">
        <f aca="false">IF(AND(I809=1,J809=1),"两者都跟住",IF(AND(I809=0,J809=1),"仅 PC-TBD 跟住",IF(AND(I809=1,J809=0),"仅 VIT-LPS 跟住","都没跟住")))</f>
        <v>两者都跟住</v>
      </c>
      <c r="L809" s="45" t="n">
        <f aca="false">F809-G809</f>
        <v>-0.104128977224517</v>
      </c>
      <c r="M809" s="46" t="n">
        <v>0.2995542</v>
      </c>
      <c r="N809" s="46" t="n">
        <v>0.1346391</v>
      </c>
      <c r="O809" s="46" t="n">
        <v>0.5306712</v>
      </c>
      <c r="P809" s="46" t="n">
        <v>0.7643314</v>
      </c>
      <c r="Q809" s="46" t="n">
        <v>2.8699749</v>
      </c>
      <c r="R809" s="46" t="n">
        <v>2.5244849</v>
      </c>
      <c r="S809" s="47" t="n">
        <f aca="false">M809+N809+O809</f>
        <v>0.9648645</v>
      </c>
      <c r="T809" s="47" t="n">
        <f aca="false">M809+P809</f>
        <v>1.0638856</v>
      </c>
    </row>
    <row r="810" customFormat="false" ht="15" hidden="false" customHeight="false" outlineLevel="0" collapsed="false">
      <c r="A810" s="42" t="s">
        <v>45</v>
      </c>
      <c r="B810" s="42" t="n">
        <v>-18</v>
      </c>
      <c r="C810" s="42" t="n">
        <v>9</v>
      </c>
      <c r="D810" s="42" t="n">
        <v>74290924</v>
      </c>
      <c r="E810" s="43" t="n">
        <v>0.461096536179179</v>
      </c>
      <c r="F810" s="43" t="n">
        <v>0.682998958653885</v>
      </c>
      <c r="G810" s="43" t="n">
        <v>0.632856731137251</v>
      </c>
      <c r="H810" s="43" t="n">
        <v>0.62578958831006</v>
      </c>
      <c r="I810" s="42" t="n">
        <v>1</v>
      </c>
      <c r="J810" s="42" t="n">
        <v>1</v>
      </c>
      <c r="K810" s="44" t="str">
        <f aca="false">IF(AND(I810=1,J810=1),"两者都跟住",IF(AND(I810=0,J810=1),"仅 PC-TBD 跟住",IF(AND(I810=1,J810=0),"仅 VIT-LPS 跟住","都没跟住")))</f>
        <v>两者都跟住</v>
      </c>
      <c r="L810" s="45" t="n">
        <f aca="false">F810-G810</f>
        <v>0.050142227516634</v>
      </c>
      <c r="M810" s="46" t="n">
        <v>0.2578786</v>
      </c>
      <c r="N810" s="46" t="n">
        <v>0.1650692</v>
      </c>
      <c r="O810" s="46" t="n">
        <v>0.444439</v>
      </c>
      <c r="P810" s="46" t="n">
        <v>0.7124199</v>
      </c>
      <c r="Q810" s="46" t="n">
        <v>2.7381743</v>
      </c>
      <c r="R810" s="46" t="n">
        <v>1.2702482</v>
      </c>
      <c r="S810" s="47" t="n">
        <f aca="false">M810+N810+O810</f>
        <v>0.8673868</v>
      </c>
      <c r="T810" s="47" t="n">
        <f aca="false">M810+P810</f>
        <v>0.9702985</v>
      </c>
    </row>
    <row r="811" customFormat="false" ht="15" hidden="false" customHeight="false" outlineLevel="0" collapsed="false">
      <c r="A811" s="42" t="s">
        <v>45</v>
      </c>
      <c r="B811" s="42" t="n">
        <v>-18</v>
      </c>
      <c r="C811" s="42" t="n">
        <v>10</v>
      </c>
      <c r="D811" s="42" t="n">
        <v>74290925</v>
      </c>
      <c r="E811" s="43" t="n">
        <v>0.313634167285559</v>
      </c>
      <c r="F811" s="43" t="n">
        <v>0.445320239698563</v>
      </c>
      <c r="G811" s="43" t="n">
        <v>0.470468871356922</v>
      </c>
      <c r="H811" s="43" t="n">
        <v>0.471613409987278</v>
      </c>
      <c r="I811" s="42" t="n">
        <v>1</v>
      </c>
      <c r="J811" s="42" t="n">
        <v>0</v>
      </c>
      <c r="K811" s="44" t="str">
        <f aca="false">IF(AND(I811=1,J811=1),"两者都跟住",IF(AND(I811=0,J811=1),"仅 PC-TBD 跟住",IF(AND(I811=1,J811=0),"仅 VIT-LPS 跟住","都没跟住")))</f>
        <v>仅 VIT-LPS 跟住</v>
      </c>
      <c r="L811" s="45" t="n">
        <f aca="false">F811-G811</f>
        <v>-0.025148631658359</v>
      </c>
      <c r="M811" s="46" t="n">
        <v>0.2679597</v>
      </c>
      <c r="N811" s="46" t="n">
        <v>0.1528607</v>
      </c>
      <c r="O811" s="46" t="n">
        <v>0.4745719</v>
      </c>
      <c r="P811" s="46" t="n">
        <v>0.6777948</v>
      </c>
      <c r="Q811" s="46" t="n">
        <v>6.4207049</v>
      </c>
      <c r="R811" s="46" t="n">
        <v>1.8389916</v>
      </c>
      <c r="S811" s="47" t="n">
        <f aca="false">M811+N811+O811</f>
        <v>0.8953923</v>
      </c>
      <c r="T811" s="47" t="n">
        <f aca="false">M811+P811</f>
        <v>0.9457545</v>
      </c>
    </row>
    <row r="812" customFormat="false" ht="15" hidden="false" customHeight="false" outlineLevel="0" collapsed="false">
      <c r="A812" s="42" t="s">
        <v>45</v>
      </c>
      <c r="B812" s="42" t="n">
        <v>-18</v>
      </c>
      <c r="C812" s="42" t="n">
        <v>11</v>
      </c>
      <c r="D812" s="42" t="n">
        <v>74290926</v>
      </c>
      <c r="E812" s="43" t="n">
        <v>0.148450403844936</v>
      </c>
      <c r="F812" s="43" t="n">
        <v>0.56071284015174</v>
      </c>
      <c r="G812" s="43" t="n">
        <v>0.338871446999369</v>
      </c>
      <c r="H812" s="43" t="n">
        <v>0.371567132992618</v>
      </c>
      <c r="I812" s="42" t="n">
        <v>1</v>
      </c>
      <c r="J812" s="42" t="n">
        <v>0</v>
      </c>
      <c r="K812" s="44" t="str">
        <f aca="false">IF(AND(I812=1,J812=1),"两者都跟住",IF(AND(I812=0,J812=1),"仅 PC-TBD 跟住",IF(AND(I812=1,J812=0),"仅 VIT-LPS 跟住","都没跟住")))</f>
        <v>仅 VIT-LPS 跟住</v>
      </c>
      <c r="L812" s="45" t="n">
        <f aca="false">F812-G812</f>
        <v>0.221841393152371</v>
      </c>
      <c r="M812" s="46" t="n">
        <v>0.2890598</v>
      </c>
      <c r="N812" s="46" t="n">
        <v>0.1320395</v>
      </c>
      <c r="O812" s="46" t="n">
        <v>0.3358816</v>
      </c>
      <c r="P812" s="46" t="n">
        <v>1.1138157</v>
      </c>
      <c r="Q812" s="46" t="n">
        <v>7.0415457</v>
      </c>
      <c r="R812" s="46" t="n">
        <v>3.5988891</v>
      </c>
      <c r="S812" s="47" t="n">
        <f aca="false">M812+N812+O812</f>
        <v>0.7569809</v>
      </c>
      <c r="T812" s="47" t="n">
        <f aca="false">M812+P812</f>
        <v>1.4028755</v>
      </c>
    </row>
    <row r="813" customFormat="false" ht="15" hidden="false" customHeight="false" outlineLevel="0" collapsed="false">
      <c r="A813" s="42" t="s">
        <v>45</v>
      </c>
      <c r="B813" s="42" t="n">
        <v>-18</v>
      </c>
      <c r="C813" s="42" t="n">
        <v>12</v>
      </c>
      <c r="D813" s="42" t="n">
        <v>74290927</v>
      </c>
      <c r="E813" s="43" t="n">
        <v>0.402018301592716</v>
      </c>
      <c r="F813" s="43" t="n">
        <v>0.619897532761561</v>
      </c>
      <c r="G813" s="43" t="n">
        <v>0.560068082308772</v>
      </c>
      <c r="H813" s="43" t="n">
        <v>0.575378060869725</v>
      </c>
      <c r="I813" s="42" t="n">
        <v>1</v>
      </c>
      <c r="J813" s="42" t="n">
        <v>1</v>
      </c>
      <c r="K813" s="44" t="str">
        <f aca="false">IF(AND(I813=1,J813=1),"两者都跟住",IF(AND(I813=0,J813=1),"仅 PC-TBD 跟住",IF(AND(I813=1,J813=0),"仅 VIT-LPS 跟住","都没跟住")))</f>
        <v>两者都跟住</v>
      </c>
      <c r="L813" s="45" t="n">
        <f aca="false">F813-G813</f>
        <v>0.059829450452789</v>
      </c>
      <c r="M813" s="46" t="n">
        <v>0.3159859</v>
      </c>
      <c r="N813" s="46" t="n">
        <v>0.1693123</v>
      </c>
      <c r="O813" s="46" t="n">
        <v>0.3212132</v>
      </c>
      <c r="P813" s="46" t="n">
        <v>0.8267055</v>
      </c>
      <c r="Q813" s="46" t="n">
        <v>5.9560952</v>
      </c>
      <c r="R813" s="46" t="n">
        <v>3.2173689</v>
      </c>
      <c r="S813" s="47" t="n">
        <f aca="false">M813+N813+O813</f>
        <v>0.8065114</v>
      </c>
      <c r="T813" s="47" t="n">
        <f aca="false">M813+P813</f>
        <v>1.1426914</v>
      </c>
    </row>
    <row r="814" customFormat="false" ht="15" hidden="false" customHeight="false" outlineLevel="0" collapsed="false">
      <c r="A814" s="42" t="s">
        <v>45</v>
      </c>
      <c r="B814" s="42" t="n">
        <v>-18</v>
      </c>
      <c r="C814" s="42" t="n">
        <v>13</v>
      </c>
      <c r="D814" s="42" t="n">
        <v>74290928</v>
      </c>
      <c r="E814" s="43" t="n">
        <v>0.3269708210336</v>
      </c>
      <c r="F814" s="43" t="n">
        <v>0.364531481556386</v>
      </c>
      <c r="G814" s="43" t="n">
        <v>0.584524761152784</v>
      </c>
      <c r="H814" s="43" t="n">
        <v>0.606056680497589</v>
      </c>
      <c r="I814" s="42" t="n">
        <v>1</v>
      </c>
      <c r="J814" s="42" t="n">
        <v>1</v>
      </c>
      <c r="K814" s="44" t="str">
        <f aca="false">IF(AND(I814=1,J814=1),"两者都跟住",IF(AND(I814=0,J814=1),"仅 PC-TBD 跟住",IF(AND(I814=1,J814=0),"仅 VIT-LPS 跟住","都没跟住")))</f>
        <v>两者都跟住</v>
      </c>
      <c r="L814" s="45" t="n">
        <f aca="false">F814-G814</f>
        <v>-0.219993279596398</v>
      </c>
      <c r="M814" s="46" t="n">
        <v>0.3507527</v>
      </c>
      <c r="N814" s="46" t="n">
        <v>0.163515</v>
      </c>
      <c r="O814" s="46" t="n">
        <v>0.3456182</v>
      </c>
      <c r="P814" s="46" t="n">
        <v>0.8215383</v>
      </c>
      <c r="Q814" s="46" t="n">
        <v>6.1704121</v>
      </c>
      <c r="R814" s="46" t="n">
        <v>3.9295607</v>
      </c>
      <c r="S814" s="47" t="n">
        <f aca="false">M814+N814+O814</f>
        <v>0.8598859</v>
      </c>
      <c r="T814" s="47" t="n">
        <f aca="false">M814+P814</f>
        <v>1.172291</v>
      </c>
    </row>
    <row r="815" customFormat="false" ht="15" hidden="false" customHeight="false" outlineLevel="0" collapsed="false">
      <c r="A815" s="42" t="s">
        <v>45</v>
      </c>
      <c r="B815" s="42" t="n">
        <v>-18</v>
      </c>
      <c r="C815" s="42" t="n">
        <v>14</v>
      </c>
      <c r="D815" s="42" t="n">
        <v>74290929</v>
      </c>
      <c r="E815" s="43" t="n">
        <v>0.40642356638105</v>
      </c>
      <c r="F815" s="43" t="n">
        <v>0.526775812340917</v>
      </c>
      <c r="G815" s="43" t="n">
        <v>0.646156110172385</v>
      </c>
      <c r="H815" s="43" t="n">
        <v>0.653137850520004</v>
      </c>
      <c r="I815" s="42" t="n">
        <v>1</v>
      </c>
      <c r="J815" s="42" t="n">
        <v>1</v>
      </c>
      <c r="K815" s="44" t="str">
        <f aca="false">IF(AND(I815=1,J815=1),"两者都跟住",IF(AND(I815=0,J815=1),"仅 PC-TBD 跟住",IF(AND(I815=1,J815=0),"仅 VIT-LPS 跟住","都没跟住")))</f>
        <v>两者都跟住</v>
      </c>
      <c r="L815" s="45" t="n">
        <f aca="false">F815-G815</f>
        <v>-0.119380297831468</v>
      </c>
      <c r="M815" s="46" t="n">
        <v>0.334799</v>
      </c>
      <c r="N815" s="46" t="n">
        <v>0.1674713</v>
      </c>
      <c r="O815" s="46" t="n">
        <v>0.3212523</v>
      </c>
      <c r="P815" s="46" t="n">
        <v>1.0084655</v>
      </c>
      <c r="Q815" s="46" t="n">
        <v>6.1383388</v>
      </c>
      <c r="R815" s="46" t="n">
        <v>2.7325343</v>
      </c>
      <c r="S815" s="47" t="n">
        <f aca="false">M815+N815+O815</f>
        <v>0.8235226</v>
      </c>
      <c r="T815" s="47" t="n">
        <f aca="false">M815+P815</f>
        <v>1.3432645</v>
      </c>
    </row>
    <row r="816" customFormat="false" ht="15" hidden="false" customHeight="false" outlineLevel="0" collapsed="false">
      <c r="A816" s="42" t="s">
        <v>45</v>
      </c>
      <c r="B816" s="42" t="n">
        <v>-18</v>
      </c>
      <c r="C816" s="42" t="n">
        <v>15</v>
      </c>
      <c r="D816" s="42" t="n">
        <v>74290930</v>
      </c>
      <c r="E816" s="43" t="n">
        <v>0.308631942451923</v>
      </c>
      <c r="F816" s="43" t="n">
        <v>0.48084546232063</v>
      </c>
      <c r="G816" s="43" t="n">
        <v>0.576507181832809</v>
      </c>
      <c r="H816" s="43" t="n">
        <v>0.563796156520002</v>
      </c>
      <c r="I816" s="42" t="n">
        <v>1</v>
      </c>
      <c r="J816" s="42" t="n">
        <v>1</v>
      </c>
      <c r="K816" s="44" t="str">
        <f aca="false">IF(AND(I816=1,J816=1),"两者都跟住",IF(AND(I816=0,J816=1),"仅 PC-TBD 跟住",IF(AND(I816=1,J816=0),"仅 VIT-LPS 跟住","都没跟住")))</f>
        <v>两者都跟住</v>
      </c>
      <c r="L816" s="45" t="n">
        <f aca="false">F816-G816</f>
        <v>-0.095661719512179</v>
      </c>
      <c r="M816" s="46" t="n">
        <v>0.3208833</v>
      </c>
      <c r="N816" s="46" t="n">
        <v>0.1667068</v>
      </c>
      <c r="O816" s="46" t="n">
        <v>0.4053186</v>
      </c>
      <c r="P816" s="46" t="n">
        <v>0.9964921</v>
      </c>
      <c r="Q816" s="46" t="n">
        <v>3.175421</v>
      </c>
      <c r="R816" s="46" t="n">
        <v>3.6961989</v>
      </c>
      <c r="S816" s="47" t="n">
        <f aca="false">M816+N816+O816</f>
        <v>0.8929087</v>
      </c>
      <c r="T816" s="47" t="n">
        <f aca="false">M816+P816</f>
        <v>1.3173754</v>
      </c>
    </row>
    <row r="817" customFormat="false" ht="15" hidden="false" customHeight="false" outlineLevel="0" collapsed="false">
      <c r="A817" s="42" t="s">
        <v>45</v>
      </c>
      <c r="B817" s="42" t="n">
        <v>-18</v>
      </c>
      <c r="C817" s="42" t="n">
        <v>16</v>
      </c>
      <c r="D817" s="42" t="n">
        <v>74290931</v>
      </c>
      <c r="E817" s="43" t="n">
        <v>0.310971621391816</v>
      </c>
      <c r="F817" s="43" t="n">
        <v>0.652533004641306</v>
      </c>
      <c r="G817" s="43" t="n">
        <v>0.508408528418989</v>
      </c>
      <c r="H817" s="43" t="n">
        <v>0.578580447727214</v>
      </c>
      <c r="I817" s="42" t="n">
        <v>1</v>
      </c>
      <c r="J817" s="42" t="n">
        <v>0</v>
      </c>
      <c r="K817" s="44" t="str">
        <f aca="false">IF(AND(I817=1,J817=1),"两者都跟住",IF(AND(I817=0,J817=1),"仅 PC-TBD 跟住",IF(AND(I817=1,J817=0),"仅 VIT-LPS 跟住","都没跟住")))</f>
        <v>仅 VIT-LPS 跟住</v>
      </c>
      <c r="L817" s="45" t="n">
        <f aca="false">F817-G817</f>
        <v>0.144124476222317</v>
      </c>
      <c r="M817" s="46" t="n">
        <v>0.3196766</v>
      </c>
      <c r="N817" s="46" t="n">
        <v>0.169578</v>
      </c>
      <c r="O817" s="46" t="n">
        <v>0.4450001</v>
      </c>
      <c r="P817" s="46" t="n">
        <v>0.9244753</v>
      </c>
      <c r="Q817" s="46" t="n">
        <v>3.1541819</v>
      </c>
      <c r="R817" s="46" t="n">
        <v>2.4657494</v>
      </c>
      <c r="S817" s="47" t="n">
        <f aca="false">M817+N817+O817</f>
        <v>0.9342547</v>
      </c>
      <c r="T817" s="47" t="n">
        <f aca="false">M817+P817</f>
        <v>1.2441519</v>
      </c>
    </row>
    <row r="818" customFormat="false" ht="15" hidden="false" customHeight="false" outlineLevel="0" collapsed="false">
      <c r="A818" s="42" t="s">
        <v>45</v>
      </c>
      <c r="B818" s="42" t="n">
        <v>-18</v>
      </c>
      <c r="C818" s="42" t="n">
        <v>17</v>
      </c>
      <c r="D818" s="42" t="n">
        <v>74290932</v>
      </c>
      <c r="E818" s="43" t="n">
        <v>0.590191438307148</v>
      </c>
      <c r="F818" s="43" t="n">
        <v>0.705829574921267</v>
      </c>
      <c r="G818" s="43" t="n">
        <v>0.589380707139657</v>
      </c>
      <c r="H818" s="43" t="n">
        <v>0.634564540545058</v>
      </c>
      <c r="I818" s="42" t="n">
        <v>1</v>
      </c>
      <c r="J818" s="42" t="n">
        <v>1</v>
      </c>
      <c r="K818" s="44" t="str">
        <f aca="false">IF(AND(I818=1,J818=1),"两者都跟住",IF(AND(I818=0,J818=1),"仅 PC-TBD 跟住",IF(AND(I818=1,J818=0),"仅 VIT-LPS 跟住","都没跟住")))</f>
        <v>两者都跟住</v>
      </c>
      <c r="L818" s="45" t="n">
        <f aca="false">F818-G818</f>
        <v>0.11644886778161</v>
      </c>
      <c r="M818" s="46" t="n">
        <v>0.1431941</v>
      </c>
      <c r="N818" s="46" t="n">
        <v>0.1233273</v>
      </c>
      <c r="O818" s="46" t="n">
        <v>0.3339871</v>
      </c>
      <c r="P818" s="46" t="n">
        <v>0.7317058</v>
      </c>
      <c r="Q818" s="46" t="n">
        <v>2.1662176</v>
      </c>
      <c r="R818" s="46" t="n">
        <v>3.699589</v>
      </c>
      <c r="S818" s="47" t="n">
        <f aca="false">M818+N818+O818</f>
        <v>0.6005085</v>
      </c>
      <c r="T818" s="47" t="n">
        <f aca="false">M818+P818</f>
        <v>0.8748999</v>
      </c>
    </row>
    <row r="819" customFormat="false" ht="15" hidden="false" customHeight="false" outlineLevel="0" collapsed="false">
      <c r="A819" s="42" t="s">
        <v>45</v>
      </c>
      <c r="B819" s="42" t="n">
        <v>-18</v>
      </c>
      <c r="C819" s="42" t="n">
        <v>18</v>
      </c>
      <c r="D819" s="42" t="n">
        <v>74290933</v>
      </c>
      <c r="E819" s="43" t="n">
        <v>0.310018753069927</v>
      </c>
      <c r="F819" s="43" t="n">
        <v>0.335073572906638</v>
      </c>
      <c r="G819" s="43" t="n">
        <v>0.408302263392298</v>
      </c>
      <c r="H819" s="43" t="n">
        <v>0.424420258360083</v>
      </c>
      <c r="I819" s="42" t="n">
        <v>1</v>
      </c>
      <c r="J819" s="42" t="n">
        <v>0</v>
      </c>
      <c r="K819" s="44" t="str">
        <f aca="false">IF(AND(I819=1,J819=1),"两者都跟住",IF(AND(I819=0,J819=1),"仅 PC-TBD 跟住",IF(AND(I819=1,J819=0),"仅 VIT-LPS 跟住","都没跟住")))</f>
        <v>仅 VIT-LPS 跟住</v>
      </c>
      <c r="L819" s="45" t="n">
        <f aca="false">F819-G819</f>
        <v>-0.0732286904856601</v>
      </c>
      <c r="M819" s="46" t="n">
        <v>0.1755822</v>
      </c>
      <c r="N819" s="46" t="n">
        <v>0.1325856</v>
      </c>
      <c r="O819" s="46" t="n">
        <v>0.4148932</v>
      </c>
      <c r="P819" s="46" t="n">
        <v>0.8070184</v>
      </c>
      <c r="Q819" s="46" t="n">
        <v>7.5371414</v>
      </c>
      <c r="R819" s="46" t="n">
        <v>2.3235748</v>
      </c>
      <c r="S819" s="47" t="n">
        <f aca="false">M819+N819+O819</f>
        <v>0.723061</v>
      </c>
      <c r="T819" s="47" t="n">
        <f aca="false">M819+P819</f>
        <v>0.9826006</v>
      </c>
    </row>
    <row r="820" customFormat="false" ht="15" hidden="false" customHeight="false" outlineLevel="0" collapsed="false">
      <c r="A820" s="42" t="s">
        <v>45</v>
      </c>
      <c r="B820" s="42" t="n">
        <v>-18</v>
      </c>
      <c r="C820" s="42" t="n">
        <v>19</v>
      </c>
      <c r="D820" s="42" t="n">
        <v>74290934</v>
      </c>
      <c r="E820" s="43" t="n">
        <v>0.218465522408818</v>
      </c>
      <c r="F820" s="43" t="n">
        <v>0.426632109938131</v>
      </c>
      <c r="G820" s="43" t="n">
        <v>0.50064740464944</v>
      </c>
      <c r="H820" s="43" t="n">
        <v>0.523159547180382</v>
      </c>
      <c r="I820" s="42" t="n">
        <v>0</v>
      </c>
      <c r="J820" s="42" t="n">
        <v>0</v>
      </c>
      <c r="K820" s="44" t="str">
        <f aca="false">IF(AND(I820=1,J820=1),"两者都跟住",IF(AND(I820=0,J820=1),"仅 PC-TBD 跟住",IF(AND(I820=1,J820=0),"仅 VIT-LPS 跟住","都没跟住")))</f>
        <v>都没跟住</v>
      </c>
      <c r="L820" s="45" t="n">
        <f aca="false">F820-G820</f>
        <v>-0.074015294711309</v>
      </c>
      <c r="M820" s="46" t="n">
        <v>0.1632645</v>
      </c>
      <c r="N820" s="46" t="n">
        <v>0.0912754</v>
      </c>
      <c r="O820" s="46" t="n">
        <v>0.3250671</v>
      </c>
      <c r="P820" s="46" t="n">
        <v>0.6924483</v>
      </c>
      <c r="Q820" s="46" t="n">
        <v>9.1745625</v>
      </c>
      <c r="R820" s="46" t="n">
        <v>2.7671721</v>
      </c>
      <c r="S820" s="47" t="n">
        <f aca="false">M820+N820+O820</f>
        <v>0.579607</v>
      </c>
      <c r="T820" s="47" t="n">
        <f aca="false">M820+P820</f>
        <v>0.8557128</v>
      </c>
    </row>
    <row r="821" customFormat="false" ht="15" hidden="false" customHeight="false" outlineLevel="0" collapsed="false">
      <c r="A821" s="42" t="s">
        <v>45</v>
      </c>
      <c r="B821" s="42" t="n">
        <v>-18</v>
      </c>
      <c r="C821" s="42" t="n">
        <v>20</v>
      </c>
      <c r="D821" s="42" t="n">
        <v>74290935</v>
      </c>
      <c r="E821" s="43" t="n">
        <v>0.325496598567574</v>
      </c>
      <c r="F821" s="43" t="n">
        <v>0.504345667014526</v>
      </c>
      <c r="G821" s="43" t="n">
        <v>0.604948667285231</v>
      </c>
      <c r="H821" s="43" t="n">
        <v>0.609968706837864</v>
      </c>
      <c r="I821" s="42" t="n">
        <v>1</v>
      </c>
      <c r="J821" s="42" t="n">
        <v>1</v>
      </c>
      <c r="K821" s="44" t="str">
        <f aca="false">IF(AND(I821=1,J821=1),"两者都跟住",IF(AND(I821=0,J821=1),"仅 PC-TBD 跟住",IF(AND(I821=1,J821=0),"仅 VIT-LPS 跟住","都没跟住")))</f>
        <v>两者都跟住</v>
      </c>
      <c r="L821" s="45" t="n">
        <f aca="false">F821-G821</f>
        <v>-0.100603000270705</v>
      </c>
      <c r="M821" s="46" t="n">
        <v>0.1594287</v>
      </c>
      <c r="N821" s="46" t="n">
        <v>0.1358838</v>
      </c>
      <c r="O821" s="46" t="n">
        <v>0.3782251</v>
      </c>
      <c r="P821" s="46" t="n">
        <v>0.6056869</v>
      </c>
      <c r="Q821" s="46" t="n">
        <v>2.8830887</v>
      </c>
      <c r="R821" s="46" t="n">
        <v>4.4353153</v>
      </c>
      <c r="S821" s="47" t="n">
        <f aca="false">M821+N821+O821</f>
        <v>0.6735376</v>
      </c>
      <c r="T821" s="47" t="n">
        <f aca="false">M821+P821</f>
        <v>0.7651156</v>
      </c>
    </row>
    <row r="822" customFormat="false" ht="15" hidden="false" customHeight="false" outlineLevel="0" collapsed="false">
      <c r="A822" s="42" t="s">
        <v>45</v>
      </c>
      <c r="B822" s="42" t="n">
        <v>-18</v>
      </c>
      <c r="C822" s="42" t="n">
        <v>21</v>
      </c>
      <c r="D822" s="42" t="n">
        <v>74290936</v>
      </c>
      <c r="E822" s="43" t="n">
        <v>0.324257972555631</v>
      </c>
      <c r="F822" s="43" t="n">
        <v>0.524536709029782</v>
      </c>
      <c r="G822" s="43" t="n">
        <v>0.57759605536464</v>
      </c>
      <c r="H822" s="43" t="n">
        <v>0.592750977254846</v>
      </c>
      <c r="I822" s="42" t="n">
        <v>1</v>
      </c>
      <c r="J822" s="42" t="n">
        <v>0</v>
      </c>
      <c r="K822" s="44" t="str">
        <f aca="false">IF(AND(I822=1,J822=1),"两者都跟住",IF(AND(I822=0,J822=1),"仅 PC-TBD 跟住",IF(AND(I822=1,J822=0),"仅 VIT-LPS 跟住","都没跟住")))</f>
        <v>仅 VIT-LPS 跟住</v>
      </c>
      <c r="L822" s="45" t="n">
        <f aca="false">F822-G822</f>
        <v>-0.053059346334858</v>
      </c>
      <c r="M822" s="46" t="n">
        <v>0.3221223</v>
      </c>
      <c r="N822" s="46" t="n">
        <v>0.1473346</v>
      </c>
      <c r="O822" s="46" t="n">
        <v>0.5916298</v>
      </c>
      <c r="P822" s="46" t="n">
        <v>0.8035296</v>
      </c>
      <c r="Q822" s="46" t="n">
        <v>3.6604446</v>
      </c>
      <c r="R822" s="46" t="n">
        <v>2.5547615</v>
      </c>
      <c r="S822" s="47" t="n">
        <f aca="false">M822+N822+O822</f>
        <v>1.0610867</v>
      </c>
      <c r="T822" s="47" t="n">
        <f aca="false">M822+P822</f>
        <v>1.1256519</v>
      </c>
    </row>
    <row r="823" customFormat="false" ht="15" hidden="false" customHeight="false" outlineLevel="0" collapsed="false">
      <c r="A823" s="42" t="s">
        <v>45</v>
      </c>
      <c r="B823" s="42" t="n">
        <v>-18</v>
      </c>
      <c r="C823" s="42" t="n">
        <v>22</v>
      </c>
      <c r="D823" s="42" t="n">
        <v>74290937</v>
      </c>
      <c r="E823" s="43" t="n">
        <v>0.489036736997832</v>
      </c>
      <c r="F823" s="43" t="n">
        <v>0.661205938361594</v>
      </c>
      <c r="G823" s="43" t="n">
        <v>0.714131994146787</v>
      </c>
      <c r="H823" s="43" t="n">
        <v>0.713816763430141</v>
      </c>
      <c r="I823" s="42" t="n">
        <v>1</v>
      </c>
      <c r="J823" s="42" t="n">
        <v>1</v>
      </c>
      <c r="K823" s="44" t="str">
        <f aca="false">IF(AND(I823=1,J823=1),"两者都跟住",IF(AND(I823=0,J823=1),"仅 PC-TBD 跟住",IF(AND(I823=1,J823=0),"仅 VIT-LPS 跟住","都没跟住")))</f>
        <v>两者都跟住</v>
      </c>
      <c r="L823" s="45" t="n">
        <f aca="false">F823-G823</f>
        <v>-0.0529260557851929</v>
      </c>
      <c r="M823" s="46" t="n">
        <v>0.355309</v>
      </c>
      <c r="N823" s="46" t="n">
        <v>0.137698</v>
      </c>
      <c r="O823" s="46" t="n">
        <v>0.5122595</v>
      </c>
      <c r="P823" s="46" t="n">
        <v>0.7392964</v>
      </c>
      <c r="Q823" s="46" t="n">
        <v>3.4042662</v>
      </c>
      <c r="R823" s="46" t="n">
        <v>3.1370793</v>
      </c>
      <c r="S823" s="47" t="n">
        <f aca="false">M823+N823+O823</f>
        <v>1.0052665</v>
      </c>
      <c r="T823" s="47" t="n">
        <f aca="false">M823+P823</f>
        <v>1.0946054</v>
      </c>
    </row>
    <row r="824" customFormat="false" ht="15" hidden="false" customHeight="false" outlineLevel="0" collapsed="false">
      <c r="A824" s="42" t="s">
        <v>45</v>
      </c>
      <c r="B824" s="42" t="n">
        <v>-18</v>
      </c>
      <c r="C824" s="42" t="n">
        <v>23</v>
      </c>
      <c r="D824" s="42" t="n">
        <v>74290938</v>
      </c>
      <c r="E824" s="43" t="n">
        <v>0.583344960246278</v>
      </c>
      <c r="F824" s="43" t="n">
        <v>0.757635498239518</v>
      </c>
      <c r="G824" s="43" t="n">
        <v>0.77424826791435</v>
      </c>
      <c r="H824" s="43" t="n">
        <v>0.762555519850841</v>
      </c>
      <c r="I824" s="42" t="n">
        <v>1</v>
      </c>
      <c r="J824" s="42" t="n">
        <v>1</v>
      </c>
      <c r="K824" s="44" t="str">
        <f aca="false">IF(AND(I824=1,J824=1),"两者都跟住",IF(AND(I824=0,J824=1),"仅 PC-TBD 跟住",IF(AND(I824=1,J824=0),"仅 VIT-LPS 跟住","都没跟住")))</f>
        <v>两者都跟住</v>
      </c>
      <c r="L824" s="45" t="n">
        <f aca="false">F824-G824</f>
        <v>-0.0166127696748319</v>
      </c>
      <c r="M824" s="46" t="n">
        <v>0.3339218</v>
      </c>
      <c r="N824" s="46" t="n">
        <v>0.1585669</v>
      </c>
      <c r="O824" s="46" t="n">
        <v>0.5991732</v>
      </c>
      <c r="P824" s="46" t="n">
        <v>0.7806289</v>
      </c>
      <c r="Q824" s="46" t="n">
        <v>3.2724716</v>
      </c>
      <c r="R824" s="46" t="n">
        <v>2.5703441</v>
      </c>
      <c r="S824" s="47" t="n">
        <f aca="false">M824+N824+O824</f>
        <v>1.0916619</v>
      </c>
      <c r="T824" s="47" t="n">
        <f aca="false">M824+P824</f>
        <v>1.1145507</v>
      </c>
    </row>
    <row r="825" customFormat="false" ht="15" hidden="false" customHeight="false" outlineLevel="0" collapsed="false">
      <c r="A825" s="42" t="s">
        <v>45</v>
      </c>
      <c r="B825" s="42" t="n">
        <v>-18</v>
      </c>
      <c r="C825" s="42" t="n">
        <v>24</v>
      </c>
      <c r="D825" s="42" t="n">
        <v>74290939</v>
      </c>
      <c r="E825" s="43" t="n">
        <v>0.318452792646402</v>
      </c>
      <c r="F825" s="43" t="n">
        <v>0.631857195812579</v>
      </c>
      <c r="G825" s="43" t="n">
        <v>0.6914844191966</v>
      </c>
      <c r="H825" s="43" t="n">
        <v>0.679680344672693</v>
      </c>
      <c r="I825" s="42" t="n">
        <v>1</v>
      </c>
      <c r="J825" s="42" t="n">
        <v>1</v>
      </c>
      <c r="K825" s="44" t="str">
        <f aca="false">IF(AND(I825=1,J825=1),"两者都跟住",IF(AND(I825=0,J825=1),"仅 PC-TBD 跟住",IF(AND(I825=1,J825=0),"仅 VIT-LPS 跟住","都没跟住")))</f>
        <v>两者都跟住</v>
      </c>
      <c r="L825" s="45" t="n">
        <f aca="false">F825-G825</f>
        <v>-0.0596272233840209</v>
      </c>
      <c r="M825" s="46" t="n">
        <v>0.333896</v>
      </c>
      <c r="N825" s="46" t="n">
        <v>0.1533897</v>
      </c>
      <c r="O825" s="46" t="n">
        <v>0.5705023</v>
      </c>
      <c r="P825" s="46" t="n">
        <v>0.8165276</v>
      </c>
      <c r="Q825" s="46" t="n">
        <v>3.4126514</v>
      </c>
      <c r="R825" s="46" t="n">
        <v>3.2807059</v>
      </c>
      <c r="S825" s="47" t="n">
        <f aca="false">M825+N825+O825</f>
        <v>1.057788</v>
      </c>
      <c r="T825" s="47" t="n">
        <f aca="false">M825+P825</f>
        <v>1.1504236</v>
      </c>
    </row>
    <row r="826" customFormat="false" ht="15" hidden="false" customHeight="false" outlineLevel="0" collapsed="false">
      <c r="A826" s="42" t="s">
        <v>45</v>
      </c>
      <c r="B826" s="42" t="n">
        <v>-18</v>
      </c>
      <c r="C826" s="42" t="n">
        <v>25</v>
      </c>
      <c r="D826" s="42" t="n">
        <v>74290940</v>
      </c>
      <c r="E826" s="43" t="n">
        <v>0.260744018505568</v>
      </c>
      <c r="F826" s="43" t="n">
        <v>0.331898944722048</v>
      </c>
      <c r="G826" s="43" t="n">
        <v>0.482305910038697</v>
      </c>
      <c r="H826" s="43" t="n">
        <v>0.51688752753686</v>
      </c>
      <c r="I826" s="42" t="n">
        <v>1</v>
      </c>
      <c r="J826" s="42" t="n">
        <v>1</v>
      </c>
      <c r="K826" s="44" t="str">
        <f aca="false">IF(AND(I826=1,J826=1),"两者都跟住",IF(AND(I826=0,J826=1),"仅 PC-TBD 跟住",IF(AND(I826=1,J826=0),"仅 VIT-LPS 跟住","都没跟住")))</f>
        <v>两者都跟住</v>
      </c>
      <c r="L826" s="45" t="n">
        <f aca="false">F826-G826</f>
        <v>-0.150406965316649</v>
      </c>
      <c r="M826" s="46" t="n">
        <v>0.35097</v>
      </c>
      <c r="N826" s="46" t="n">
        <v>0.161076</v>
      </c>
      <c r="O826" s="46" t="n">
        <v>0.4881742</v>
      </c>
      <c r="P826" s="46" t="n">
        <v>0.7763859</v>
      </c>
      <c r="Q826" s="46" t="n">
        <v>6.8689687</v>
      </c>
      <c r="R826" s="46" t="n">
        <v>3.1275651</v>
      </c>
      <c r="S826" s="47" t="n">
        <f aca="false">M826+N826+O826</f>
        <v>1.0002202</v>
      </c>
      <c r="T826" s="47" t="n">
        <f aca="false">M826+P826</f>
        <v>1.1273559</v>
      </c>
    </row>
    <row r="827" customFormat="false" ht="15" hidden="false" customHeight="false" outlineLevel="0" collapsed="false">
      <c r="A827" s="42" t="s">
        <v>45</v>
      </c>
      <c r="B827" s="42" t="n">
        <v>-18</v>
      </c>
      <c r="C827" s="42" t="n">
        <v>26</v>
      </c>
      <c r="D827" s="42" t="n">
        <v>74290941</v>
      </c>
      <c r="E827" s="43" t="n">
        <v>0.218305557359105</v>
      </c>
      <c r="F827" s="43" t="n">
        <v>0.457775488230287</v>
      </c>
      <c r="G827" s="43" t="n">
        <v>0.566376063864023</v>
      </c>
      <c r="H827" s="43" t="n">
        <v>0.614921464133617</v>
      </c>
      <c r="I827" s="42" t="n">
        <v>1</v>
      </c>
      <c r="J827" s="42" t="n">
        <v>0</v>
      </c>
      <c r="K827" s="44" t="str">
        <f aca="false">IF(AND(I827=1,J827=1),"两者都跟住",IF(AND(I827=0,J827=1),"仅 PC-TBD 跟住",IF(AND(I827=1,J827=0),"仅 VIT-LPS 跟住","都没跟住")))</f>
        <v>仅 VIT-LPS 跟住</v>
      </c>
      <c r="L827" s="45" t="n">
        <f aca="false">F827-G827</f>
        <v>-0.108600575633736</v>
      </c>
      <c r="M827" s="46" t="n">
        <v>0.3447942</v>
      </c>
      <c r="N827" s="46" t="n">
        <v>0.165821</v>
      </c>
      <c r="O827" s="46" t="n">
        <v>0.3850593</v>
      </c>
      <c r="P827" s="46" t="n">
        <v>0.8458479</v>
      </c>
      <c r="Q827" s="46" t="n">
        <v>7.8069048</v>
      </c>
      <c r="R827" s="46" t="n">
        <v>2.6727439</v>
      </c>
      <c r="S827" s="47" t="n">
        <f aca="false">M827+N827+O827</f>
        <v>0.8956745</v>
      </c>
      <c r="T827" s="47" t="n">
        <f aca="false">M827+P827</f>
        <v>1.1906421</v>
      </c>
    </row>
    <row r="828" customFormat="false" ht="15" hidden="false" customHeight="false" outlineLevel="0" collapsed="false">
      <c r="A828" s="42" t="s">
        <v>45</v>
      </c>
      <c r="B828" s="42" t="n">
        <v>-18</v>
      </c>
      <c r="C828" s="42" t="n">
        <v>27</v>
      </c>
      <c r="D828" s="42" t="n">
        <v>74290942</v>
      </c>
      <c r="E828" s="43" t="n">
        <v>0.350276219815368</v>
      </c>
      <c r="F828" s="43" t="n">
        <v>0.580254908462315</v>
      </c>
      <c r="G828" s="43" t="n">
        <v>0.480244183041782</v>
      </c>
      <c r="H828" s="43" t="n">
        <v>0.471876516425194</v>
      </c>
      <c r="I828" s="42" t="n">
        <v>1</v>
      </c>
      <c r="J828" s="42" t="n">
        <v>0</v>
      </c>
      <c r="K828" s="44" t="str">
        <f aca="false">IF(AND(I828=1,J828=1),"两者都跟住",IF(AND(I828=0,J828=1),"仅 PC-TBD 跟住",IF(AND(I828=1,J828=0),"仅 VIT-LPS 跟住","都没跟住")))</f>
        <v>仅 VIT-LPS 跟住</v>
      </c>
      <c r="L828" s="45" t="n">
        <f aca="false">F828-G828</f>
        <v>0.100010725420533</v>
      </c>
      <c r="M828" s="46" t="n">
        <v>0.2340206</v>
      </c>
      <c r="N828" s="46" t="n">
        <v>0.1509451</v>
      </c>
      <c r="O828" s="46" t="n">
        <v>0.2842997</v>
      </c>
      <c r="P828" s="46" t="n">
        <v>0.7001847</v>
      </c>
      <c r="Q828" s="46" t="n">
        <v>6.0127624</v>
      </c>
      <c r="R828" s="46" t="n">
        <v>1.6713093</v>
      </c>
      <c r="S828" s="47" t="n">
        <f aca="false">M828+N828+O828</f>
        <v>0.6692654</v>
      </c>
      <c r="T828" s="47" t="n">
        <f aca="false">M828+P828</f>
        <v>0.9342053</v>
      </c>
    </row>
    <row r="829" customFormat="false" ht="15" hidden="false" customHeight="false" outlineLevel="0" collapsed="false">
      <c r="A829" s="42" t="s">
        <v>45</v>
      </c>
      <c r="B829" s="42" t="n">
        <v>-18</v>
      </c>
      <c r="C829" s="42" t="n">
        <v>28</v>
      </c>
      <c r="D829" s="42" t="n">
        <v>74290943</v>
      </c>
      <c r="E829" s="43" t="n">
        <v>0.277361383010751</v>
      </c>
      <c r="F829" s="43" t="n">
        <v>0.567006807878156</v>
      </c>
      <c r="G829" s="43" t="n">
        <v>0.510232575455921</v>
      </c>
      <c r="H829" s="43" t="n">
        <v>0.52785930341537</v>
      </c>
      <c r="I829" s="42" t="n">
        <v>1</v>
      </c>
      <c r="J829" s="42" t="n">
        <v>1</v>
      </c>
      <c r="K829" s="44" t="str">
        <f aca="false">IF(AND(I829=1,J829=1),"两者都跟住",IF(AND(I829=0,J829=1),"仅 PC-TBD 跟住",IF(AND(I829=1,J829=0),"仅 VIT-LPS 跟住","都没跟住")))</f>
        <v>两者都跟住</v>
      </c>
      <c r="L829" s="45" t="n">
        <f aca="false">F829-G829</f>
        <v>0.056774232422235</v>
      </c>
      <c r="M829" s="46" t="n">
        <v>0.2030468</v>
      </c>
      <c r="N829" s="46" t="n">
        <v>0.1313963</v>
      </c>
      <c r="O829" s="46" t="n">
        <v>0.2926147</v>
      </c>
      <c r="P829" s="46" t="n">
        <v>0.720755</v>
      </c>
      <c r="Q829" s="46" t="n">
        <v>2.8750588</v>
      </c>
      <c r="R829" s="46" t="n">
        <v>2.2769567</v>
      </c>
      <c r="S829" s="47" t="n">
        <f aca="false">M829+N829+O829</f>
        <v>0.6270578</v>
      </c>
      <c r="T829" s="47" t="n">
        <f aca="false">M829+P829</f>
        <v>0.9238018</v>
      </c>
    </row>
    <row r="830" customFormat="false" ht="15" hidden="false" customHeight="false" outlineLevel="0" collapsed="false">
      <c r="A830" s="42" t="s">
        <v>45</v>
      </c>
      <c r="B830" s="42" t="n">
        <v>-18</v>
      </c>
      <c r="C830" s="42" t="n">
        <v>29</v>
      </c>
      <c r="D830" s="42" t="n">
        <v>74290944</v>
      </c>
      <c r="E830" s="43" t="n">
        <v>0.362421205195248</v>
      </c>
      <c r="F830" s="43" t="n">
        <v>0.497514724427589</v>
      </c>
      <c r="G830" s="43" t="n">
        <v>0.452941670075752</v>
      </c>
      <c r="H830" s="43" t="n">
        <v>0.45256109604975</v>
      </c>
      <c r="I830" s="42" t="n">
        <v>0</v>
      </c>
      <c r="J830" s="42" t="n">
        <v>0</v>
      </c>
      <c r="K830" s="44" t="str">
        <f aca="false">IF(AND(I830=1,J830=1),"两者都跟住",IF(AND(I830=0,J830=1),"仅 PC-TBD 跟住",IF(AND(I830=1,J830=0),"仅 VIT-LPS 跟住","都没跟住")))</f>
        <v>都没跟住</v>
      </c>
      <c r="L830" s="45" t="n">
        <f aca="false">F830-G830</f>
        <v>0.044573054351837</v>
      </c>
      <c r="M830" s="46" t="n">
        <v>0.2526928</v>
      </c>
      <c r="N830" s="46" t="n">
        <v>0.1257507</v>
      </c>
      <c r="O830" s="46" t="n">
        <v>0.2751098</v>
      </c>
      <c r="P830" s="46" t="n">
        <v>0.6703061</v>
      </c>
      <c r="Q830" s="46" t="n">
        <v>3.029696</v>
      </c>
      <c r="R830" s="46" t="n">
        <v>1.9169397</v>
      </c>
      <c r="S830" s="47" t="n">
        <f aca="false">M830+N830+O830</f>
        <v>0.6535533</v>
      </c>
      <c r="T830" s="47" t="n">
        <f aca="false">M830+P830</f>
        <v>0.9229989</v>
      </c>
    </row>
    <row r="831" customFormat="false" ht="15" hidden="false" customHeight="false" outlineLevel="0" collapsed="false">
      <c r="A831" s="42" t="s">
        <v>45</v>
      </c>
      <c r="B831" s="42" t="n">
        <v>-18</v>
      </c>
      <c r="C831" s="42" t="n">
        <v>30</v>
      </c>
      <c r="D831" s="42" t="n">
        <v>74290945</v>
      </c>
      <c r="E831" s="43" t="n">
        <v>0.271709196881919</v>
      </c>
      <c r="F831" s="43" t="n">
        <v>0.532659739804064</v>
      </c>
      <c r="G831" s="43" t="n">
        <v>0.526152687720093</v>
      </c>
      <c r="H831" s="43" t="n">
        <v>0.52439360388001</v>
      </c>
      <c r="I831" s="42" t="n">
        <v>1</v>
      </c>
      <c r="J831" s="42" t="n">
        <v>0</v>
      </c>
      <c r="K831" s="44" t="str">
        <f aca="false">IF(AND(I831=1,J831=1),"两者都跟住",IF(AND(I831=0,J831=1),"仅 PC-TBD 跟住",IF(AND(I831=1,J831=0),"仅 VIT-LPS 跟住","都没跟住")))</f>
        <v>仅 VIT-LPS 跟住</v>
      </c>
      <c r="L831" s="45" t="n">
        <f aca="false">F831-G831</f>
        <v>0.00650705208397095</v>
      </c>
      <c r="M831" s="46" t="n">
        <v>0.2242213</v>
      </c>
      <c r="N831" s="46" t="n">
        <v>0.1500958</v>
      </c>
      <c r="O831" s="46" t="n">
        <v>0.2402999</v>
      </c>
      <c r="P831" s="46" t="n">
        <v>0.5976696</v>
      </c>
      <c r="Q831" s="46" t="n">
        <v>2.8371294</v>
      </c>
      <c r="R831" s="46" t="n">
        <v>2.1676902</v>
      </c>
      <c r="S831" s="47" t="n">
        <f aca="false">M831+N831+O831</f>
        <v>0.614617</v>
      </c>
      <c r="T831" s="47" t="n">
        <f aca="false">M831+P831</f>
        <v>0.8218909</v>
      </c>
    </row>
    <row r="832" customFormat="false" ht="15" hidden="false" customHeight="false" outlineLevel="0" collapsed="false">
      <c r="A832" s="42" t="s">
        <v>45</v>
      </c>
      <c r="B832" s="42" t="n">
        <v>-18</v>
      </c>
      <c r="C832" s="42" t="n">
        <v>31</v>
      </c>
      <c r="D832" s="42" t="n">
        <v>74290946</v>
      </c>
      <c r="E832" s="43" t="n">
        <v>0.378343889439025</v>
      </c>
      <c r="F832" s="43" t="n">
        <v>0.608878339829717</v>
      </c>
      <c r="G832" s="43" t="n">
        <v>0.563382870246099</v>
      </c>
      <c r="H832" s="43" t="n">
        <v>0.560074398874115</v>
      </c>
      <c r="I832" s="42" t="n">
        <v>1</v>
      </c>
      <c r="J832" s="42" t="n">
        <v>1</v>
      </c>
      <c r="K832" s="44" t="str">
        <f aca="false">IF(AND(I832=1,J832=1),"两者都跟住",IF(AND(I832=0,J832=1),"仅 PC-TBD 跟住",IF(AND(I832=1,J832=0),"仅 VIT-LPS 跟住","都没跟住")))</f>
        <v>两者都跟住</v>
      </c>
      <c r="L832" s="45" t="n">
        <f aca="false">F832-G832</f>
        <v>0.0454954695836179</v>
      </c>
      <c r="M832" s="46" t="n">
        <v>0.241361</v>
      </c>
      <c r="N832" s="46" t="n">
        <v>0.1147599</v>
      </c>
      <c r="O832" s="46" t="n">
        <v>0.3006801</v>
      </c>
      <c r="P832" s="46" t="n">
        <v>0.9218555</v>
      </c>
      <c r="Q832" s="46" t="n">
        <v>2.2738063</v>
      </c>
      <c r="R832" s="46" t="n">
        <v>2.7490334</v>
      </c>
      <c r="S832" s="47" t="n">
        <f aca="false">M832+N832+O832</f>
        <v>0.656801</v>
      </c>
      <c r="T832" s="47" t="n">
        <f aca="false">M832+P832</f>
        <v>1.1632165</v>
      </c>
    </row>
    <row r="833" customFormat="false" ht="15" hidden="false" customHeight="false" outlineLevel="0" collapsed="false">
      <c r="A833" s="42" t="s">
        <v>45</v>
      </c>
      <c r="B833" s="42" t="n">
        <v>-18</v>
      </c>
      <c r="C833" s="42" t="n">
        <v>32</v>
      </c>
      <c r="D833" s="42" t="n">
        <v>74290947</v>
      </c>
      <c r="E833" s="43" t="n">
        <v>0.50328259136543</v>
      </c>
      <c r="F833" s="43" t="n">
        <v>0.661226768157583</v>
      </c>
      <c r="G833" s="43" t="n">
        <v>0.710694981286805</v>
      </c>
      <c r="H833" s="43" t="n">
        <v>0.723409314530156</v>
      </c>
      <c r="I833" s="42" t="n">
        <v>1</v>
      </c>
      <c r="J833" s="42" t="n">
        <v>1</v>
      </c>
      <c r="K833" s="44" t="str">
        <f aca="false">IF(AND(I833=1,J833=1),"两者都跟住",IF(AND(I833=0,J833=1),"仅 PC-TBD 跟住",IF(AND(I833=1,J833=0),"仅 VIT-LPS 跟住","都没跟住")))</f>
        <v>两者都跟住</v>
      </c>
      <c r="L833" s="45" t="n">
        <f aca="false">F833-G833</f>
        <v>-0.049468213129222</v>
      </c>
      <c r="M833" s="46" t="n">
        <v>0.2491491</v>
      </c>
      <c r="N833" s="46" t="n">
        <v>0.1219463</v>
      </c>
      <c r="O833" s="46" t="n">
        <v>0.2871893</v>
      </c>
      <c r="P833" s="46" t="n">
        <v>0.9658622</v>
      </c>
      <c r="Q833" s="46" t="n">
        <v>3.5576651</v>
      </c>
      <c r="R833" s="46" t="n">
        <v>4.1700974</v>
      </c>
      <c r="S833" s="47" t="n">
        <f aca="false">M833+N833+O833</f>
        <v>0.6582847</v>
      </c>
      <c r="T833" s="47" t="n">
        <f aca="false">M833+P833</f>
        <v>1.2150113</v>
      </c>
    </row>
    <row r="834" customFormat="false" ht="15" hidden="false" customHeight="false" outlineLevel="0" collapsed="false">
      <c r="A834" s="42" t="s">
        <v>45</v>
      </c>
      <c r="B834" s="42" t="n">
        <v>-18</v>
      </c>
      <c r="C834" s="42" t="n">
        <v>33</v>
      </c>
      <c r="D834" s="42" t="n">
        <v>74290948</v>
      </c>
      <c r="E834" s="43" t="n">
        <v>0.557467897715376</v>
      </c>
      <c r="F834" s="43" t="n">
        <v>0.719173600757392</v>
      </c>
      <c r="G834" s="43" t="n">
        <v>0.71927771142838</v>
      </c>
      <c r="H834" s="43" t="n">
        <v>0.735641730076209</v>
      </c>
      <c r="I834" s="42" t="n">
        <v>1</v>
      </c>
      <c r="J834" s="42" t="n">
        <v>1</v>
      </c>
      <c r="K834" s="44" t="str">
        <f aca="false">IF(AND(I834=1,J834=1),"两者都跟住",IF(AND(I834=0,J834=1),"仅 PC-TBD 跟住",IF(AND(I834=1,J834=0),"仅 VIT-LPS 跟住","都没跟住")))</f>
        <v>两者都跟住</v>
      </c>
      <c r="L834" s="45" t="n">
        <f aca="false">F834-G834</f>
        <v>-0.000104110670988034</v>
      </c>
      <c r="M834" s="46" t="n">
        <v>0.2466257</v>
      </c>
      <c r="N834" s="46" t="n">
        <v>0.13596</v>
      </c>
      <c r="O834" s="46" t="n">
        <v>0.3055812</v>
      </c>
      <c r="P834" s="46" t="n">
        <v>0.9368101</v>
      </c>
      <c r="Q834" s="46" t="n">
        <v>3.3999395</v>
      </c>
      <c r="R834" s="46" t="n">
        <v>3.1008675</v>
      </c>
      <c r="S834" s="47" t="n">
        <f aca="false">M834+N834+O834</f>
        <v>0.6881669</v>
      </c>
      <c r="T834" s="47" t="n">
        <f aca="false">M834+P834</f>
        <v>1.1834358</v>
      </c>
    </row>
    <row r="835" customFormat="false" ht="15" hidden="false" customHeight="false" outlineLevel="0" collapsed="false">
      <c r="A835" s="42" t="s">
        <v>45</v>
      </c>
      <c r="B835" s="42" t="n">
        <v>-18</v>
      </c>
      <c r="C835" s="42" t="n">
        <v>34</v>
      </c>
      <c r="D835" s="42" t="n">
        <v>74290949</v>
      </c>
      <c r="E835" s="43" t="n">
        <v>0.17536800850731</v>
      </c>
      <c r="F835" s="43" t="n">
        <v>0.45391420141193</v>
      </c>
      <c r="G835" s="43" t="n">
        <v>0.643799350899301</v>
      </c>
      <c r="H835" s="43" t="n">
        <v>0.66657383632125</v>
      </c>
      <c r="I835" s="42" t="n">
        <v>0</v>
      </c>
      <c r="J835" s="42" t="n">
        <v>0</v>
      </c>
      <c r="K835" s="44" t="str">
        <f aca="false">IF(AND(I835=1,J835=1),"两者都跟住",IF(AND(I835=0,J835=1),"仅 PC-TBD 跟住",IF(AND(I835=1,J835=0),"仅 VIT-LPS 跟住","都没跟住")))</f>
        <v>都没跟住</v>
      </c>
      <c r="L835" s="45" t="n">
        <f aca="false">F835-G835</f>
        <v>-0.189885149487371</v>
      </c>
      <c r="M835" s="46" t="n">
        <v>0.248716</v>
      </c>
      <c r="N835" s="46" t="n">
        <v>0.1332824</v>
      </c>
      <c r="O835" s="46" t="n">
        <v>0.2982142</v>
      </c>
      <c r="P835" s="46" t="n">
        <v>0.9015103</v>
      </c>
      <c r="Q835" s="46" t="n">
        <v>7.3143357</v>
      </c>
      <c r="R835" s="46" t="n">
        <v>3.4140323</v>
      </c>
      <c r="S835" s="47" t="n">
        <f aca="false">M835+N835+O835</f>
        <v>0.6802126</v>
      </c>
      <c r="T835" s="47" t="n">
        <f aca="false">M835+P835</f>
        <v>1.1502263</v>
      </c>
    </row>
    <row r="836" customFormat="false" ht="15" hidden="false" customHeight="false" outlineLevel="0" collapsed="false">
      <c r="A836" s="42" t="s">
        <v>45</v>
      </c>
      <c r="B836" s="42" t="n">
        <v>-18</v>
      </c>
      <c r="C836" s="42" t="n">
        <v>35</v>
      </c>
      <c r="D836" s="42" t="n">
        <v>74290950</v>
      </c>
      <c r="E836" s="43" t="n">
        <v>0.253067862474546</v>
      </c>
      <c r="F836" s="43" t="n">
        <v>0.436129438449367</v>
      </c>
      <c r="G836" s="43" t="n">
        <v>0.434405301943509</v>
      </c>
      <c r="H836" s="43" t="n">
        <v>0.4615974070938</v>
      </c>
      <c r="I836" s="42" t="n">
        <v>1</v>
      </c>
      <c r="J836" s="42" t="n">
        <v>0</v>
      </c>
      <c r="K836" s="44" t="str">
        <f aca="false">IF(AND(I836=1,J836=1),"两者都跟住",IF(AND(I836=0,J836=1),"仅 PC-TBD 跟住",IF(AND(I836=1,J836=0),"仅 VIT-LPS 跟住","都没跟住")))</f>
        <v>仅 VIT-LPS 跟住</v>
      </c>
      <c r="L836" s="45" t="n">
        <f aca="false">F836-G836</f>
        <v>0.00172413650585801</v>
      </c>
      <c r="M836" s="46" t="n">
        <v>0.2494369</v>
      </c>
      <c r="N836" s="46" t="n">
        <v>0.1278686</v>
      </c>
      <c r="O836" s="46" t="n">
        <v>0.3253828</v>
      </c>
      <c r="P836" s="46" t="n">
        <v>0.8082275</v>
      </c>
      <c r="Q836" s="46" t="n">
        <v>6.2456183</v>
      </c>
      <c r="R836" s="46" t="n">
        <v>3.6521728</v>
      </c>
      <c r="S836" s="47" t="n">
        <f aca="false">M836+N836+O836</f>
        <v>0.7026883</v>
      </c>
      <c r="T836" s="47" t="n">
        <f aca="false">M836+P836</f>
        <v>1.0576644</v>
      </c>
    </row>
    <row r="837" customFormat="false" ht="15" hidden="false" customHeight="false" outlineLevel="0" collapsed="false">
      <c r="A837" s="42" t="s">
        <v>45</v>
      </c>
      <c r="B837" s="42" t="n">
        <v>-18</v>
      </c>
      <c r="C837" s="42" t="n">
        <v>36</v>
      </c>
      <c r="D837" s="42" t="n">
        <v>74290951</v>
      </c>
      <c r="E837" s="43" t="n">
        <v>0.117729632193538</v>
      </c>
      <c r="F837" s="43" t="n">
        <v>0.480136140216766</v>
      </c>
      <c r="G837" s="43" t="n">
        <v>0.609101660749832</v>
      </c>
      <c r="H837" s="43" t="n">
        <v>0.630799687211068</v>
      </c>
      <c r="I837" s="42" t="n">
        <v>1</v>
      </c>
      <c r="J837" s="42" t="n">
        <v>1</v>
      </c>
      <c r="K837" s="44" t="str">
        <f aca="false">IF(AND(I837=1,J837=1),"两者都跟住",IF(AND(I837=0,J837=1),"仅 PC-TBD 跟住",IF(AND(I837=1,J837=0),"仅 VIT-LPS 跟住","都没跟住")))</f>
        <v>两者都跟住</v>
      </c>
      <c r="L837" s="45" t="n">
        <f aca="false">F837-G837</f>
        <v>-0.128965520533066</v>
      </c>
      <c r="M837" s="46" t="n">
        <v>0.2466167</v>
      </c>
      <c r="N837" s="46" t="n">
        <v>0.1401951</v>
      </c>
      <c r="O837" s="46" t="n">
        <v>0.330042</v>
      </c>
      <c r="P837" s="46" t="n">
        <v>0.828776</v>
      </c>
      <c r="Q837" s="46" t="n">
        <v>7.6390198</v>
      </c>
      <c r="R837" s="46" t="n">
        <v>4.0819574</v>
      </c>
      <c r="S837" s="47" t="n">
        <f aca="false">M837+N837+O837</f>
        <v>0.7168538</v>
      </c>
      <c r="T837" s="47" t="n">
        <f aca="false">M837+P837</f>
        <v>1.0753927</v>
      </c>
    </row>
    <row r="838" customFormat="false" ht="15" hidden="false" customHeight="false" outlineLevel="0" collapsed="false">
      <c r="A838" s="42" t="s">
        <v>45</v>
      </c>
      <c r="B838" s="42" t="n">
        <v>-18</v>
      </c>
      <c r="C838" s="42" t="n">
        <v>37</v>
      </c>
      <c r="D838" s="42" t="n">
        <v>74290952</v>
      </c>
      <c r="E838" s="43" t="n">
        <v>0.355669642742144</v>
      </c>
      <c r="F838" s="43" t="n">
        <v>0.603874265047044</v>
      </c>
      <c r="G838" s="43" t="n">
        <v>0.595728550446665</v>
      </c>
      <c r="H838" s="43" t="n">
        <v>0.615898312277472</v>
      </c>
      <c r="I838" s="42" t="n">
        <v>1</v>
      </c>
      <c r="J838" s="42" t="n">
        <v>0</v>
      </c>
      <c r="K838" s="44" t="str">
        <f aca="false">IF(AND(I838=1,J838=1),"两者都跟住",IF(AND(I838=0,J838=1),"仅 PC-TBD 跟住",IF(AND(I838=1,J838=0),"仅 VIT-LPS 跟住","都没跟住")))</f>
        <v>仅 VIT-LPS 跟住</v>
      </c>
      <c r="L838" s="45" t="n">
        <f aca="false">F838-G838</f>
        <v>0.00814571460037905</v>
      </c>
      <c r="M838" s="46" t="n">
        <v>0.2682774</v>
      </c>
      <c r="N838" s="46" t="n">
        <v>0.1713479</v>
      </c>
      <c r="O838" s="46" t="n">
        <v>0.3714046</v>
      </c>
      <c r="P838" s="46" t="n">
        <v>1.021666</v>
      </c>
      <c r="Q838" s="46" t="n">
        <v>3.5082257</v>
      </c>
      <c r="R838" s="46" t="n">
        <v>3.2734355</v>
      </c>
      <c r="S838" s="47" t="n">
        <f aca="false">M838+N838+O838</f>
        <v>0.8110299</v>
      </c>
      <c r="T838" s="47" t="n">
        <f aca="false">M838+P838</f>
        <v>1.2899434</v>
      </c>
    </row>
    <row r="839" customFormat="false" ht="15" hidden="false" customHeight="false" outlineLevel="0" collapsed="false">
      <c r="A839" s="42" t="s">
        <v>45</v>
      </c>
      <c r="B839" s="42" t="n">
        <v>-18</v>
      </c>
      <c r="C839" s="42" t="n">
        <v>38</v>
      </c>
      <c r="D839" s="42" t="n">
        <v>74290953</v>
      </c>
      <c r="E839" s="43" t="n">
        <v>0.388992996056591</v>
      </c>
      <c r="F839" s="43" t="n">
        <v>0.534482035448323</v>
      </c>
      <c r="G839" s="43" t="n">
        <v>0.533183292782497</v>
      </c>
      <c r="H839" s="43" t="n">
        <v>0.563554536466172</v>
      </c>
      <c r="I839" s="42" t="n">
        <v>1</v>
      </c>
      <c r="J839" s="42" t="n">
        <v>1</v>
      </c>
      <c r="K839" s="44" t="str">
        <f aca="false">IF(AND(I839=1,J839=1),"两者都跟住",IF(AND(I839=0,J839=1),"仅 PC-TBD 跟住",IF(AND(I839=1,J839=0),"仅 VIT-LPS 跟住","都没跟住")))</f>
        <v>两者都跟住</v>
      </c>
      <c r="L839" s="45" t="n">
        <f aca="false">F839-G839</f>
        <v>0.00129874266582597</v>
      </c>
      <c r="M839" s="46" t="n">
        <v>0.2758164</v>
      </c>
      <c r="N839" s="46" t="n">
        <v>0.2023545</v>
      </c>
      <c r="O839" s="46" t="n">
        <v>0.4892414</v>
      </c>
      <c r="P839" s="46" t="n">
        <v>1.0768616</v>
      </c>
      <c r="Q839" s="46" t="n">
        <v>7.7654439</v>
      </c>
      <c r="R839" s="46" t="n">
        <v>2.8494944</v>
      </c>
      <c r="S839" s="47" t="n">
        <f aca="false">M839+N839+O839</f>
        <v>0.9674123</v>
      </c>
      <c r="T839" s="47" t="n">
        <f aca="false">M839+P839</f>
        <v>1.352678</v>
      </c>
    </row>
    <row r="840" customFormat="false" ht="15" hidden="false" customHeight="false" outlineLevel="0" collapsed="false">
      <c r="A840" s="42" t="s">
        <v>45</v>
      </c>
      <c r="B840" s="42" t="n">
        <v>-18</v>
      </c>
      <c r="C840" s="42" t="n">
        <v>39</v>
      </c>
      <c r="D840" s="42" t="n">
        <v>74290954</v>
      </c>
      <c r="E840" s="43" t="n">
        <v>0.267840563887763</v>
      </c>
      <c r="F840" s="43" t="n">
        <v>0.56146985842403</v>
      </c>
      <c r="G840" s="43" t="n">
        <v>0.726940303856427</v>
      </c>
      <c r="H840" s="43" t="n">
        <v>0.696686729663512</v>
      </c>
      <c r="I840" s="42" t="n">
        <v>1</v>
      </c>
      <c r="J840" s="42" t="n">
        <v>1</v>
      </c>
      <c r="K840" s="44" t="str">
        <f aca="false">IF(AND(I840=1,J840=1),"两者都跟住",IF(AND(I840=0,J840=1),"仅 PC-TBD 跟住",IF(AND(I840=1,J840=0),"仅 VIT-LPS 跟住","都没跟住")))</f>
        <v>两者都跟住</v>
      </c>
      <c r="L840" s="45" t="n">
        <f aca="false">F840-G840</f>
        <v>-0.165470445432397</v>
      </c>
      <c r="M840" s="46" t="n">
        <v>0.2103242</v>
      </c>
      <c r="N840" s="46" t="n">
        <v>0.1314111</v>
      </c>
      <c r="O840" s="46" t="n">
        <v>0.2865917</v>
      </c>
      <c r="P840" s="46" t="n">
        <v>0.9858739</v>
      </c>
      <c r="Q840" s="46" t="n">
        <v>3.9013977</v>
      </c>
      <c r="R840" s="46" t="n">
        <v>4.2867151</v>
      </c>
      <c r="S840" s="47" t="n">
        <f aca="false">M840+N840+O840</f>
        <v>0.628327</v>
      </c>
      <c r="T840" s="47" t="n">
        <f aca="false">M840+P840</f>
        <v>1.1961981</v>
      </c>
    </row>
    <row r="841" customFormat="false" ht="15" hidden="false" customHeight="false" outlineLevel="0" collapsed="false">
      <c r="A841" s="42" t="s">
        <v>45</v>
      </c>
      <c r="B841" s="42" t="n">
        <v>-18</v>
      </c>
      <c r="C841" s="42" t="n">
        <v>40</v>
      </c>
      <c r="D841" s="42" t="n">
        <v>74290955</v>
      </c>
      <c r="E841" s="43" t="n">
        <v>0.416167929312803</v>
      </c>
      <c r="F841" s="43" t="n">
        <v>0.683775780182357</v>
      </c>
      <c r="G841" s="43" t="n">
        <v>0.760826612038188</v>
      </c>
      <c r="H841" s="43" t="n">
        <v>0.75095420036952</v>
      </c>
      <c r="I841" s="42" t="n">
        <v>1</v>
      </c>
      <c r="J841" s="42" t="n">
        <v>1</v>
      </c>
      <c r="K841" s="44" t="str">
        <f aca="false">IF(AND(I841=1,J841=1),"两者都跟住",IF(AND(I841=0,J841=1),"仅 PC-TBD 跟住",IF(AND(I841=1,J841=0),"仅 VIT-LPS 跟住","都没跟住")))</f>
        <v>两者都跟住</v>
      </c>
      <c r="L841" s="45" t="n">
        <f aca="false">F841-G841</f>
        <v>-0.0770508318558311</v>
      </c>
      <c r="M841" s="46" t="n">
        <v>0.3394165</v>
      </c>
      <c r="N841" s="46" t="n">
        <v>0.1862324</v>
      </c>
      <c r="O841" s="46" t="n">
        <v>0.3553409</v>
      </c>
      <c r="P841" s="46" t="n">
        <v>0.8415879</v>
      </c>
      <c r="Q841" s="46" t="n">
        <v>6.865995</v>
      </c>
      <c r="R841" s="46" t="n">
        <v>2.4382952</v>
      </c>
      <c r="S841" s="47" t="n">
        <f aca="false">M841+N841+O841</f>
        <v>0.8809898</v>
      </c>
      <c r="T841" s="47" t="n">
        <f aca="false">M841+P841</f>
        <v>1.1810044</v>
      </c>
    </row>
    <row r="842" customFormat="false" ht="15" hidden="false" customHeight="false" outlineLevel="0" collapsed="false">
      <c r="A842" s="42" t="s">
        <v>45</v>
      </c>
      <c r="B842" s="42" t="n">
        <v>-18</v>
      </c>
      <c r="C842" s="42" t="n">
        <v>41</v>
      </c>
      <c r="D842" s="42" t="n">
        <v>74290956</v>
      </c>
      <c r="E842" s="43" t="n">
        <v>0.236223296997677</v>
      </c>
      <c r="F842" s="43" t="n">
        <v>0.600928928397723</v>
      </c>
      <c r="G842" s="43" t="n">
        <v>0.576259385317881</v>
      </c>
      <c r="H842" s="43" t="n">
        <v>0.631851492325215</v>
      </c>
      <c r="I842" s="42" t="n">
        <v>1</v>
      </c>
      <c r="J842" s="42" t="n">
        <v>1</v>
      </c>
      <c r="K842" s="44" t="str">
        <f aca="false">IF(AND(I842=1,J842=1),"两者都跟住",IF(AND(I842=0,J842=1),"仅 PC-TBD 跟住",IF(AND(I842=1,J842=0),"仅 VIT-LPS 跟住","都没跟住")))</f>
        <v>两者都跟住</v>
      </c>
      <c r="L842" s="45" t="n">
        <f aca="false">F842-G842</f>
        <v>0.024669543079842</v>
      </c>
      <c r="M842" s="46" t="n">
        <v>0.3201474</v>
      </c>
      <c r="N842" s="46" t="n">
        <v>0.1324278</v>
      </c>
      <c r="O842" s="46" t="n">
        <v>0.260277</v>
      </c>
      <c r="P842" s="46" t="n">
        <v>0.7288667</v>
      </c>
      <c r="Q842" s="46" t="n">
        <v>3.9970894</v>
      </c>
      <c r="R842" s="46" t="n">
        <v>2.8205319</v>
      </c>
      <c r="S842" s="47" t="n">
        <f aca="false">M842+N842+O842</f>
        <v>0.7128522</v>
      </c>
      <c r="T842" s="47" t="n">
        <f aca="false">M842+P842</f>
        <v>1.0490141</v>
      </c>
    </row>
    <row r="843" customFormat="false" ht="15" hidden="false" customHeight="false" outlineLevel="0" collapsed="false">
      <c r="A843" s="42" t="s">
        <v>45</v>
      </c>
      <c r="B843" s="42" t="n">
        <v>-18</v>
      </c>
      <c r="C843" s="42" t="n">
        <v>42</v>
      </c>
      <c r="D843" s="42" t="n">
        <v>74290957</v>
      </c>
      <c r="E843" s="43" t="n">
        <v>0.440710899398851</v>
      </c>
      <c r="F843" s="43" t="n">
        <v>0.651040688032996</v>
      </c>
      <c r="G843" s="43" t="n">
        <v>0.595889663042244</v>
      </c>
      <c r="H843" s="43" t="n">
        <v>0.627480730823312</v>
      </c>
      <c r="I843" s="42" t="n">
        <v>1</v>
      </c>
      <c r="J843" s="42" t="n">
        <v>1</v>
      </c>
      <c r="K843" s="44" t="str">
        <f aca="false">IF(AND(I843=1,J843=1),"两者都跟住",IF(AND(I843=0,J843=1),"仅 PC-TBD 跟住",IF(AND(I843=1,J843=0),"仅 VIT-LPS 跟住","都没跟住")))</f>
        <v>两者都跟住</v>
      </c>
      <c r="L843" s="45" t="n">
        <f aca="false">F843-G843</f>
        <v>0.055151024990752</v>
      </c>
      <c r="M843" s="46" t="n">
        <v>0.3118294</v>
      </c>
      <c r="N843" s="46" t="n">
        <v>0.1619504</v>
      </c>
      <c r="O843" s="46" t="n">
        <v>0.3001002</v>
      </c>
      <c r="P843" s="46" t="n">
        <v>0.6614046</v>
      </c>
      <c r="Q843" s="46" t="n">
        <v>2.7000716</v>
      </c>
      <c r="R843" s="46" t="n">
        <v>2.8728417</v>
      </c>
      <c r="S843" s="47" t="n">
        <f aca="false">M843+N843+O843</f>
        <v>0.77388</v>
      </c>
      <c r="T843" s="47" t="n">
        <f aca="false">M843+P843</f>
        <v>0.973234</v>
      </c>
    </row>
    <row r="844" customFormat="false" ht="15" hidden="false" customHeight="false" outlineLevel="0" collapsed="false">
      <c r="A844" s="42" t="s">
        <v>45</v>
      </c>
      <c r="B844" s="42" t="n">
        <v>-18</v>
      </c>
      <c r="C844" s="42" t="n">
        <v>43</v>
      </c>
      <c r="D844" s="42" t="n">
        <v>74290958</v>
      </c>
      <c r="E844" s="43" t="n">
        <v>0.515531611720387</v>
      </c>
      <c r="F844" s="43" t="n">
        <v>0.641205125282293</v>
      </c>
      <c r="G844" s="43" t="n">
        <v>0.72533289200191</v>
      </c>
      <c r="H844" s="43" t="n">
        <v>0.734967705770278</v>
      </c>
      <c r="I844" s="42" t="n">
        <v>1</v>
      </c>
      <c r="J844" s="42" t="n">
        <v>1</v>
      </c>
      <c r="K844" s="44" t="str">
        <f aca="false">IF(AND(I844=1,J844=1),"两者都跟住",IF(AND(I844=0,J844=1),"仅 PC-TBD 跟住",IF(AND(I844=1,J844=0),"仅 VIT-LPS 跟住","都没跟住")))</f>
        <v>两者都跟住</v>
      </c>
      <c r="L844" s="45" t="n">
        <f aca="false">F844-G844</f>
        <v>-0.084127766719617</v>
      </c>
      <c r="M844" s="46" t="n">
        <v>0.3277852</v>
      </c>
      <c r="N844" s="46" t="n">
        <v>0.1643972</v>
      </c>
      <c r="O844" s="46" t="n">
        <v>0.3309266</v>
      </c>
      <c r="P844" s="46" t="n">
        <v>0.6369031</v>
      </c>
      <c r="Q844" s="46" t="n">
        <v>2.7359711</v>
      </c>
      <c r="R844" s="46" t="n">
        <v>2.4878963</v>
      </c>
      <c r="S844" s="47" t="n">
        <f aca="false">M844+N844+O844</f>
        <v>0.823109</v>
      </c>
      <c r="T844" s="47" t="n">
        <f aca="false">M844+P844</f>
        <v>0.9646883</v>
      </c>
    </row>
    <row r="845" customFormat="false" ht="15" hidden="false" customHeight="false" outlineLevel="0" collapsed="false">
      <c r="A845" s="42" t="s">
        <v>45</v>
      </c>
      <c r="B845" s="42" t="n">
        <v>-18</v>
      </c>
      <c r="C845" s="42" t="n">
        <v>44</v>
      </c>
      <c r="D845" s="42" t="n">
        <v>74290959</v>
      </c>
      <c r="E845" s="43" t="n">
        <v>0.240590454318373</v>
      </c>
      <c r="F845" s="43" t="n">
        <v>0.400139823687794</v>
      </c>
      <c r="G845" s="43" t="n">
        <v>0.541921794232654</v>
      </c>
      <c r="H845" s="43" t="n">
        <v>0.55403407171705</v>
      </c>
      <c r="I845" s="42" t="n">
        <v>1</v>
      </c>
      <c r="J845" s="42" t="n">
        <v>1</v>
      </c>
      <c r="K845" s="44" t="str">
        <f aca="false">IF(AND(I845=1,J845=1),"两者都跟住",IF(AND(I845=0,J845=1),"仅 PC-TBD 跟住",IF(AND(I845=1,J845=0),"仅 VIT-LPS 跟住","都没跟住")))</f>
        <v>两者都跟住</v>
      </c>
      <c r="L845" s="45" t="n">
        <f aca="false">F845-G845</f>
        <v>-0.14178197054486</v>
      </c>
      <c r="M845" s="46" t="n">
        <v>0.244976</v>
      </c>
      <c r="N845" s="46" t="n">
        <v>0.1263893</v>
      </c>
      <c r="O845" s="46" t="n">
        <v>0.3055524</v>
      </c>
      <c r="P845" s="46" t="n">
        <v>0.7381169</v>
      </c>
      <c r="Q845" s="46" t="n">
        <v>3.2589376</v>
      </c>
      <c r="R845" s="46" t="n">
        <v>2.9506957</v>
      </c>
      <c r="S845" s="47" t="n">
        <f aca="false">M845+N845+O845</f>
        <v>0.6769177</v>
      </c>
      <c r="T845" s="47" t="n">
        <f aca="false">M845+P845</f>
        <v>0.9830929</v>
      </c>
    </row>
    <row r="846" customFormat="false" ht="15" hidden="false" customHeight="false" outlineLevel="0" collapsed="false">
      <c r="A846" s="42" t="s">
        <v>45</v>
      </c>
      <c r="B846" s="42" t="n">
        <v>-18</v>
      </c>
      <c r="C846" s="42" t="n">
        <v>45</v>
      </c>
      <c r="D846" s="42" t="n">
        <v>74290960</v>
      </c>
      <c r="E846" s="43" t="n">
        <v>0.184799932286715</v>
      </c>
      <c r="F846" s="43" t="n">
        <v>0.505272886585395</v>
      </c>
      <c r="G846" s="43" t="n">
        <v>0.443076931375665</v>
      </c>
      <c r="H846" s="43" t="n">
        <v>0.470491990221873</v>
      </c>
      <c r="I846" s="42" t="n">
        <v>1</v>
      </c>
      <c r="J846" s="42" t="n">
        <v>1</v>
      </c>
      <c r="K846" s="44" t="str">
        <f aca="false">IF(AND(I846=1,J846=1),"两者都跟住",IF(AND(I846=0,J846=1),"仅 PC-TBD 跟住",IF(AND(I846=1,J846=0),"仅 VIT-LPS 跟住","都没跟住")))</f>
        <v>两者都跟住</v>
      </c>
      <c r="L846" s="45" t="n">
        <f aca="false">F846-G846</f>
        <v>0.06219595520973</v>
      </c>
      <c r="M846" s="46" t="n">
        <v>0.3195193</v>
      </c>
      <c r="N846" s="46" t="n">
        <v>0.157382</v>
      </c>
      <c r="O846" s="46" t="n">
        <v>0.4640545</v>
      </c>
      <c r="P846" s="46" t="n">
        <v>0.6368184</v>
      </c>
      <c r="Q846" s="46" t="n">
        <v>3.4875151</v>
      </c>
      <c r="R846" s="46" t="n">
        <v>3.1840675</v>
      </c>
      <c r="S846" s="47" t="n">
        <f aca="false">M846+N846+O846</f>
        <v>0.9409558</v>
      </c>
      <c r="T846" s="47" t="n">
        <f aca="false">M846+P846</f>
        <v>0.9563377</v>
      </c>
    </row>
    <row r="847" customFormat="false" ht="15" hidden="false" customHeight="false" outlineLevel="0" collapsed="false">
      <c r="A847" s="42" t="s">
        <v>45</v>
      </c>
      <c r="B847" s="42" t="n">
        <v>-18</v>
      </c>
      <c r="C847" s="42" t="n">
        <v>46</v>
      </c>
      <c r="D847" s="42" t="n">
        <v>74290961</v>
      </c>
      <c r="E847" s="43" t="n">
        <v>0.518469842454753</v>
      </c>
      <c r="F847" s="43" t="n">
        <v>0.572940533293577</v>
      </c>
      <c r="G847" s="43" t="n">
        <v>0.628767967482601</v>
      </c>
      <c r="H847" s="43" t="n">
        <v>0.628885634956105</v>
      </c>
      <c r="I847" s="42" t="n">
        <v>0</v>
      </c>
      <c r="J847" s="42" t="n">
        <v>1</v>
      </c>
      <c r="K847" s="44" t="str">
        <f aca="false">IF(AND(I847=1,J847=1),"两者都跟住",IF(AND(I847=0,J847=1),"仅 PC-TBD 跟住",IF(AND(I847=1,J847=0),"仅 VIT-LPS 跟住","都没跟住")))</f>
        <v>仅 PC-TBD 跟住</v>
      </c>
      <c r="L847" s="45" t="n">
        <f aca="false">F847-G847</f>
        <v>-0.055827434189024</v>
      </c>
      <c r="M847" s="46" t="n">
        <v>0.355003</v>
      </c>
      <c r="N847" s="46" t="n">
        <v>0.1581046</v>
      </c>
      <c r="O847" s="46" t="n">
        <v>0.4978274</v>
      </c>
      <c r="P847" s="46" t="n">
        <v>0.6686006</v>
      </c>
      <c r="Q847" s="46" t="n">
        <v>2.9896896</v>
      </c>
      <c r="R847" s="46" t="n">
        <v>2.8071977</v>
      </c>
      <c r="S847" s="47" t="n">
        <f aca="false">M847+N847+O847</f>
        <v>1.010935</v>
      </c>
      <c r="T847" s="47" t="n">
        <f aca="false">M847+P847</f>
        <v>1.0236036</v>
      </c>
    </row>
    <row r="848" customFormat="false" ht="15" hidden="false" customHeight="false" outlineLevel="0" collapsed="false">
      <c r="A848" s="42" t="s">
        <v>45</v>
      </c>
      <c r="B848" s="42" t="n">
        <v>-18</v>
      </c>
      <c r="C848" s="42" t="n">
        <v>47</v>
      </c>
      <c r="D848" s="42" t="n">
        <v>74290962</v>
      </c>
      <c r="E848" s="43" t="n">
        <v>0.331221686613662</v>
      </c>
      <c r="F848" s="43" t="n">
        <v>0.591540458040742</v>
      </c>
      <c r="G848" s="43" t="n">
        <v>0.696312517152089</v>
      </c>
      <c r="H848" s="43" t="n">
        <v>0.674054311929648</v>
      </c>
      <c r="I848" s="42" t="n">
        <v>1</v>
      </c>
      <c r="J848" s="42" t="n">
        <v>1</v>
      </c>
      <c r="K848" s="44" t="str">
        <f aca="false">IF(AND(I848=1,J848=1),"两者都跟住",IF(AND(I848=0,J848=1),"仅 PC-TBD 跟住",IF(AND(I848=1,J848=0),"仅 VIT-LPS 跟住","都没跟住")))</f>
        <v>两者都跟住</v>
      </c>
      <c r="L848" s="45" t="n">
        <f aca="false">F848-G848</f>
        <v>-0.104772059111347</v>
      </c>
      <c r="M848" s="46" t="n">
        <v>0.1626486</v>
      </c>
      <c r="N848" s="46" t="n">
        <v>0.1210702</v>
      </c>
      <c r="O848" s="46" t="n">
        <v>0.2215818</v>
      </c>
      <c r="P848" s="46" t="n">
        <v>0.4264372</v>
      </c>
      <c r="Q848" s="46" t="n">
        <v>1.7536016</v>
      </c>
      <c r="R848" s="46" t="n">
        <v>1.6028749</v>
      </c>
      <c r="S848" s="47" t="n">
        <f aca="false">M848+N848+O848</f>
        <v>0.5053006</v>
      </c>
      <c r="T848" s="47" t="n">
        <f aca="false">M848+P848</f>
        <v>0.5890858</v>
      </c>
    </row>
    <row r="849" customFormat="false" ht="15" hidden="false" customHeight="false" outlineLevel="0" collapsed="false">
      <c r="A849" s="42" t="s">
        <v>45</v>
      </c>
      <c r="B849" s="42" t="n">
        <v>-18</v>
      </c>
      <c r="C849" s="42" t="n">
        <v>48</v>
      </c>
      <c r="D849" s="42" t="n">
        <v>74290963</v>
      </c>
      <c r="E849" s="43" t="n">
        <v>0.280193867514205</v>
      </c>
      <c r="F849" s="43" t="n">
        <v>0.613032484332264</v>
      </c>
      <c r="G849" s="43" t="n">
        <v>0.720549852301106</v>
      </c>
      <c r="H849" s="43" t="n">
        <v>0.737070288276036</v>
      </c>
      <c r="I849" s="42" t="n">
        <v>1</v>
      </c>
      <c r="J849" s="42" t="n">
        <v>1</v>
      </c>
      <c r="K849" s="44" t="str">
        <f aca="false">IF(AND(I849=1,J849=1),"两者都跟住",IF(AND(I849=0,J849=1),"仅 PC-TBD 跟住",IF(AND(I849=1,J849=0),"仅 VIT-LPS 跟住","都没跟住")))</f>
        <v>两者都跟住</v>
      </c>
      <c r="L849" s="45" t="n">
        <f aca="false">F849-G849</f>
        <v>-0.107517367968842</v>
      </c>
      <c r="M849" s="46" t="n">
        <v>0.179742</v>
      </c>
      <c r="N849" s="46" t="n">
        <v>0.1222617</v>
      </c>
      <c r="O849" s="46" t="n">
        <v>0.2586764</v>
      </c>
      <c r="P849" s="46" t="n">
        <v>0.6435903</v>
      </c>
      <c r="Q849" s="46" t="n">
        <v>2.1033294</v>
      </c>
      <c r="R849" s="46" t="n">
        <v>1.697414</v>
      </c>
      <c r="S849" s="47" t="n">
        <f aca="false">M849+N849+O849</f>
        <v>0.5606801</v>
      </c>
      <c r="T849" s="47" t="n">
        <f aca="false">M849+P849</f>
        <v>0.8233323</v>
      </c>
    </row>
    <row r="850" customFormat="false" ht="15" hidden="false" customHeight="false" outlineLevel="0" collapsed="false">
      <c r="A850" s="42" t="s">
        <v>45</v>
      </c>
      <c r="B850" s="42" t="n">
        <v>-18</v>
      </c>
      <c r="C850" s="42" t="n">
        <v>49</v>
      </c>
      <c r="D850" s="42" t="n">
        <v>74290964</v>
      </c>
      <c r="E850" s="43" t="n">
        <v>0.278443334360439</v>
      </c>
      <c r="F850" s="43" t="n">
        <v>0.579225192201123</v>
      </c>
      <c r="G850" s="43" t="n">
        <v>0.555082090783582</v>
      </c>
      <c r="H850" s="43" t="n">
        <v>0.545783528340236</v>
      </c>
      <c r="I850" s="42" t="n">
        <v>0</v>
      </c>
      <c r="J850" s="42" t="n">
        <v>0</v>
      </c>
      <c r="K850" s="44" t="str">
        <f aca="false">IF(AND(I850=1,J850=1),"两者都跟住",IF(AND(I850=0,J850=1),"仅 PC-TBD 跟住",IF(AND(I850=1,J850=0),"仅 VIT-LPS 跟住","都没跟住")))</f>
        <v>都没跟住</v>
      </c>
      <c r="L850" s="45" t="n">
        <f aca="false">F850-G850</f>
        <v>0.0241431014175411</v>
      </c>
      <c r="M850" s="46" t="n">
        <v>0.1773789</v>
      </c>
      <c r="N850" s="46" t="n">
        <v>0.1276371</v>
      </c>
      <c r="O850" s="46" t="n">
        <v>0.270908</v>
      </c>
      <c r="P850" s="46" t="n">
        <v>0.6334699</v>
      </c>
      <c r="Q850" s="46" t="n">
        <v>2.2530839</v>
      </c>
      <c r="R850" s="46" t="n">
        <v>2.215018</v>
      </c>
      <c r="S850" s="47" t="n">
        <f aca="false">M850+N850+O850</f>
        <v>0.575924</v>
      </c>
      <c r="T850" s="47" t="n">
        <f aca="false">M850+P850</f>
        <v>0.8108488</v>
      </c>
    </row>
    <row r="851" customFormat="false" ht="15" hidden="false" customHeight="false" outlineLevel="0" collapsed="false">
      <c r="A851" s="42" t="s">
        <v>45</v>
      </c>
      <c r="B851" s="42" t="n">
        <v>-18</v>
      </c>
      <c r="C851" s="42" t="n">
        <v>50</v>
      </c>
      <c r="D851" s="42" t="n">
        <v>74290965</v>
      </c>
      <c r="E851" s="43" t="n">
        <v>0.270500041539042</v>
      </c>
      <c r="F851" s="43" t="n">
        <v>0.527970313824719</v>
      </c>
      <c r="G851" s="43" t="n">
        <v>0.468652145733545</v>
      </c>
      <c r="H851" s="43" t="n">
        <v>0.465585000935282</v>
      </c>
      <c r="I851" s="42" t="n">
        <v>1</v>
      </c>
      <c r="J851" s="42" t="n">
        <v>0</v>
      </c>
      <c r="K851" s="44" t="str">
        <f aca="false">IF(AND(I851=1,J851=1),"两者都跟住",IF(AND(I851=0,J851=1),"仅 PC-TBD 跟住",IF(AND(I851=1,J851=0),"仅 VIT-LPS 跟住","都没跟住")))</f>
        <v>仅 VIT-LPS 跟住</v>
      </c>
      <c r="L851" s="45" t="n">
        <f aca="false">F851-G851</f>
        <v>0.059318168091174</v>
      </c>
      <c r="M851" s="46" t="n">
        <v>0.1604419</v>
      </c>
      <c r="N851" s="46" t="n">
        <v>0.0746565</v>
      </c>
      <c r="O851" s="46" t="n">
        <v>0.1958135</v>
      </c>
      <c r="P851" s="46" t="n">
        <v>0.3940617</v>
      </c>
      <c r="Q851" s="46" t="n">
        <v>1.9726439</v>
      </c>
      <c r="R851" s="46" t="n">
        <v>2.3408814</v>
      </c>
      <c r="S851" s="47" t="n">
        <f aca="false">M851+N851+O851</f>
        <v>0.4309119</v>
      </c>
      <c r="T851" s="47" t="n">
        <f aca="false">M851+P851</f>
        <v>0.5545036</v>
      </c>
    </row>
    <row r="852" customFormat="false" ht="15" hidden="false" customHeight="false" outlineLevel="0" collapsed="false">
      <c r="A852" s="42" t="s">
        <v>45</v>
      </c>
      <c r="B852" s="42" t="n">
        <v>-18</v>
      </c>
      <c r="C852" s="42" t="n">
        <v>51</v>
      </c>
      <c r="D852" s="42" t="n">
        <v>74290966</v>
      </c>
      <c r="E852" s="43" t="n">
        <v>0.308913782603588</v>
      </c>
      <c r="F852" s="43" t="n">
        <v>0.640842746274427</v>
      </c>
      <c r="G852" s="43" t="n">
        <v>0.627457820040844</v>
      </c>
      <c r="H852" s="43" t="n">
        <v>0.648681854240736</v>
      </c>
      <c r="I852" s="42" t="n">
        <v>1</v>
      </c>
      <c r="J852" s="42" t="n">
        <v>0</v>
      </c>
      <c r="K852" s="44" t="str">
        <f aca="false">IF(AND(I852=1,J852=1),"两者都跟住",IF(AND(I852=0,J852=1),"仅 PC-TBD 跟住",IF(AND(I852=1,J852=0),"仅 VIT-LPS 跟住","都没跟住")))</f>
        <v>仅 VIT-LPS 跟住</v>
      </c>
      <c r="L852" s="45" t="n">
        <f aca="false">F852-G852</f>
        <v>0.013384926233583</v>
      </c>
      <c r="M852" s="46" t="n">
        <v>0.2405285</v>
      </c>
      <c r="N852" s="46" t="n">
        <v>0.146015</v>
      </c>
      <c r="O852" s="46" t="n">
        <v>0.2756692</v>
      </c>
      <c r="P852" s="46" t="n">
        <v>0.4978625</v>
      </c>
      <c r="Q852" s="46" t="n">
        <v>2.8788466</v>
      </c>
      <c r="R852" s="46" t="n">
        <v>2.2567166</v>
      </c>
      <c r="S852" s="47" t="n">
        <f aca="false">M852+N852+O852</f>
        <v>0.6622127</v>
      </c>
      <c r="T852" s="47" t="n">
        <f aca="false">M852+P852</f>
        <v>0.738391</v>
      </c>
    </row>
    <row r="853" customFormat="false" ht="15" hidden="false" customHeight="false" outlineLevel="0" collapsed="false">
      <c r="A853" s="42" t="s">
        <v>45</v>
      </c>
      <c r="B853" s="42" t="n">
        <v>-18</v>
      </c>
      <c r="C853" s="42" t="n">
        <v>52</v>
      </c>
      <c r="D853" s="42" t="n">
        <v>74290967</v>
      </c>
      <c r="E853" s="43" t="n">
        <v>0.274537836894771</v>
      </c>
      <c r="F853" s="43" t="n">
        <v>0.597394264249571</v>
      </c>
      <c r="G853" s="43" t="n">
        <v>0.631562669591694</v>
      </c>
      <c r="H853" s="43" t="n">
        <v>0.623483489047394</v>
      </c>
      <c r="I853" s="42" t="n">
        <v>1</v>
      </c>
      <c r="J853" s="42" t="n">
        <v>1</v>
      </c>
      <c r="K853" s="44" t="str">
        <f aca="false">IF(AND(I853=1,J853=1),"两者都跟住",IF(AND(I853=0,J853=1),"仅 PC-TBD 跟住",IF(AND(I853=1,J853=0),"仅 VIT-LPS 跟住","都没跟住")))</f>
        <v>两者都跟住</v>
      </c>
      <c r="L853" s="45" t="n">
        <f aca="false">F853-G853</f>
        <v>-0.0341684053421231</v>
      </c>
      <c r="M853" s="46" t="n">
        <v>0.2323879</v>
      </c>
      <c r="N853" s="46" t="n">
        <v>0.1218408</v>
      </c>
      <c r="O853" s="46" t="n">
        <v>0.2650803</v>
      </c>
      <c r="P853" s="46" t="n">
        <v>0.5651183</v>
      </c>
      <c r="Q853" s="46" t="n">
        <v>2.7052653</v>
      </c>
      <c r="R853" s="46" t="n">
        <v>3.0049887</v>
      </c>
      <c r="S853" s="47" t="n">
        <f aca="false">M853+N853+O853</f>
        <v>0.619309</v>
      </c>
      <c r="T853" s="47" t="n">
        <f aca="false">M853+P853</f>
        <v>0.7975062</v>
      </c>
    </row>
    <row r="854" customFormat="false" ht="15" hidden="false" customHeight="false" outlineLevel="0" collapsed="false">
      <c r="A854" s="42" t="s">
        <v>45</v>
      </c>
      <c r="B854" s="42" t="n">
        <v>-18</v>
      </c>
      <c r="C854" s="42" t="n">
        <v>53</v>
      </c>
      <c r="D854" s="42" t="n">
        <v>74290968</v>
      </c>
      <c r="E854" s="43" t="n">
        <v>0.28963566604255</v>
      </c>
      <c r="F854" s="43" t="n">
        <v>0.669813687328372</v>
      </c>
      <c r="G854" s="43" t="n">
        <v>0.701391757187526</v>
      </c>
      <c r="H854" s="43" t="n">
        <v>0.690398800450517</v>
      </c>
      <c r="I854" s="42" t="n">
        <v>1</v>
      </c>
      <c r="J854" s="42" t="n">
        <v>1</v>
      </c>
      <c r="K854" s="44" t="str">
        <f aca="false">IF(AND(I854=1,J854=1),"两者都跟住",IF(AND(I854=0,J854=1),"仅 PC-TBD 跟住",IF(AND(I854=1,J854=0),"仅 VIT-LPS 跟住","都没跟住")))</f>
        <v>两者都跟住</v>
      </c>
      <c r="L854" s="45" t="n">
        <f aca="false">F854-G854</f>
        <v>-0.031578069859154</v>
      </c>
      <c r="M854" s="46" t="n">
        <v>0.2519366</v>
      </c>
      <c r="N854" s="46" t="n">
        <v>0.1105192</v>
      </c>
      <c r="O854" s="46" t="n">
        <v>0.2720325</v>
      </c>
      <c r="P854" s="46" t="n">
        <v>0.5247505</v>
      </c>
      <c r="Q854" s="46" t="n">
        <v>3.4180848</v>
      </c>
      <c r="R854" s="46" t="n">
        <v>3.1976088</v>
      </c>
      <c r="S854" s="47" t="n">
        <f aca="false">M854+N854+O854</f>
        <v>0.6344883</v>
      </c>
      <c r="T854" s="47" t="n">
        <f aca="false">M854+P854</f>
        <v>0.7766871</v>
      </c>
    </row>
    <row r="855" customFormat="false" ht="15" hidden="false" customHeight="false" outlineLevel="0" collapsed="false">
      <c r="A855" s="42" t="s">
        <v>45</v>
      </c>
      <c r="B855" s="42" t="n">
        <v>-18</v>
      </c>
      <c r="C855" s="42" t="n">
        <v>54</v>
      </c>
      <c r="D855" s="42" t="n">
        <v>74290969</v>
      </c>
      <c r="E855" s="43" t="n">
        <v>0.164470811515611</v>
      </c>
      <c r="F855" s="43" t="n">
        <v>0.368772897574992</v>
      </c>
      <c r="G855" s="43" t="n">
        <v>0.36809695828127</v>
      </c>
      <c r="H855" s="43" t="n">
        <v>0.36656858959902</v>
      </c>
      <c r="I855" s="42" t="n">
        <v>1</v>
      </c>
      <c r="J855" s="42" t="n">
        <v>1</v>
      </c>
      <c r="K855" s="44" t="str">
        <f aca="false">IF(AND(I855=1,J855=1),"两者都跟住",IF(AND(I855=0,J855=1),"仅 PC-TBD 跟住",IF(AND(I855=1,J855=0),"仅 VIT-LPS 跟住","都没跟住")))</f>
        <v>两者都跟住</v>
      </c>
      <c r="L855" s="45" t="n">
        <f aca="false">F855-G855</f>
        <v>0.000675939293722006</v>
      </c>
      <c r="M855" s="46" t="n">
        <v>0.2253655</v>
      </c>
      <c r="N855" s="46" t="n">
        <v>0.141861</v>
      </c>
      <c r="O855" s="46" t="n">
        <v>0.2746438</v>
      </c>
      <c r="P855" s="46" t="n">
        <v>0.5281397</v>
      </c>
      <c r="Q855" s="46" t="n">
        <v>6.1166578</v>
      </c>
      <c r="R855" s="46" t="n">
        <v>3.3752534</v>
      </c>
      <c r="S855" s="47" t="n">
        <f aca="false">M855+N855+O855</f>
        <v>0.6418703</v>
      </c>
      <c r="T855" s="47" t="n">
        <f aca="false">M855+P855</f>
        <v>0.7535052</v>
      </c>
    </row>
    <row r="856" customFormat="false" ht="15" hidden="false" customHeight="false" outlineLevel="0" collapsed="false">
      <c r="A856" s="42" t="s">
        <v>45</v>
      </c>
      <c r="B856" s="42" t="n">
        <v>-18</v>
      </c>
      <c r="C856" s="42" t="n">
        <v>55</v>
      </c>
      <c r="D856" s="42" t="n">
        <v>74290970</v>
      </c>
      <c r="E856" s="43" t="n">
        <v>0.549542467062018</v>
      </c>
      <c r="F856" s="43" t="n">
        <v>0.583520274380464</v>
      </c>
      <c r="G856" s="43" t="n">
        <v>0.719294425549729</v>
      </c>
      <c r="H856" s="43" t="n">
        <v>0.730569666631883</v>
      </c>
      <c r="I856" s="42" t="n">
        <v>1</v>
      </c>
      <c r="J856" s="42" t="n">
        <v>1</v>
      </c>
      <c r="K856" s="44" t="str">
        <f aca="false">IF(AND(I856=1,J856=1),"两者都跟住",IF(AND(I856=0,J856=1),"仅 PC-TBD 跟住",IF(AND(I856=1,J856=0),"仅 VIT-LPS 跟住","都没跟住")))</f>
        <v>两者都跟住</v>
      </c>
      <c r="L856" s="45" t="n">
        <f aca="false">F856-G856</f>
        <v>-0.135774151169265</v>
      </c>
      <c r="M856" s="46" t="n">
        <v>0.2688427</v>
      </c>
      <c r="N856" s="46" t="n">
        <v>0.1383714</v>
      </c>
      <c r="O856" s="46" t="n">
        <v>0.26657</v>
      </c>
      <c r="P856" s="46" t="n">
        <v>0.4536104</v>
      </c>
      <c r="Q856" s="46" t="n">
        <v>4.7102986</v>
      </c>
      <c r="R856" s="46" t="n">
        <v>2.7043469</v>
      </c>
      <c r="S856" s="47" t="n">
        <f aca="false">M856+N856+O856</f>
        <v>0.6737841</v>
      </c>
      <c r="T856" s="47" t="n">
        <f aca="false">M856+P856</f>
        <v>0.7224531</v>
      </c>
    </row>
    <row r="857" customFormat="false" ht="15" hidden="false" customHeight="false" outlineLevel="0" collapsed="false">
      <c r="A857" s="42" t="s">
        <v>45</v>
      </c>
      <c r="B857" s="42" t="n">
        <v>-18</v>
      </c>
      <c r="C857" s="42" t="n">
        <v>56</v>
      </c>
      <c r="D857" s="42" t="n">
        <v>74290971</v>
      </c>
      <c r="E857" s="43" t="n">
        <v>0.412391508110455</v>
      </c>
      <c r="F857" s="43" t="n">
        <v>0.578861071236893</v>
      </c>
      <c r="G857" s="43" t="n">
        <v>0.51319694706326</v>
      </c>
      <c r="H857" s="43" t="n">
        <v>0.507891905054813</v>
      </c>
      <c r="I857" s="42" t="n">
        <v>1</v>
      </c>
      <c r="J857" s="42" t="n">
        <v>1</v>
      </c>
      <c r="K857" s="44" t="str">
        <f aca="false">IF(AND(I857=1,J857=1),"两者都跟住",IF(AND(I857=0,J857=1),"仅 PC-TBD 跟住",IF(AND(I857=1,J857=0),"仅 VIT-LPS 跟住","都没跟住")))</f>
        <v>两者都跟住</v>
      </c>
      <c r="L857" s="45" t="n">
        <f aca="false">F857-G857</f>
        <v>0.065664124173633</v>
      </c>
      <c r="M857" s="46" t="n">
        <v>0.2655595</v>
      </c>
      <c r="N857" s="46" t="n">
        <v>0.1464883</v>
      </c>
      <c r="O857" s="46" t="n">
        <v>0.264315</v>
      </c>
      <c r="P857" s="46" t="n">
        <v>0.5678738</v>
      </c>
      <c r="Q857" s="46" t="n">
        <v>2.2510738</v>
      </c>
      <c r="R857" s="46" t="n">
        <v>2.8401558</v>
      </c>
      <c r="S857" s="47" t="n">
        <f aca="false">M857+N857+O857</f>
        <v>0.6763628</v>
      </c>
      <c r="T857" s="47" t="n">
        <f aca="false">M857+P857</f>
        <v>0.8334333</v>
      </c>
    </row>
    <row r="858" customFormat="false" ht="15" hidden="false" customHeight="false" outlineLevel="0" collapsed="false">
      <c r="A858" s="42" t="s">
        <v>45</v>
      </c>
      <c r="B858" s="42" t="n">
        <v>-18</v>
      </c>
      <c r="C858" s="42" t="n">
        <v>57</v>
      </c>
      <c r="D858" s="42" t="n">
        <v>74290972</v>
      </c>
      <c r="E858" s="43" t="n">
        <v>0.394741274759398</v>
      </c>
      <c r="F858" s="43" t="n">
        <v>0.628175471178953</v>
      </c>
      <c r="G858" s="43" t="n">
        <v>0.566361022627963</v>
      </c>
      <c r="H858" s="43" t="n">
        <v>0.60388228337341</v>
      </c>
      <c r="I858" s="42" t="n">
        <v>1</v>
      </c>
      <c r="J858" s="42" t="n">
        <v>1</v>
      </c>
      <c r="K858" s="44" t="str">
        <f aca="false">IF(AND(I858=1,J858=1),"两者都跟住",IF(AND(I858=0,J858=1),"仅 PC-TBD 跟住",IF(AND(I858=1,J858=0),"仅 VIT-LPS 跟住","都没跟住")))</f>
        <v>两者都跟住</v>
      </c>
      <c r="L858" s="45" t="n">
        <f aca="false">F858-G858</f>
        <v>0.0618144485509901</v>
      </c>
      <c r="M858" s="46" t="n">
        <v>0.1906345</v>
      </c>
      <c r="N858" s="46" t="n">
        <v>0.1170583</v>
      </c>
      <c r="O858" s="46" t="n">
        <v>0.2416117</v>
      </c>
      <c r="P858" s="46" t="n">
        <v>0.4725514</v>
      </c>
      <c r="Q858" s="46" t="n">
        <v>5.4385237</v>
      </c>
      <c r="R858" s="46" t="n">
        <v>2.0088773</v>
      </c>
      <c r="S858" s="47" t="n">
        <f aca="false">M858+N858+O858</f>
        <v>0.5493045</v>
      </c>
      <c r="T858" s="47" t="n">
        <f aca="false">M858+P858</f>
        <v>0.6631859</v>
      </c>
    </row>
    <row r="859" customFormat="false" ht="15" hidden="false" customHeight="false" outlineLevel="0" collapsed="false">
      <c r="A859" s="42" t="s">
        <v>45</v>
      </c>
      <c r="B859" s="42" t="n">
        <v>-18</v>
      </c>
      <c r="C859" s="42" t="n">
        <v>58</v>
      </c>
      <c r="D859" s="42" t="n">
        <v>74290973</v>
      </c>
      <c r="E859" s="43" t="n">
        <v>0.396293540490605</v>
      </c>
      <c r="F859" s="43" t="n">
        <v>0.672581895713793</v>
      </c>
      <c r="G859" s="43" t="n">
        <v>0.533731965417497</v>
      </c>
      <c r="H859" s="43" t="n">
        <v>0.530072008894412</v>
      </c>
      <c r="I859" s="42" t="n">
        <v>1</v>
      </c>
      <c r="J859" s="42" t="n">
        <v>0</v>
      </c>
      <c r="K859" s="44" t="str">
        <f aca="false">IF(AND(I859=1,J859=1),"两者都跟住",IF(AND(I859=0,J859=1),"仅 PC-TBD 跟住",IF(AND(I859=1,J859=0),"仅 VIT-LPS 跟住","都没跟住")))</f>
        <v>仅 VIT-LPS 跟住</v>
      </c>
      <c r="L859" s="45" t="n">
        <f aca="false">F859-G859</f>
        <v>0.138849930296296</v>
      </c>
      <c r="M859" s="46" t="n">
        <v>0.2001239</v>
      </c>
      <c r="N859" s="46" t="n">
        <v>0.1016053</v>
      </c>
      <c r="O859" s="46" t="n">
        <v>0.1924305</v>
      </c>
      <c r="P859" s="46" t="n">
        <v>0.4865032</v>
      </c>
      <c r="Q859" s="46" t="n">
        <v>2.0269147</v>
      </c>
      <c r="R859" s="46" t="n">
        <v>1.7246069</v>
      </c>
      <c r="S859" s="47" t="n">
        <f aca="false">M859+N859+O859</f>
        <v>0.4941597</v>
      </c>
      <c r="T859" s="47" t="n">
        <f aca="false">M859+P859</f>
        <v>0.6866271</v>
      </c>
    </row>
    <row r="860" customFormat="false" ht="15" hidden="false" customHeight="false" outlineLevel="0" collapsed="false">
      <c r="A860" s="42" t="s">
        <v>45</v>
      </c>
      <c r="B860" s="42" t="n">
        <v>-18</v>
      </c>
      <c r="C860" s="42" t="n">
        <v>59</v>
      </c>
      <c r="D860" s="42" t="n">
        <v>74290974</v>
      </c>
      <c r="E860" s="43" t="n">
        <v>0.239038212835444</v>
      </c>
      <c r="F860" s="43" t="n">
        <v>0.594708887120241</v>
      </c>
      <c r="G860" s="43" t="n">
        <v>0.517399128524416</v>
      </c>
      <c r="H860" s="43" t="n">
        <v>0.58076293704758</v>
      </c>
      <c r="I860" s="42" t="n">
        <v>1</v>
      </c>
      <c r="J860" s="42" t="n">
        <v>1</v>
      </c>
      <c r="K860" s="44" t="str">
        <f aca="false">IF(AND(I860=1,J860=1),"两者都跟住",IF(AND(I860=0,J860=1),"仅 PC-TBD 跟住",IF(AND(I860=1,J860=0),"仅 VIT-LPS 跟住","都没跟住")))</f>
        <v>两者都跟住</v>
      </c>
      <c r="L860" s="45" t="n">
        <f aca="false">F860-G860</f>
        <v>0.0773097585958249</v>
      </c>
      <c r="M860" s="46" t="n">
        <v>0.1797027</v>
      </c>
      <c r="N860" s="46" t="n">
        <v>0.1089473</v>
      </c>
      <c r="O860" s="46" t="n">
        <v>0.1957108</v>
      </c>
      <c r="P860" s="46" t="n">
        <v>0.6388923</v>
      </c>
      <c r="Q860" s="46" t="n">
        <v>2.4210005</v>
      </c>
      <c r="R860" s="46" t="n">
        <v>1.8398498</v>
      </c>
      <c r="S860" s="47" t="n">
        <f aca="false">M860+N860+O860</f>
        <v>0.4843608</v>
      </c>
      <c r="T860" s="47" t="n">
        <f aca="false">M860+P860</f>
        <v>0.818595</v>
      </c>
    </row>
    <row r="861" customFormat="false" ht="15" hidden="false" customHeight="false" outlineLevel="0" collapsed="false">
      <c r="A861" s="42" t="s">
        <v>45</v>
      </c>
      <c r="B861" s="42" t="n">
        <v>-18</v>
      </c>
      <c r="C861" s="42" t="n">
        <v>60</v>
      </c>
      <c r="D861" s="42" t="n">
        <v>74290975</v>
      </c>
      <c r="E861" s="43" t="n">
        <v>0.412512724688755</v>
      </c>
      <c r="F861" s="43" t="n">
        <v>0.671608379294868</v>
      </c>
      <c r="G861" s="43" t="n">
        <v>0.786250388073812</v>
      </c>
      <c r="H861" s="43" t="n">
        <v>0.754721873339239</v>
      </c>
      <c r="I861" s="42" t="n">
        <v>1</v>
      </c>
      <c r="J861" s="42" t="n">
        <v>1</v>
      </c>
      <c r="K861" s="44" t="str">
        <f aca="false">IF(AND(I861=1,J861=1),"两者都跟住",IF(AND(I861=0,J861=1),"仅 PC-TBD 跟住",IF(AND(I861=1,J861=0),"仅 VIT-LPS 跟住","都没跟住")))</f>
        <v>两者都跟住</v>
      </c>
      <c r="L861" s="45" t="n">
        <f aca="false">F861-G861</f>
        <v>-0.114642008778944</v>
      </c>
      <c r="M861" s="46" t="n">
        <v>0.1351884</v>
      </c>
      <c r="N861" s="46" t="n">
        <v>0.1084729</v>
      </c>
      <c r="O861" s="46" t="n">
        <v>0.2033813</v>
      </c>
      <c r="P861" s="46" t="n">
        <v>0.4898279</v>
      </c>
      <c r="Q861" s="46" t="n">
        <v>1.8774477</v>
      </c>
      <c r="R861" s="46" t="n">
        <v>1.2155469</v>
      </c>
      <c r="S861" s="47" t="n">
        <f aca="false">M861+N861+O861</f>
        <v>0.4470426</v>
      </c>
      <c r="T861" s="47" t="n">
        <f aca="false">M861+P861</f>
        <v>0.6250163</v>
      </c>
    </row>
    <row r="862" customFormat="false" ht="15" hidden="false" customHeight="false" outlineLevel="0" collapsed="false">
      <c r="A862" s="42" t="s">
        <v>45</v>
      </c>
      <c r="B862" s="42" t="n">
        <v>-18</v>
      </c>
      <c r="C862" s="42" t="n">
        <v>61</v>
      </c>
      <c r="D862" s="42" t="n">
        <v>74290976</v>
      </c>
      <c r="E862" s="43" t="n">
        <v>0.267490827124302</v>
      </c>
      <c r="F862" s="43" t="n">
        <v>0.718133945886646</v>
      </c>
      <c r="G862" s="43" t="n">
        <v>0.697970457790306</v>
      </c>
      <c r="H862" s="43" t="n">
        <v>0.723350511118882</v>
      </c>
      <c r="I862" s="42" t="n">
        <v>1</v>
      </c>
      <c r="J862" s="42" t="n">
        <v>1</v>
      </c>
      <c r="K862" s="44" t="str">
        <f aca="false">IF(AND(I862=1,J862=1),"两者都跟住",IF(AND(I862=0,J862=1),"仅 PC-TBD 跟住",IF(AND(I862=1,J862=0),"仅 VIT-LPS 跟住","都没跟住")))</f>
        <v>两者都跟住</v>
      </c>
      <c r="L862" s="45" t="n">
        <f aca="false">F862-G862</f>
        <v>0.0201634880963401</v>
      </c>
      <c r="M862" s="46" t="n">
        <v>0.2408217</v>
      </c>
      <c r="N862" s="46" t="n">
        <v>0.1437472</v>
      </c>
      <c r="O862" s="46" t="n">
        <v>0.2396716</v>
      </c>
      <c r="P862" s="46" t="n">
        <v>0.5433511</v>
      </c>
      <c r="Q862" s="46" t="n">
        <v>2.9537436</v>
      </c>
      <c r="R862" s="46" t="n">
        <v>2.7964824</v>
      </c>
      <c r="S862" s="47" t="n">
        <f aca="false">M862+N862+O862</f>
        <v>0.6242405</v>
      </c>
      <c r="T862" s="47" t="n">
        <f aca="false">M862+P862</f>
        <v>0.7841728</v>
      </c>
    </row>
    <row r="863" customFormat="false" ht="15" hidden="false" customHeight="false" outlineLevel="0" collapsed="false">
      <c r="A863" s="42" t="s">
        <v>45</v>
      </c>
      <c r="B863" s="42" t="n">
        <v>-18</v>
      </c>
      <c r="C863" s="42" t="n">
        <v>62</v>
      </c>
      <c r="D863" s="42" t="n">
        <v>74290977</v>
      </c>
      <c r="E863" s="43" t="n">
        <v>0.521148708648931</v>
      </c>
      <c r="F863" s="43" t="n">
        <v>0.63942949371816</v>
      </c>
      <c r="G863" s="43" t="n">
        <v>0.587629304686039</v>
      </c>
      <c r="H863" s="43" t="n">
        <v>0.610068706014682</v>
      </c>
      <c r="I863" s="42" t="n">
        <v>1</v>
      </c>
      <c r="J863" s="42" t="n">
        <v>1</v>
      </c>
      <c r="K863" s="44" t="str">
        <f aca="false">IF(AND(I863=1,J863=1),"两者都跟住",IF(AND(I863=0,J863=1),"仅 PC-TBD 跟住",IF(AND(I863=1,J863=0),"仅 VIT-LPS 跟住","都没跟住")))</f>
        <v>两者都跟住</v>
      </c>
      <c r="L863" s="45" t="n">
        <f aca="false">F863-G863</f>
        <v>0.051800189032121</v>
      </c>
      <c r="M863" s="46" t="n">
        <v>0.2482331</v>
      </c>
      <c r="N863" s="46" t="n">
        <v>0.1451336</v>
      </c>
      <c r="O863" s="46" t="n">
        <v>0.233924</v>
      </c>
      <c r="P863" s="46" t="n">
        <v>0.4795268</v>
      </c>
      <c r="Q863" s="46" t="n">
        <v>5.6656156</v>
      </c>
      <c r="R863" s="46" t="n">
        <v>3.1467646</v>
      </c>
      <c r="S863" s="47" t="n">
        <f aca="false">M863+N863+O863</f>
        <v>0.6272907</v>
      </c>
      <c r="T863" s="47" t="n">
        <f aca="false">M863+P863</f>
        <v>0.7277599</v>
      </c>
    </row>
    <row r="864" customFormat="false" ht="15" hidden="false" customHeight="false" outlineLevel="0" collapsed="false">
      <c r="A864" s="42" t="s">
        <v>45</v>
      </c>
      <c r="B864" s="42" t="n">
        <v>-18</v>
      </c>
      <c r="C864" s="42" t="n">
        <v>63</v>
      </c>
      <c r="D864" s="42" t="n">
        <v>74290978</v>
      </c>
      <c r="E864" s="43" t="n">
        <v>0.497841374855694</v>
      </c>
      <c r="F864" s="43" t="n">
        <v>0.614533593157613</v>
      </c>
      <c r="G864" s="43" t="n">
        <v>0.645219895203734</v>
      </c>
      <c r="H864" s="43" t="n">
        <v>0.687595373136674</v>
      </c>
      <c r="I864" s="42" t="n">
        <v>1</v>
      </c>
      <c r="J864" s="42" t="n">
        <v>1</v>
      </c>
      <c r="K864" s="44" t="str">
        <f aca="false">IF(AND(I864=1,J864=1),"两者都跟住",IF(AND(I864=0,J864=1),"仅 PC-TBD 跟住",IF(AND(I864=1,J864=0),"仅 VIT-LPS 跟住","都没跟住")))</f>
        <v>两者都跟住</v>
      </c>
      <c r="L864" s="45" t="n">
        <f aca="false">F864-G864</f>
        <v>-0.030686302046121</v>
      </c>
      <c r="M864" s="46" t="n">
        <v>0.2316784</v>
      </c>
      <c r="N864" s="46" t="n">
        <v>0.0929137</v>
      </c>
      <c r="O864" s="46" t="n">
        <v>0.2425635</v>
      </c>
      <c r="P864" s="46" t="n">
        <v>0.5509061</v>
      </c>
      <c r="Q864" s="46" t="n">
        <v>5.5566666</v>
      </c>
      <c r="R864" s="46" t="n">
        <v>2.1632513</v>
      </c>
      <c r="S864" s="47" t="n">
        <f aca="false">M864+N864+O864</f>
        <v>0.5671556</v>
      </c>
      <c r="T864" s="47" t="n">
        <f aca="false">M864+P864</f>
        <v>0.7825845</v>
      </c>
    </row>
    <row r="865" customFormat="false" ht="15" hidden="false" customHeight="false" outlineLevel="0" collapsed="false">
      <c r="A865" s="42" t="s">
        <v>45</v>
      </c>
      <c r="B865" s="42" t="n">
        <v>-18</v>
      </c>
      <c r="C865" s="42" t="n">
        <v>64</v>
      </c>
      <c r="D865" s="42" t="n">
        <v>74290979</v>
      </c>
      <c r="E865" s="43" t="n">
        <v>0.4175073133059</v>
      </c>
      <c r="F865" s="43" t="n">
        <v>0.481355760054327</v>
      </c>
      <c r="G865" s="43" t="n">
        <v>0.423576958643434</v>
      </c>
      <c r="H865" s="43" t="n">
        <v>0.431256772443445</v>
      </c>
      <c r="I865" s="42" t="n">
        <v>0</v>
      </c>
      <c r="J865" s="42" t="n">
        <v>0</v>
      </c>
      <c r="K865" s="44" t="str">
        <f aca="false">IF(AND(I865=1,J865=1),"两者都跟住",IF(AND(I865=0,J865=1),"仅 PC-TBD 跟住",IF(AND(I865=1,J865=0),"仅 VIT-LPS 跟住","都没跟住")))</f>
        <v>都没跟住</v>
      </c>
      <c r="L865" s="45" t="n">
        <f aca="false">F865-G865</f>
        <v>0.057778801410893</v>
      </c>
      <c r="M865" s="46" t="n">
        <v>0.2866905</v>
      </c>
      <c r="N865" s="46" t="n">
        <v>0.0974197</v>
      </c>
      <c r="O865" s="46" t="n">
        <v>0.24594</v>
      </c>
      <c r="P865" s="46" t="n">
        <v>0.5113766</v>
      </c>
      <c r="Q865" s="46" t="n">
        <v>2.9595194</v>
      </c>
      <c r="R865" s="46" t="n">
        <v>2.9543957</v>
      </c>
      <c r="S865" s="47" t="n">
        <f aca="false">M865+N865+O865</f>
        <v>0.6300502</v>
      </c>
      <c r="T865" s="47" t="n">
        <f aca="false">M865+P865</f>
        <v>0.7980671</v>
      </c>
    </row>
    <row r="866" customFormat="false" ht="15" hidden="false" customHeight="false" outlineLevel="0" collapsed="false">
      <c r="A866" s="42" t="s">
        <v>45</v>
      </c>
      <c r="B866" s="42" t="n">
        <v>-18</v>
      </c>
      <c r="C866" s="42" t="n">
        <v>65</v>
      </c>
      <c r="D866" s="42" t="n">
        <v>74290980</v>
      </c>
      <c r="E866" s="43" t="n">
        <v>0.356637924646848</v>
      </c>
      <c r="F866" s="43" t="n">
        <v>0.568955030315836</v>
      </c>
      <c r="G866" s="43" t="n">
        <v>0.558510791169549</v>
      </c>
      <c r="H866" s="43" t="n">
        <v>0.595448196091094</v>
      </c>
      <c r="I866" s="42" t="n">
        <v>1</v>
      </c>
      <c r="J866" s="42" t="n">
        <v>0</v>
      </c>
      <c r="K866" s="44" t="str">
        <f aca="false">IF(AND(I866=1,J866=1),"两者都跟住",IF(AND(I866=0,J866=1),"仅 PC-TBD 跟住",IF(AND(I866=1,J866=0),"仅 VIT-LPS 跟住","都没跟住")))</f>
        <v>仅 VIT-LPS 跟住</v>
      </c>
      <c r="L866" s="45" t="n">
        <f aca="false">F866-G866</f>
        <v>0.010444239146287</v>
      </c>
      <c r="M866" s="46" t="n">
        <v>0.2807214</v>
      </c>
      <c r="N866" s="46" t="n">
        <v>0.1342789</v>
      </c>
      <c r="O866" s="46" t="n">
        <v>0.2129955</v>
      </c>
      <c r="P866" s="46" t="n">
        <v>0.5465927</v>
      </c>
      <c r="Q866" s="46" t="n">
        <v>2.8226946</v>
      </c>
      <c r="R866" s="46" t="n">
        <v>2.5652086</v>
      </c>
      <c r="S866" s="47" t="n">
        <f aca="false">M866+N866+O866</f>
        <v>0.6279958</v>
      </c>
      <c r="T866" s="47" t="n">
        <f aca="false">M866+P866</f>
        <v>0.8273141</v>
      </c>
    </row>
    <row r="867" customFormat="false" ht="15" hidden="false" customHeight="false" outlineLevel="0" collapsed="false">
      <c r="A867" s="42" t="s">
        <v>45</v>
      </c>
      <c r="B867" s="42" t="n">
        <v>-18</v>
      </c>
      <c r="C867" s="42" t="n">
        <v>66</v>
      </c>
      <c r="D867" s="42" t="n">
        <v>74290981</v>
      </c>
      <c r="E867" s="43" t="n">
        <v>0.440029502391731</v>
      </c>
      <c r="F867" s="43" t="n">
        <v>0.593361187427421</v>
      </c>
      <c r="G867" s="43" t="n">
        <v>0.676388065196974</v>
      </c>
      <c r="H867" s="43" t="n">
        <v>0.681891556278988</v>
      </c>
      <c r="I867" s="42" t="n">
        <v>1</v>
      </c>
      <c r="J867" s="42" t="n">
        <v>1</v>
      </c>
      <c r="K867" s="44" t="str">
        <f aca="false">IF(AND(I867=1,J867=1),"两者都跟住",IF(AND(I867=0,J867=1),"仅 PC-TBD 跟住",IF(AND(I867=1,J867=0),"仅 VIT-LPS 跟住","都没跟住")))</f>
        <v>两者都跟住</v>
      </c>
      <c r="L867" s="45" t="n">
        <f aca="false">F867-G867</f>
        <v>-0.083026877769553</v>
      </c>
      <c r="M867" s="46" t="n">
        <v>0.271024</v>
      </c>
      <c r="N867" s="46" t="n">
        <v>0.1145575</v>
      </c>
      <c r="O867" s="46" t="n">
        <v>0.2093511</v>
      </c>
      <c r="P867" s="46" t="n">
        <v>0.4848859</v>
      </c>
      <c r="Q867" s="46" t="n">
        <v>2.9015405</v>
      </c>
      <c r="R867" s="46" t="n">
        <v>2.8353362</v>
      </c>
      <c r="S867" s="47" t="n">
        <f aca="false">M867+N867+O867</f>
        <v>0.5949326</v>
      </c>
      <c r="T867" s="47" t="n">
        <f aca="false">M867+P867</f>
        <v>0.7559099</v>
      </c>
    </row>
    <row r="868" customFormat="false" ht="15" hidden="false" customHeight="false" outlineLevel="0" collapsed="false">
      <c r="A868" s="42" t="s">
        <v>45</v>
      </c>
      <c r="B868" s="42" t="n">
        <v>-18</v>
      </c>
      <c r="C868" s="42" t="n">
        <v>67</v>
      </c>
      <c r="D868" s="42" t="n">
        <v>74290982</v>
      </c>
      <c r="E868" s="43" t="n">
        <v>0.285409257033842</v>
      </c>
      <c r="F868" s="43" t="n">
        <v>0.655916208161295</v>
      </c>
      <c r="G868" s="43" t="n">
        <v>0.653471766383829</v>
      </c>
      <c r="H868" s="43" t="n">
        <v>0.6866680254919</v>
      </c>
      <c r="I868" s="42" t="n">
        <v>1</v>
      </c>
      <c r="J868" s="42" t="n">
        <v>1</v>
      </c>
      <c r="K868" s="44" t="str">
        <f aca="false">IF(AND(I868=1,J868=1),"两者都跟住",IF(AND(I868=0,J868=1),"仅 PC-TBD 跟住",IF(AND(I868=1,J868=0),"仅 VIT-LPS 跟住","都没跟住")))</f>
        <v>两者都跟住</v>
      </c>
      <c r="L868" s="45" t="n">
        <f aca="false">F868-G868</f>
        <v>0.00244444177746606</v>
      </c>
      <c r="M868" s="46" t="n">
        <v>0.1342321</v>
      </c>
      <c r="N868" s="46" t="n">
        <v>0.0886898</v>
      </c>
      <c r="O868" s="46" t="n">
        <v>0.1961276</v>
      </c>
      <c r="P868" s="46" t="n">
        <v>0.4212424</v>
      </c>
      <c r="Q868" s="46" t="n">
        <v>4.5461101</v>
      </c>
      <c r="R868" s="46" t="n">
        <v>1.2616259</v>
      </c>
      <c r="S868" s="47" t="n">
        <f aca="false">M868+N868+O868</f>
        <v>0.4190495</v>
      </c>
      <c r="T868" s="47" t="n">
        <f aca="false">M868+P868</f>
        <v>0.5554745</v>
      </c>
    </row>
    <row r="869" customFormat="false" ht="15" hidden="false" customHeight="false" outlineLevel="0" collapsed="false">
      <c r="A869" s="42" t="s">
        <v>45</v>
      </c>
      <c r="B869" s="42" t="n">
        <v>-18</v>
      </c>
      <c r="C869" s="42" t="n">
        <v>68</v>
      </c>
      <c r="D869" s="42" t="n">
        <v>74290983</v>
      </c>
      <c r="E869" s="43" t="n">
        <v>0.183739213247806</v>
      </c>
      <c r="F869" s="43" t="n">
        <v>0.621079834382984</v>
      </c>
      <c r="G869" s="43" t="n">
        <v>0.665679775221536</v>
      </c>
      <c r="H869" s="43" t="n">
        <v>0.683258574388092</v>
      </c>
      <c r="I869" s="42" t="n">
        <v>1</v>
      </c>
      <c r="J869" s="42" t="n">
        <v>1</v>
      </c>
      <c r="K869" s="44" t="str">
        <f aca="false">IF(AND(I869=1,J869=1),"两者都跟住",IF(AND(I869=0,J869=1),"仅 PC-TBD 跟住",IF(AND(I869=1,J869=0),"仅 VIT-LPS 跟住","都没跟住")))</f>
        <v>两者都跟住</v>
      </c>
      <c r="L869" s="45" t="n">
        <f aca="false">F869-G869</f>
        <v>-0.044599940838552</v>
      </c>
      <c r="M869" s="46" t="n">
        <v>0.1482897</v>
      </c>
      <c r="N869" s="46" t="n">
        <v>0.1094413</v>
      </c>
      <c r="O869" s="46" t="n">
        <v>0.1602815</v>
      </c>
      <c r="P869" s="46" t="n">
        <v>0.4211139</v>
      </c>
      <c r="Q869" s="46" t="n">
        <v>1.718476</v>
      </c>
      <c r="R869" s="46" t="n">
        <v>2.1670373</v>
      </c>
      <c r="S869" s="47" t="n">
        <f aca="false">M869+N869+O869</f>
        <v>0.4180125</v>
      </c>
      <c r="T869" s="47" t="n">
        <f aca="false">M869+P869</f>
        <v>0.5694036</v>
      </c>
    </row>
    <row r="870" customFormat="false" ht="15" hidden="false" customHeight="false" outlineLevel="0" collapsed="false">
      <c r="A870" s="42" t="s">
        <v>45</v>
      </c>
      <c r="B870" s="42" t="n">
        <v>-18</v>
      </c>
      <c r="C870" s="42" t="n">
        <v>69</v>
      </c>
      <c r="D870" s="42" t="n">
        <v>74290984</v>
      </c>
      <c r="E870" s="43" t="n">
        <v>0.456144072883278</v>
      </c>
      <c r="F870" s="43" t="n">
        <v>0.646051280135497</v>
      </c>
      <c r="G870" s="43" t="n">
        <v>0.527822739296868</v>
      </c>
      <c r="H870" s="43" t="n">
        <v>0.527822739296868</v>
      </c>
      <c r="I870" s="42" t="n">
        <v>1</v>
      </c>
      <c r="J870" s="42" t="n">
        <v>0</v>
      </c>
      <c r="K870" s="44" t="str">
        <f aca="false">IF(AND(I870=1,J870=1),"两者都跟住",IF(AND(I870=0,J870=1),"仅 PC-TBD 跟住",IF(AND(I870=1,J870=0),"仅 VIT-LPS 跟住","都没跟住")))</f>
        <v>仅 VIT-LPS 跟住</v>
      </c>
      <c r="L870" s="45" t="n">
        <f aca="false">F870-G870</f>
        <v>0.118228540838629</v>
      </c>
      <c r="M870" s="46" t="n">
        <v>0.140324</v>
      </c>
      <c r="N870" s="46" t="n">
        <v>0.080076</v>
      </c>
      <c r="O870" s="46" t="n">
        <v>0.1861734</v>
      </c>
      <c r="P870" s="46" t="n">
        <v>0.4342051</v>
      </c>
      <c r="Q870" s="46" t="n">
        <v>4.2103345</v>
      </c>
      <c r="R870" s="46" t="n">
        <v>1.8957981</v>
      </c>
      <c r="S870" s="47" t="n">
        <f aca="false">M870+N870+O870</f>
        <v>0.4065734</v>
      </c>
      <c r="T870" s="47" t="n">
        <f aca="false">M870+P870</f>
        <v>0.5745291</v>
      </c>
    </row>
    <row r="871" customFormat="false" ht="15" hidden="false" customHeight="false" outlineLevel="0" collapsed="false">
      <c r="A871" s="42" t="s">
        <v>45</v>
      </c>
      <c r="B871" s="42" t="n">
        <v>-18</v>
      </c>
      <c r="C871" s="42" t="n">
        <v>70</v>
      </c>
      <c r="D871" s="42" t="n">
        <v>74290985</v>
      </c>
      <c r="E871" s="43" t="n">
        <v>0.447905003660663</v>
      </c>
      <c r="F871" s="43" t="n">
        <v>0.729762358132514</v>
      </c>
      <c r="G871" s="43" t="n">
        <v>0.412384838462991</v>
      </c>
      <c r="H871" s="43" t="n">
        <v>0.429912139423412</v>
      </c>
      <c r="I871" s="42" t="n">
        <v>1</v>
      </c>
      <c r="J871" s="42" t="n">
        <v>0</v>
      </c>
      <c r="K871" s="44" t="str">
        <f aca="false">IF(AND(I871=1,J871=1),"两者都跟住",IF(AND(I871=0,J871=1),"仅 PC-TBD 跟住",IF(AND(I871=1,J871=0),"仅 VIT-LPS 跟住","都没跟住")))</f>
        <v>仅 VIT-LPS 跟住</v>
      </c>
      <c r="L871" s="45" t="n">
        <f aca="false">F871-G871</f>
        <v>0.317377519669523</v>
      </c>
      <c r="M871" s="46" t="n">
        <v>0.1331123</v>
      </c>
      <c r="N871" s="46" t="n">
        <v>0.0815709</v>
      </c>
      <c r="O871" s="46" t="n">
        <v>0.1958267</v>
      </c>
      <c r="P871" s="46" t="n">
        <v>0.3453548</v>
      </c>
      <c r="Q871" s="46" t="n">
        <v>1.5665452</v>
      </c>
      <c r="R871" s="46" t="n">
        <v>1.5832923</v>
      </c>
      <c r="S871" s="47" t="n">
        <f aca="false">M871+N871+O871</f>
        <v>0.4105099</v>
      </c>
      <c r="T871" s="47" t="n">
        <f aca="false">M871+P871</f>
        <v>0.4784671</v>
      </c>
    </row>
    <row r="872" customFormat="false" ht="15" hidden="false" customHeight="false" outlineLevel="0" collapsed="false">
      <c r="A872" s="42" t="s">
        <v>45</v>
      </c>
      <c r="B872" s="42" t="n">
        <v>-18</v>
      </c>
      <c r="C872" s="42" t="n">
        <v>71</v>
      </c>
      <c r="D872" s="42" t="n">
        <v>74290986</v>
      </c>
      <c r="E872" s="43" t="n">
        <v>0.303007369049992</v>
      </c>
      <c r="F872" s="43" t="n">
        <v>0.56855180455063</v>
      </c>
      <c r="G872" s="43" t="n">
        <v>0.495579153152006</v>
      </c>
      <c r="H872" s="43" t="n">
        <v>0.516195243786485</v>
      </c>
      <c r="I872" s="42" t="n">
        <v>1</v>
      </c>
      <c r="J872" s="42" t="n">
        <v>0</v>
      </c>
      <c r="K872" s="44" t="str">
        <f aca="false">IF(AND(I872=1,J872=1),"两者都跟住",IF(AND(I872=0,J872=1),"仅 PC-TBD 跟住",IF(AND(I872=1,J872=0),"仅 VIT-LPS 跟住","都没跟住")))</f>
        <v>仅 VIT-LPS 跟住</v>
      </c>
      <c r="L872" s="45" t="n">
        <f aca="false">F872-G872</f>
        <v>0.072972651398624</v>
      </c>
      <c r="M872" s="46" t="n">
        <v>0.2569198</v>
      </c>
      <c r="N872" s="46" t="n">
        <v>0.1072792</v>
      </c>
      <c r="O872" s="46" t="n">
        <v>0.2171096</v>
      </c>
      <c r="P872" s="46" t="n">
        <v>0.5103405</v>
      </c>
      <c r="Q872" s="46" t="n">
        <v>2.9575328</v>
      </c>
      <c r="R872" s="46" t="n">
        <v>2.2458594</v>
      </c>
      <c r="S872" s="47" t="n">
        <f aca="false">M872+N872+O872</f>
        <v>0.5813086</v>
      </c>
      <c r="T872" s="47" t="n">
        <f aca="false">M872+P872</f>
        <v>0.7672603</v>
      </c>
    </row>
    <row r="873" customFormat="false" ht="15" hidden="false" customHeight="false" outlineLevel="0" collapsed="false">
      <c r="A873" s="42" t="s">
        <v>45</v>
      </c>
      <c r="B873" s="42" t="n">
        <v>-18</v>
      </c>
      <c r="C873" s="42" t="n">
        <v>72</v>
      </c>
      <c r="D873" s="42" t="n">
        <v>74290987</v>
      </c>
      <c r="E873" s="43" t="n">
        <v>0.198311503706086</v>
      </c>
      <c r="F873" s="43" t="n">
        <v>0.339476867680982</v>
      </c>
      <c r="G873" s="43" t="n">
        <v>0.261882121716929</v>
      </c>
      <c r="H873" s="43" t="n">
        <v>0.250960517804714</v>
      </c>
      <c r="I873" s="42" t="n">
        <v>1</v>
      </c>
      <c r="J873" s="42" t="n">
        <v>0</v>
      </c>
      <c r="K873" s="44" t="str">
        <f aca="false">IF(AND(I873=1,J873=1),"两者都跟住",IF(AND(I873=0,J873=1),"仅 PC-TBD 跟住",IF(AND(I873=1,J873=0),"仅 VIT-LPS 跟住","都没跟住")))</f>
        <v>仅 VIT-LPS 跟住</v>
      </c>
      <c r="L873" s="45" t="n">
        <f aca="false">F873-G873</f>
        <v>0.077594745964053</v>
      </c>
      <c r="M873" s="46" t="n">
        <v>0.2367803</v>
      </c>
      <c r="N873" s="46" t="n">
        <v>0.1249628</v>
      </c>
      <c r="O873" s="46" t="n">
        <v>0.2275656</v>
      </c>
      <c r="P873" s="46" t="n">
        <v>0.6331838</v>
      </c>
      <c r="Q873" s="46" t="n">
        <v>6.5944368</v>
      </c>
      <c r="R873" s="46" t="n">
        <v>2.6990083</v>
      </c>
      <c r="S873" s="47" t="n">
        <f aca="false">M873+N873+O873</f>
        <v>0.5893087</v>
      </c>
      <c r="T873" s="47" t="n">
        <f aca="false">M873+P873</f>
        <v>0.8699641</v>
      </c>
    </row>
    <row r="874" customFormat="false" ht="15" hidden="false" customHeight="false" outlineLevel="0" collapsed="false">
      <c r="A874" s="42" t="s">
        <v>45</v>
      </c>
      <c r="B874" s="42" t="n">
        <v>-18</v>
      </c>
      <c r="C874" s="42" t="n">
        <v>73</v>
      </c>
      <c r="D874" s="42" t="n">
        <v>74290988</v>
      </c>
      <c r="E874" s="43" t="n">
        <v>0.251583190674271</v>
      </c>
      <c r="F874" s="43" t="n">
        <v>0.584271683064874</v>
      </c>
      <c r="G874" s="43" t="n">
        <v>0.667621274029808</v>
      </c>
      <c r="H874" s="43" t="n">
        <v>0.676665242440543</v>
      </c>
      <c r="I874" s="42" t="n">
        <v>1</v>
      </c>
      <c r="J874" s="42" t="n">
        <v>1</v>
      </c>
      <c r="K874" s="44" t="str">
        <f aca="false">IF(AND(I874=1,J874=1),"两者都跟住",IF(AND(I874=0,J874=1),"仅 PC-TBD 跟住",IF(AND(I874=1,J874=0),"仅 VIT-LPS 跟住","都没跟住")))</f>
        <v>两者都跟住</v>
      </c>
      <c r="L874" s="45" t="n">
        <f aca="false">F874-G874</f>
        <v>-0.083349590964934</v>
      </c>
      <c r="M874" s="46" t="n">
        <v>0.2637532</v>
      </c>
      <c r="N874" s="46" t="n">
        <v>0.1151974</v>
      </c>
      <c r="O874" s="46" t="n">
        <v>0.2321924</v>
      </c>
      <c r="P874" s="46" t="n">
        <v>0.5754709</v>
      </c>
      <c r="Q874" s="46" t="n">
        <v>5.5818545</v>
      </c>
      <c r="R874" s="46" t="n">
        <v>2.6287121</v>
      </c>
      <c r="S874" s="47" t="n">
        <f aca="false">M874+N874+O874</f>
        <v>0.611143</v>
      </c>
      <c r="T874" s="47" t="n">
        <f aca="false">M874+P874</f>
        <v>0.8392241</v>
      </c>
    </row>
    <row r="875" customFormat="false" ht="15" hidden="false" customHeight="false" outlineLevel="0" collapsed="false">
      <c r="A875" s="42" t="s">
        <v>45</v>
      </c>
      <c r="B875" s="42" t="n">
        <v>-18</v>
      </c>
      <c r="C875" s="42" t="n">
        <v>74</v>
      </c>
      <c r="D875" s="42" t="n">
        <v>74290989</v>
      </c>
      <c r="E875" s="43" t="n">
        <v>0.342664516333891</v>
      </c>
      <c r="F875" s="43" t="n">
        <v>0.617974907803374</v>
      </c>
      <c r="G875" s="43" t="n">
        <v>0.596127764702883</v>
      </c>
      <c r="H875" s="43" t="n">
        <v>0.58574363718034</v>
      </c>
      <c r="I875" s="42" t="n">
        <v>1</v>
      </c>
      <c r="J875" s="42" t="n">
        <v>1</v>
      </c>
      <c r="K875" s="44" t="str">
        <f aca="false">IF(AND(I875=1,J875=1),"两者都跟住",IF(AND(I875=0,J875=1),"仅 PC-TBD 跟住",IF(AND(I875=1,J875=0),"仅 VIT-LPS 跟住","都没跟住")))</f>
        <v>两者都跟住</v>
      </c>
      <c r="L875" s="45" t="n">
        <f aca="false">F875-G875</f>
        <v>0.0218471431004911</v>
      </c>
      <c r="M875" s="46" t="n">
        <v>0.2664153</v>
      </c>
      <c r="N875" s="46" t="n">
        <v>0.1132141</v>
      </c>
      <c r="O875" s="46" t="n">
        <v>0.2381914</v>
      </c>
      <c r="P875" s="46" t="n">
        <v>0.5298986</v>
      </c>
      <c r="Q875" s="46" t="n">
        <v>2.9628673</v>
      </c>
      <c r="R875" s="46" t="n">
        <v>2.9531756</v>
      </c>
      <c r="S875" s="47" t="n">
        <f aca="false">M875+N875+O875</f>
        <v>0.6178208</v>
      </c>
      <c r="T875" s="47" t="n">
        <f aca="false">M875+P875</f>
        <v>0.7963139</v>
      </c>
    </row>
    <row r="876" customFormat="false" ht="15" hidden="false" customHeight="false" outlineLevel="0" collapsed="false">
      <c r="A876" s="42" t="s">
        <v>45</v>
      </c>
      <c r="B876" s="42" t="n">
        <v>-18</v>
      </c>
      <c r="C876" s="42" t="n">
        <v>75</v>
      </c>
      <c r="D876" s="42" t="n">
        <v>74290990</v>
      </c>
      <c r="E876" s="43" t="n">
        <v>0.140776482763374</v>
      </c>
      <c r="F876" s="43" t="n">
        <v>0.354417270752143</v>
      </c>
      <c r="G876" s="43" t="n">
        <v>0.463339738150251</v>
      </c>
      <c r="H876" s="43" t="n">
        <v>0.402553385123982</v>
      </c>
      <c r="I876" s="42" t="n">
        <v>1</v>
      </c>
      <c r="J876" s="42" t="n">
        <v>1</v>
      </c>
      <c r="K876" s="44" t="str">
        <f aca="false">IF(AND(I876=1,J876=1),"两者都跟住",IF(AND(I876=0,J876=1),"仅 PC-TBD 跟住",IF(AND(I876=1,J876=0),"仅 VIT-LPS 跟住","都没跟住")))</f>
        <v>两者都跟住</v>
      </c>
      <c r="L876" s="45" t="n">
        <f aca="false">F876-G876</f>
        <v>-0.108922467398108</v>
      </c>
      <c r="M876" s="46" t="n">
        <v>0.2463591</v>
      </c>
      <c r="N876" s="46" t="n">
        <v>0.1106224</v>
      </c>
      <c r="O876" s="46" t="n">
        <v>0.2160349</v>
      </c>
      <c r="P876" s="46" t="n">
        <v>0.5105565</v>
      </c>
      <c r="Q876" s="46" t="n">
        <v>6.9821701</v>
      </c>
      <c r="R876" s="46" t="n">
        <v>6.4232354</v>
      </c>
      <c r="S876" s="47" t="n">
        <f aca="false">M876+N876+O876</f>
        <v>0.5730164</v>
      </c>
      <c r="T876" s="47" t="n">
        <f aca="false">M876+P876</f>
        <v>0.7569156</v>
      </c>
    </row>
    <row r="877" customFormat="false" ht="15" hidden="false" customHeight="false" outlineLevel="0" collapsed="false">
      <c r="A877" s="42" t="s">
        <v>45</v>
      </c>
      <c r="B877" s="42" t="n">
        <v>-18</v>
      </c>
      <c r="C877" s="42" t="n">
        <v>76</v>
      </c>
      <c r="D877" s="42" t="n">
        <v>74290991</v>
      </c>
      <c r="E877" s="43" t="n">
        <v>0.383551275940633</v>
      </c>
      <c r="F877" s="43" t="n">
        <v>0.628210539377397</v>
      </c>
      <c r="G877" s="43" t="n">
        <v>0.250462301627789</v>
      </c>
      <c r="H877" s="43" t="n">
        <v>0.25728767120621</v>
      </c>
      <c r="I877" s="42" t="n">
        <v>1</v>
      </c>
      <c r="J877" s="42" t="n">
        <v>0</v>
      </c>
      <c r="K877" s="44" t="str">
        <f aca="false">IF(AND(I877=1,J877=1),"两者都跟住",IF(AND(I877=0,J877=1),"仅 PC-TBD 跟住",IF(AND(I877=1,J877=0),"仅 VIT-LPS 跟住","都没跟住")))</f>
        <v>仅 VIT-LPS 跟住</v>
      </c>
      <c r="L877" s="45" t="n">
        <f aca="false">F877-G877</f>
        <v>0.377748237749608</v>
      </c>
      <c r="M877" s="46" t="n">
        <v>0.245103</v>
      </c>
      <c r="N877" s="46" t="n">
        <v>0.1233104</v>
      </c>
      <c r="O877" s="46" t="n">
        <v>0.2414825</v>
      </c>
      <c r="P877" s="46" t="n">
        <v>0.521806</v>
      </c>
      <c r="Q877" s="46" t="n">
        <v>5.1663537</v>
      </c>
      <c r="R877" s="46" t="n">
        <v>2.4606519</v>
      </c>
      <c r="S877" s="47" t="n">
        <f aca="false">M877+N877+O877</f>
        <v>0.6098959</v>
      </c>
      <c r="T877" s="47" t="n">
        <f aca="false">M877+P877</f>
        <v>0.766909</v>
      </c>
    </row>
    <row r="878" customFormat="false" ht="15" hidden="false" customHeight="false" outlineLevel="0" collapsed="false">
      <c r="A878" s="42" t="s">
        <v>45</v>
      </c>
      <c r="B878" s="42" t="n">
        <v>-18</v>
      </c>
      <c r="C878" s="42" t="n">
        <v>77</v>
      </c>
      <c r="D878" s="42" t="n">
        <v>74290992</v>
      </c>
      <c r="E878" s="43" t="n">
        <v>0.309161332875296</v>
      </c>
      <c r="F878" s="43" t="n">
        <v>0.649812603660455</v>
      </c>
      <c r="G878" s="43" t="n">
        <v>0.529634734969719</v>
      </c>
      <c r="H878" s="43" t="n">
        <v>0.544000929260057</v>
      </c>
      <c r="I878" s="42" t="n">
        <v>1</v>
      </c>
      <c r="J878" s="42" t="n">
        <v>1</v>
      </c>
      <c r="K878" s="44" t="str">
        <f aca="false">IF(AND(I878=1,J878=1),"两者都跟住",IF(AND(I878=0,J878=1),"仅 PC-TBD 跟住",IF(AND(I878=1,J878=0),"仅 VIT-LPS 跟住","都没跟住")))</f>
        <v>两者都跟住</v>
      </c>
      <c r="L878" s="45" t="n">
        <f aca="false">F878-G878</f>
        <v>0.120177868690736</v>
      </c>
      <c r="M878" s="46" t="n">
        <v>0.1748434</v>
      </c>
      <c r="N878" s="46" t="n">
        <v>0.092742</v>
      </c>
      <c r="O878" s="46" t="n">
        <v>0.2910647</v>
      </c>
      <c r="P878" s="46" t="n">
        <v>0.4956258</v>
      </c>
      <c r="Q878" s="46" t="n">
        <v>2.3121927</v>
      </c>
      <c r="R878" s="46" t="n">
        <v>1.3114775</v>
      </c>
      <c r="S878" s="47" t="n">
        <f aca="false">M878+N878+O878</f>
        <v>0.5586501</v>
      </c>
      <c r="T878" s="47" t="n">
        <f aca="false">M878+P878</f>
        <v>0.6704692</v>
      </c>
    </row>
    <row r="879" customFormat="false" ht="15" hidden="false" customHeight="false" outlineLevel="0" collapsed="false">
      <c r="A879" s="42" t="s">
        <v>45</v>
      </c>
      <c r="B879" s="42" t="n">
        <v>-18</v>
      </c>
      <c r="C879" s="42" t="n">
        <v>78</v>
      </c>
      <c r="D879" s="42" t="n">
        <v>74290993</v>
      </c>
      <c r="E879" s="43" t="n">
        <v>0.282825558839194</v>
      </c>
      <c r="F879" s="43" t="n">
        <v>0.503164084853838</v>
      </c>
      <c r="G879" s="43" t="n">
        <v>0.568121321705941</v>
      </c>
      <c r="H879" s="43" t="n">
        <v>0.565972406969641</v>
      </c>
      <c r="I879" s="42" t="n">
        <v>1</v>
      </c>
      <c r="J879" s="42" t="n">
        <v>0</v>
      </c>
      <c r="K879" s="44" t="str">
        <f aca="false">IF(AND(I879=1,J879=1),"两者都跟住",IF(AND(I879=0,J879=1),"仅 PC-TBD 跟住",IF(AND(I879=1,J879=0),"仅 VIT-LPS 跟住","都没跟住")))</f>
        <v>仅 VIT-LPS 跟住</v>
      </c>
      <c r="L879" s="45" t="n">
        <f aca="false">F879-G879</f>
        <v>-0.064957236852103</v>
      </c>
      <c r="M879" s="46" t="n">
        <v>0.237791</v>
      </c>
      <c r="N879" s="46" t="n">
        <v>0.141686</v>
      </c>
      <c r="O879" s="46" t="n">
        <v>0.3309736</v>
      </c>
      <c r="P879" s="46" t="n">
        <v>0.6262044</v>
      </c>
      <c r="Q879" s="46" t="n">
        <v>2.1561368</v>
      </c>
      <c r="R879" s="46" t="n">
        <v>2.3645348</v>
      </c>
      <c r="S879" s="47" t="n">
        <f aca="false">M879+N879+O879</f>
        <v>0.7104506</v>
      </c>
      <c r="T879" s="47" t="n">
        <f aca="false">M879+P879</f>
        <v>0.8639954</v>
      </c>
    </row>
    <row r="880" customFormat="false" ht="15" hidden="false" customHeight="false" outlineLevel="0" collapsed="false">
      <c r="A880" s="42" t="s">
        <v>45</v>
      </c>
      <c r="B880" s="42" t="n">
        <v>-18</v>
      </c>
      <c r="C880" s="42" t="n">
        <v>79</v>
      </c>
      <c r="D880" s="42" t="n">
        <v>74290994</v>
      </c>
      <c r="E880" s="43" t="n">
        <v>0.276592309297533</v>
      </c>
      <c r="F880" s="43" t="n">
        <v>0.669088329574582</v>
      </c>
      <c r="G880" s="43" t="n">
        <v>0.617480417732082</v>
      </c>
      <c r="H880" s="43" t="n">
        <v>0.610500845907628</v>
      </c>
      <c r="I880" s="42" t="n">
        <v>1</v>
      </c>
      <c r="J880" s="42" t="n">
        <v>1</v>
      </c>
      <c r="K880" s="44" t="str">
        <f aca="false">IF(AND(I880=1,J880=1),"两者都跟住",IF(AND(I880=0,J880=1),"仅 PC-TBD 跟住",IF(AND(I880=1,J880=0),"仅 VIT-LPS 跟住","都没跟住")))</f>
        <v>两者都跟住</v>
      </c>
      <c r="L880" s="45" t="n">
        <f aca="false">F880-G880</f>
        <v>0.0516079118425</v>
      </c>
      <c r="M880" s="46" t="n">
        <v>0.1649955</v>
      </c>
      <c r="N880" s="46" t="n">
        <v>0.1245816</v>
      </c>
      <c r="O880" s="46" t="n">
        <v>0.2137839</v>
      </c>
      <c r="P880" s="46" t="n">
        <v>0.5556477</v>
      </c>
      <c r="Q880" s="46" t="n">
        <v>5.1799382</v>
      </c>
      <c r="R880" s="46" t="n">
        <v>1.7602387</v>
      </c>
      <c r="S880" s="47" t="n">
        <f aca="false">M880+N880+O880</f>
        <v>0.503361</v>
      </c>
      <c r="T880" s="47" t="n">
        <f aca="false">M880+P880</f>
        <v>0.7206432</v>
      </c>
    </row>
    <row r="881" customFormat="false" ht="15" hidden="false" customHeight="false" outlineLevel="0" collapsed="false">
      <c r="A881" s="42" t="s">
        <v>45</v>
      </c>
      <c r="B881" s="42" t="n">
        <v>-18</v>
      </c>
      <c r="C881" s="42" t="n">
        <v>80</v>
      </c>
      <c r="D881" s="42" t="n">
        <v>74290995</v>
      </c>
      <c r="E881" s="43" t="n">
        <v>0.412766465590919</v>
      </c>
      <c r="F881" s="43" t="n">
        <v>0.670566311476718</v>
      </c>
      <c r="G881" s="43" t="n">
        <v>0.623917915346748</v>
      </c>
      <c r="H881" s="43" t="n">
        <v>0.643276999002939</v>
      </c>
      <c r="I881" s="42" t="n">
        <v>1</v>
      </c>
      <c r="J881" s="42" t="n">
        <v>1</v>
      </c>
      <c r="K881" s="44" t="str">
        <f aca="false">IF(AND(I881=1,J881=1),"两者都跟住",IF(AND(I881=0,J881=1),"仅 PC-TBD 跟住",IF(AND(I881=1,J881=0),"仅 VIT-LPS 跟住","都没跟住")))</f>
        <v>两者都跟住</v>
      </c>
      <c r="L881" s="45" t="n">
        <f aca="false">F881-G881</f>
        <v>0.04664839612997</v>
      </c>
      <c r="M881" s="46" t="n">
        <v>0.180846</v>
      </c>
      <c r="N881" s="46" t="n">
        <v>0.1232339</v>
      </c>
      <c r="O881" s="46" t="n">
        <v>0.1582468</v>
      </c>
      <c r="P881" s="46" t="n">
        <v>0.4919879</v>
      </c>
      <c r="Q881" s="46" t="n">
        <v>2.3543081</v>
      </c>
      <c r="R881" s="46" t="n">
        <v>1.7833307</v>
      </c>
      <c r="S881" s="47" t="n">
        <f aca="false">M881+N881+O881</f>
        <v>0.4623267</v>
      </c>
      <c r="T881" s="47" t="n">
        <f aca="false">M881+P881</f>
        <v>0.6728339</v>
      </c>
    </row>
    <row r="882" customFormat="false" ht="15" hidden="false" customHeight="false" outlineLevel="0" collapsed="false">
      <c r="A882" s="42" t="s">
        <v>45</v>
      </c>
      <c r="B882" s="42" t="n">
        <v>-18</v>
      </c>
      <c r="C882" s="42" t="n">
        <v>81</v>
      </c>
      <c r="D882" s="42" t="n">
        <v>74290996</v>
      </c>
      <c r="E882" s="43" t="n">
        <v>0.255376355076423</v>
      </c>
      <c r="F882" s="43" t="n">
        <v>0.491880686593773</v>
      </c>
      <c r="G882" s="43" t="n">
        <v>0.515022048259222</v>
      </c>
      <c r="H882" s="43" t="n">
        <v>0.546874096042611</v>
      </c>
      <c r="I882" s="42" t="n">
        <v>0</v>
      </c>
      <c r="J882" s="42" t="n">
        <v>0</v>
      </c>
      <c r="K882" s="44" t="str">
        <f aca="false">IF(AND(I882=1,J882=1),"两者都跟住",IF(AND(I882=0,J882=1),"仅 PC-TBD 跟住",IF(AND(I882=1,J882=0),"仅 VIT-LPS 跟住","都没跟住")))</f>
        <v>都没跟住</v>
      </c>
      <c r="L882" s="45" t="n">
        <f aca="false">F882-G882</f>
        <v>-0.0231413616654491</v>
      </c>
      <c r="M882" s="46" t="n">
        <v>0.2143923</v>
      </c>
      <c r="N882" s="46" t="n">
        <v>0.110505</v>
      </c>
      <c r="O882" s="46" t="n">
        <v>0.1794436</v>
      </c>
      <c r="P882" s="46" t="n">
        <v>0.7250265</v>
      </c>
      <c r="Q882" s="46" t="n">
        <v>3.1162293</v>
      </c>
      <c r="R882" s="46" t="n">
        <v>2.6026886</v>
      </c>
      <c r="S882" s="47" t="n">
        <f aca="false">M882+N882+O882</f>
        <v>0.5043409</v>
      </c>
      <c r="T882" s="47" t="n">
        <f aca="false">M882+P882</f>
        <v>0.9394188</v>
      </c>
    </row>
    <row r="883" customFormat="false" ht="15" hidden="false" customHeight="false" outlineLevel="0" collapsed="false">
      <c r="A883" s="42" t="s">
        <v>45</v>
      </c>
      <c r="B883" s="42" t="n">
        <v>-18</v>
      </c>
      <c r="C883" s="42" t="n">
        <v>82</v>
      </c>
      <c r="D883" s="42" t="n">
        <v>74290997</v>
      </c>
      <c r="E883" s="43" t="n">
        <v>0.695194307741171</v>
      </c>
      <c r="F883" s="43" t="n">
        <v>0.7256252588758</v>
      </c>
      <c r="G883" s="43" t="n">
        <v>0.733408691853176</v>
      </c>
      <c r="H883" s="43" t="n">
        <v>0.730214244689574</v>
      </c>
      <c r="I883" s="42" t="n">
        <v>1</v>
      </c>
      <c r="J883" s="42" t="n">
        <v>1</v>
      </c>
      <c r="K883" s="44" t="str">
        <f aca="false">IF(AND(I883=1,J883=1),"两者都跟住",IF(AND(I883=0,J883=1),"仅 PC-TBD 跟住",IF(AND(I883=1,J883=0),"仅 VIT-LPS 跟住","都没跟住")))</f>
        <v>两者都跟住</v>
      </c>
      <c r="L883" s="45" t="n">
        <f aca="false">F883-G883</f>
        <v>-0.00778343297737605</v>
      </c>
      <c r="M883" s="46" t="n">
        <v>0.232386</v>
      </c>
      <c r="N883" s="46" t="n">
        <v>0.0880974</v>
      </c>
      <c r="O883" s="46" t="n">
        <v>0.2073736</v>
      </c>
      <c r="P883" s="46" t="n">
        <v>0.6898353</v>
      </c>
      <c r="Q883" s="46" t="n">
        <v>3.1694954</v>
      </c>
      <c r="R883" s="46" t="n">
        <v>2.5039396</v>
      </c>
      <c r="S883" s="47" t="n">
        <f aca="false">M883+N883+O883</f>
        <v>0.527857</v>
      </c>
      <c r="T883" s="47" t="n">
        <f aca="false">M883+P883</f>
        <v>0.9222213</v>
      </c>
    </row>
    <row r="884" customFormat="false" ht="15" hidden="false" customHeight="false" outlineLevel="0" collapsed="false">
      <c r="A884" s="42" t="s">
        <v>45</v>
      </c>
      <c r="B884" s="42" t="n">
        <v>-18</v>
      </c>
      <c r="C884" s="42" t="n">
        <v>83</v>
      </c>
      <c r="D884" s="42" t="n">
        <v>74290998</v>
      </c>
      <c r="E884" s="43" t="n">
        <v>0.27955369319208</v>
      </c>
      <c r="F884" s="43" t="n">
        <v>0.58664643038108</v>
      </c>
      <c r="G884" s="43" t="n">
        <v>0.695453339550732</v>
      </c>
      <c r="H884" s="43" t="n">
        <v>0.703866514286906</v>
      </c>
      <c r="I884" s="42" t="n">
        <v>1</v>
      </c>
      <c r="J884" s="42" t="n">
        <v>1</v>
      </c>
      <c r="K884" s="44" t="str">
        <f aca="false">IF(AND(I884=1,J884=1),"两者都跟住",IF(AND(I884=0,J884=1),"仅 PC-TBD 跟住",IF(AND(I884=1,J884=0),"仅 VIT-LPS 跟住","都没跟住")))</f>
        <v>两者都跟住</v>
      </c>
      <c r="L884" s="45" t="n">
        <f aca="false">F884-G884</f>
        <v>-0.108806909169652</v>
      </c>
      <c r="M884" s="46" t="n">
        <v>0.20375</v>
      </c>
      <c r="N884" s="46" t="n">
        <v>0.1161402</v>
      </c>
      <c r="O884" s="46" t="n">
        <v>0.2204907</v>
      </c>
      <c r="P884" s="46" t="n">
        <v>0.6760572</v>
      </c>
      <c r="Q884" s="46" t="n">
        <v>2.8257096</v>
      </c>
      <c r="R884" s="46" t="n">
        <v>3.0260627</v>
      </c>
      <c r="S884" s="47" t="n">
        <f aca="false">M884+N884+O884</f>
        <v>0.5403809</v>
      </c>
      <c r="T884" s="47" t="n">
        <f aca="false">M884+P884</f>
        <v>0.8798072</v>
      </c>
    </row>
    <row r="885" customFormat="false" ht="15" hidden="false" customHeight="false" outlineLevel="0" collapsed="false">
      <c r="A885" s="42" t="s">
        <v>45</v>
      </c>
      <c r="B885" s="42" t="n">
        <v>-18</v>
      </c>
      <c r="C885" s="42" t="n">
        <v>84</v>
      </c>
      <c r="D885" s="42" t="n">
        <v>74290999</v>
      </c>
      <c r="E885" s="43" t="n">
        <v>0.40686466157994</v>
      </c>
      <c r="F885" s="43" t="n">
        <v>0.701714506299092</v>
      </c>
      <c r="G885" s="43" t="n">
        <v>0.606936992201089</v>
      </c>
      <c r="H885" s="43" t="n">
        <v>0.590957436340752</v>
      </c>
      <c r="I885" s="42" t="n">
        <v>1</v>
      </c>
      <c r="J885" s="42" t="n">
        <v>1</v>
      </c>
      <c r="K885" s="44" t="str">
        <f aca="false">IF(AND(I885=1,J885=1),"两者都跟住",IF(AND(I885=0,J885=1),"仅 PC-TBD 跟住",IF(AND(I885=1,J885=0),"仅 VIT-LPS 跟住","都没跟住")))</f>
        <v>两者都跟住</v>
      </c>
      <c r="L885" s="45" t="n">
        <f aca="false">F885-G885</f>
        <v>0.0947775140980031</v>
      </c>
      <c r="M885" s="46" t="n">
        <v>0.223462</v>
      </c>
      <c r="N885" s="46" t="n">
        <v>0.1272603</v>
      </c>
      <c r="O885" s="46" t="n">
        <v>0.131271</v>
      </c>
      <c r="P885" s="46" t="n">
        <v>0.6945153</v>
      </c>
      <c r="Q885" s="46" t="n">
        <v>3.4895487</v>
      </c>
      <c r="R885" s="46" t="n">
        <v>2.8790964</v>
      </c>
      <c r="S885" s="47" t="n">
        <f aca="false">M885+N885+O885</f>
        <v>0.4819933</v>
      </c>
      <c r="T885" s="47" t="n">
        <f aca="false">M885+P885</f>
        <v>0.9179773</v>
      </c>
    </row>
    <row r="886" customFormat="false" ht="15" hidden="false" customHeight="false" outlineLevel="0" collapsed="false">
      <c r="A886" s="42" t="s">
        <v>45</v>
      </c>
      <c r="B886" s="42" t="n">
        <v>-18</v>
      </c>
      <c r="C886" s="42" t="n">
        <v>85</v>
      </c>
      <c r="D886" s="42" t="n">
        <v>74291000</v>
      </c>
      <c r="E886" s="43" t="n">
        <v>0.200441018755389</v>
      </c>
      <c r="F886" s="43" t="n">
        <v>0.596455897553923</v>
      </c>
      <c r="G886" s="43" t="n">
        <v>0.579919885404205</v>
      </c>
      <c r="H886" s="43" t="n">
        <v>0.581042948051007</v>
      </c>
      <c r="I886" s="42" t="n">
        <v>1</v>
      </c>
      <c r="J886" s="42" t="n">
        <v>1</v>
      </c>
      <c r="K886" s="44" t="str">
        <f aca="false">IF(AND(I886=1,J886=1),"两者都跟住",IF(AND(I886=0,J886=1),"仅 PC-TBD 跟住",IF(AND(I886=1,J886=0),"仅 VIT-LPS 跟住","都没跟住")))</f>
        <v>两者都跟住</v>
      </c>
      <c r="L886" s="45" t="n">
        <f aca="false">F886-G886</f>
        <v>0.016536012149718</v>
      </c>
      <c r="M886" s="46" t="n">
        <v>0.2314081</v>
      </c>
      <c r="N886" s="46" t="n">
        <v>0.1232257</v>
      </c>
      <c r="O886" s="46" t="n">
        <v>0.2086515</v>
      </c>
      <c r="P886" s="46" t="n">
        <v>0.7134788</v>
      </c>
      <c r="Q886" s="46" t="n">
        <v>2.9587482</v>
      </c>
      <c r="R886" s="46" t="n">
        <v>3.0550834</v>
      </c>
      <c r="S886" s="47" t="n">
        <f aca="false">M886+N886+O886</f>
        <v>0.5632853</v>
      </c>
      <c r="T886" s="47" t="n">
        <f aca="false">M886+P886</f>
        <v>0.9448869</v>
      </c>
    </row>
    <row r="887" customFormat="false" ht="15" hidden="false" customHeight="false" outlineLevel="0" collapsed="false">
      <c r="A887" s="42" t="s">
        <v>45</v>
      </c>
      <c r="B887" s="42" t="n">
        <v>-18</v>
      </c>
      <c r="C887" s="42" t="n">
        <v>86</v>
      </c>
      <c r="D887" s="42" t="n">
        <v>74291001</v>
      </c>
      <c r="E887" s="43" t="n">
        <v>0.229033583155096</v>
      </c>
      <c r="F887" s="43" t="n">
        <v>0.280053773805224</v>
      </c>
      <c r="G887" s="43" t="n">
        <v>0.403476919836334</v>
      </c>
      <c r="H887" s="43" t="n">
        <v>0.409537076659393</v>
      </c>
      <c r="I887" s="42" t="n">
        <v>1</v>
      </c>
      <c r="J887" s="42" t="n">
        <v>0</v>
      </c>
      <c r="K887" s="44" t="str">
        <f aca="false">IF(AND(I887=1,J887=1),"两者都跟住",IF(AND(I887=0,J887=1),"仅 PC-TBD 跟住",IF(AND(I887=1,J887=0),"仅 VIT-LPS 跟住","都没跟住")))</f>
        <v>仅 VIT-LPS 跟住</v>
      </c>
      <c r="L887" s="45" t="n">
        <f aca="false">F887-G887</f>
        <v>-0.12342314603111</v>
      </c>
      <c r="M887" s="46" t="n">
        <v>0.2374383</v>
      </c>
      <c r="N887" s="46" t="n">
        <v>0.1170178</v>
      </c>
      <c r="O887" s="46" t="n">
        <v>0.1916333</v>
      </c>
      <c r="P887" s="46" t="n">
        <v>0.7373933</v>
      </c>
      <c r="Q887" s="46" t="n">
        <v>5.9889932</v>
      </c>
      <c r="R887" s="46" t="n">
        <v>2.9399472</v>
      </c>
      <c r="S887" s="47" t="n">
        <f aca="false">M887+N887+O887</f>
        <v>0.5460894</v>
      </c>
      <c r="T887" s="47" t="n">
        <f aca="false">M887+P887</f>
        <v>0.9748316</v>
      </c>
    </row>
    <row r="888" customFormat="false" ht="15" hidden="false" customHeight="false" outlineLevel="0" collapsed="false">
      <c r="A888" s="42" t="s">
        <v>45</v>
      </c>
      <c r="B888" s="42" t="n">
        <v>-18</v>
      </c>
      <c r="C888" s="42" t="n">
        <v>87</v>
      </c>
      <c r="D888" s="42" t="n">
        <v>74291002</v>
      </c>
      <c r="E888" s="43" t="n">
        <v>0.216325151119433</v>
      </c>
      <c r="F888" s="43" t="n">
        <v>0.404002246573426</v>
      </c>
      <c r="G888" s="43" t="n">
        <v>0.38205488159647</v>
      </c>
      <c r="H888" s="43" t="n">
        <v>0.38205488159647</v>
      </c>
      <c r="I888" s="42" t="n">
        <v>1</v>
      </c>
      <c r="J888" s="42" t="n">
        <v>1</v>
      </c>
      <c r="K888" s="44" t="str">
        <f aca="false">IF(AND(I888=1,J888=1),"两者都跟住",IF(AND(I888=0,J888=1),"仅 PC-TBD 跟住",IF(AND(I888=1,J888=0),"仅 VIT-LPS 跟住","都没跟住")))</f>
        <v>两者都跟住</v>
      </c>
      <c r="L888" s="45" t="n">
        <f aca="false">F888-G888</f>
        <v>0.021947364976956</v>
      </c>
      <c r="M888" s="46" t="n">
        <v>0.1672463</v>
      </c>
      <c r="N888" s="46" t="n">
        <v>0.1121264</v>
      </c>
      <c r="O888" s="46" t="n">
        <v>0.1869084</v>
      </c>
      <c r="P888" s="46" t="n">
        <v>0.6399744</v>
      </c>
      <c r="Q888" s="46" t="n">
        <v>5.8443368</v>
      </c>
      <c r="R888" s="46" t="n">
        <v>2.0501797</v>
      </c>
      <c r="S888" s="47" t="n">
        <f aca="false">M888+N888+O888</f>
        <v>0.4662811</v>
      </c>
      <c r="T888" s="47" t="n">
        <f aca="false">M888+P888</f>
        <v>0.8072207</v>
      </c>
    </row>
    <row r="889" customFormat="false" ht="15" hidden="false" customHeight="false" outlineLevel="0" collapsed="false">
      <c r="A889" s="42" t="s">
        <v>45</v>
      </c>
      <c r="B889" s="42" t="n">
        <v>-18</v>
      </c>
      <c r="C889" s="42" t="n">
        <v>88</v>
      </c>
      <c r="D889" s="42" t="n">
        <v>74291003</v>
      </c>
      <c r="E889" s="43" t="n">
        <v>0.281318520148289</v>
      </c>
      <c r="F889" s="43" t="n">
        <v>0.455553744337444</v>
      </c>
      <c r="G889" s="43" t="n">
        <v>0.504186220763408</v>
      </c>
      <c r="H889" s="43" t="n">
        <v>0.508724340544364</v>
      </c>
      <c r="I889" s="42" t="n">
        <v>1</v>
      </c>
      <c r="J889" s="42" t="n">
        <v>0</v>
      </c>
      <c r="K889" s="44" t="str">
        <f aca="false">IF(AND(I889=1,J889=1),"两者都跟住",IF(AND(I889=0,J889=1),"仅 PC-TBD 跟住",IF(AND(I889=1,J889=0),"仅 VIT-LPS 跟住","都没跟住")))</f>
        <v>仅 VIT-LPS 跟住</v>
      </c>
      <c r="L889" s="45" t="n">
        <f aca="false">F889-G889</f>
        <v>-0.048632476425964</v>
      </c>
      <c r="M889" s="46" t="n">
        <v>0.1907577</v>
      </c>
      <c r="N889" s="46" t="n">
        <v>0.1432766</v>
      </c>
      <c r="O889" s="46" t="n">
        <v>0.2884637</v>
      </c>
      <c r="P889" s="46" t="n">
        <v>0.5253664</v>
      </c>
      <c r="Q889" s="46" t="n">
        <v>4.4244396</v>
      </c>
      <c r="R889" s="46" t="n">
        <v>1.8561959</v>
      </c>
      <c r="S889" s="47" t="n">
        <f aca="false">M889+N889+O889</f>
        <v>0.622498</v>
      </c>
      <c r="T889" s="47" t="n">
        <f aca="false">M889+P889</f>
        <v>0.7161241</v>
      </c>
    </row>
    <row r="890" customFormat="false" ht="15" hidden="false" customHeight="false" outlineLevel="0" collapsed="false">
      <c r="A890" s="42" t="s">
        <v>45</v>
      </c>
      <c r="B890" s="42" t="n">
        <v>-18</v>
      </c>
      <c r="C890" s="42" t="n">
        <v>89</v>
      </c>
      <c r="D890" s="42" t="n">
        <v>74291004</v>
      </c>
      <c r="E890" s="43" t="n">
        <v>0.17193052281192</v>
      </c>
      <c r="F890" s="43" t="n">
        <v>0.525824863177254</v>
      </c>
      <c r="G890" s="43" t="n">
        <v>0.517490437492359</v>
      </c>
      <c r="H890" s="43" t="n">
        <v>0.550731314491508</v>
      </c>
      <c r="I890" s="42" t="n">
        <v>1</v>
      </c>
      <c r="J890" s="42" t="n">
        <v>0</v>
      </c>
      <c r="K890" s="44" t="str">
        <f aca="false">IF(AND(I890=1,J890=1),"两者都跟住",IF(AND(I890=0,J890=1),"仅 PC-TBD 跟住",IF(AND(I890=1,J890=0),"仅 VIT-LPS 跟住","都没跟住")))</f>
        <v>仅 VIT-LPS 跟住</v>
      </c>
      <c r="L890" s="45" t="n">
        <f aca="false">F890-G890</f>
        <v>0.00833442568489495</v>
      </c>
      <c r="M890" s="46" t="n">
        <v>0.1963433</v>
      </c>
      <c r="N890" s="46" t="n">
        <v>0.11525</v>
      </c>
      <c r="O890" s="46" t="n">
        <v>0.191364</v>
      </c>
      <c r="P890" s="46" t="n">
        <v>0.4268122</v>
      </c>
      <c r="Q890" s="46" t="n">
        <v>2.4645702</v>
      </c>
      <c r="R890" s="46" t="n">
        <v>2.0522269</v>
      </c>
      <c r="S890" s="47" t="n">
        <f aca="false">M890+N890+O890</f>
        <v>0.5029573</v>
      </c>
      <c r="T890" s="47" t="n">
        <f aca="false">M890+P890</f>
        <v>0.6231555</v>
      </c>
    </row>
    <row r="891" customFormat="false" ht="15" hidden="false" customHeight="false" outlineLevel="0" collapsed="false">
      <c r="A891" s="42" t="s">
        <v>45</v>
      </c>
      <c r="B891" s="42" t="n">
        <v>-18</v>
      </c>
      <c r="C891" s="42" t="n">
        <v>90</v>
      </c>
      <c r="D891" s="42" t="n">
        <v>74291005</v>
      </c>
      <c r="E891" s="43" t="n">
        <v>0.34713136278756</v>
      </c>
      <c r="F891" s="43" t="n">
        <v>0.692082368830789</v>
      </c>
      <c r="G891" s="43" t="n">
        <v>0.739080745937533</v>
      </c>
      <c r="H891" s="43" t="n">
        <v>0.744576642441211</v>
      </c>
      <c r="I891" s="42" t="n">
        <v>1</v>
      </c>
      <c r="J891" s="42" t="n">
        <v>1</v>
      </c>
      <c r="K891" s="44" t="str">
        <f aca="false">IF(AND(I891=1,J891=1),"两者都跟住",IF(AND(I891=0,J891=1),"仅 PC-TBD 跟住",IF(AND(I891=1,J891=0),"仅 VIT-LPS 跟住","都没跟住")))</f>
        <v>两者都跟住</v>
      </c>
      <c r="L891" s="45" t="n">
        <f aca="false">F891-G891</f>
        <v>-0.046998377106744</v>
      </c>
      <c r="M891" s="46" t="n">
        <v>0.1771632</v>
      </c>
      <c r="N891" s="46" t="n">
        <v>0.0886115</v>
      </c>
      <c r="O891" s="46" t="n">
        <v>0.262145</v>
      </c>
      <c r="P891" s="46" t="n">
        <v>0.7289941</v>
      </c>
      <c r="Q891" s="46" t="n">
        <v>4.3293154</v>
      </c>
      <c r="R891" s="46" t="n">
        <v>2.6521064</v>
      </c>
      <c r="S891" s="47" t="n">
        <f aca="false">M891+N891+O891</f>
        <v>0.5279197</v>
      </c>
      <c r="T891" s="47" t="n">
        <f aca="false">M891+P891</f>
        <v>0.9061573</v>
      </c>
    </row>
    <row r="892" customFormat="false" ht="15" hidden="false" customHeight="false" outlineLevel="0" collapsed="false">
      <c r="A892" s="42" t="s">
        <v>45</v>
      </c>
      <c r="B892" s="42" t="n">
        <v>-18</v>
      </c>
      <c r="C892" s="42" t="n">
        <v>91</v>
      </c>
      <c r="D892" s="42" t="n">
        <v>74291006</v>
      </c>
      <c r="E892" s="43" t="n">
        <v>0.296816915987991</v>
      </c>
      <c r="F892" s="43" t="n">
        <v>0.666117012547561</v>
      </c>
      <c r="G892" s="43" t="n">
        <v>0.451825377306583</v>
      </c>
      <c r="H892" s="43" t="n">
        <v>0.467164913535732</v>
      </c>
      <c r="I892" s="42" t="n">
        <v>1</v>
      </c>
      <c r="J892" s="42" t="n">
        <v>0</v>
      </c>
      <c r="K892" s="44" t="str">
        <f aca="false">IF(AND(I892=1,J892=1),"两者都跟住",IF(AND(I892=0,J892=1),"仅 PC-TBD 跟住",IF(AND(I892=1,J892=0),"仅 VIT-LPS 跟住","都没跟住")))</f>
        <v>仅 VIT-LPS 跟住</v>
      </c>
      <c r="L892" s="45" t="n">
        <f aca="false">F892-G892</f>
        <v>0.214291635240978</v>
      </c>
      <c r="M892" s="46" t="n">
        <v>0.2260153</v>
      </c>
      <c r="N892" s="46" t="n">
        <v>0.1444424</v>
      </c>
      <c r="O892" s="46" t="n">
        <v>0.1900088</v>
      </c>
      <c r="P892" s="46" t="n">
        <v>0.5697515</v>
      </c>
      <c r="Q892" s="46" t="n">
        <v>3.0891361</v>
      </c>
      <c r="R892" s="46" t="n">
        <v>3.1290088</v>
      </c>
      <c r="S892" s="47" t="n">
        <f aca="false">M892+N892+O892</f>
        <v>0.5604665</v>
      </c>
      <c r="T892" s="47" t="n">
        <f aca="false">M892+P892</f>
        <v>0.7957668</v>
      </c>
    </row>
    <row r="893" customFormat="false" ht="15" hidden="false" customHeight="false" outlineLevel="0" collapsed="false">
      <c r="A893" s="42" t="s">
        <v>45</v>
      </c>
      <c r="B893" s="42" t="n">
        <v>-18</v>
      </c>
      <c r="C893" s="42" t="n">
        <v>92</v>
      </c>
      <c r="D893" s="42" t="n">
        <v>74291007</v>
      </c>
      <c r="E893" s="43" t="n">
        <v>0.239422335358716</v>
      </c>
      <c r="F893" s="43" t="n">
        <v>0.431764161499539</v>
      </c>
      <c r="G893" s="43" t="n">
        <v>0.459831063851514</v>
      </c>
      <c r="H893" s="43" t="n">
        <v>0.459831063851514</v>
      </c>
      <c r="I893" s="42" t="n">
        <v>1</v>
      </c>
      <c r="J893" s="42" t="n">
        <v>0</v>
      </c>
      <c r="K893" s="44" t="str">
        <f aca="false">IF(AND(I893=1,J893=1),"两者都跟住",IF(AND(I893=0,J893=1),"仅 PC-TBD 跟住",IF(AND(I893=1,J893=0),"仅 VIT-LPS 跟住","都没跟住")))</f>
        <v>仅 VIT-LPS 跟住</v>
      </c>
      <c r="L893" s="45" t="n">
        <f aca="false">F893-G893</f>
        <v>-0.028066902351975</v>
      </c>
      <c r="M893" s="46" t="n">
        <v>0.2444206</v>
      </c>
      <c r="N893" s="46" t="n">
        <v>0.1204253</v>
      </c>
      <c r="O893" s="46" t="n">
        <v>0.1976169</v>
      </c>
      <c r="P893" s="46" t="n">
        <v>0.4758038</v>
      </c>
      <c r="Q893" s="46" t="n">
        <v>3.1640103</v>
      </c>
      <c r="R893" s="46" t="n">
        <v>2.6450828</v>
      </c>
      <c r="S893" s="47" t="n">
        <f aca="false">M893+N893+O893</f>
        <v>0.5624628</v>
      </c>
      <c r="T893" s="47" t="n">
        <f aca="false">M893+P893</f>
        <v>0.7202244</v>
      </c>
    </row>
    <row r="894" customFormat="false" ht="15" hidden="false" customHeight="false" outlineLevel="0" collapsed="false">
      <c r="A894" s="42" t="s">
        <v>45</v>
      </c>
      <c r="B894" s="42" t="n">
        <v>-18</v>
      </c>
      <c r="C894" s="42" t="n">
        <v>93</v>
      </c>
      <c r="D894" s="42" t="n">
        <v>74291008</v>
      </c>
      <c r="E894" s="43" t="n">
        <v>0.174238616366829</v>
      </c>
      <c r="F894" s="43" t="n">
        <v>0.358532515508884</v>
      </c>
      <c r="G894" s="43" t="n">
        <v>0.372765855953285</v>
      </c>
      <c r="H894" s="43" t="n">
        <v>0.412846822653817</v>
      </c>
      <c r="I894" s="42" t="n">
        <v>1</v>
      </c>
      <c r="J894" s="42" t="n">
        <v>1</v>
      </c>
      <c r="K894" s="44" t="str">
        <f aca="false">IF(AND(I894=1,J894=1),"两者都跟住",IF(AND(I894=0,J894=1),"仅 PC-TBD 跟住",IF(AND(I894=1,J894=0),"仅 VIT-LPS 跟住","都没跟住")))</f>
        <v>两者都跟住</v>
      </c>
      <c r="L894" s="45" t="n">
        <f aca="false">F894-G894</f>
        <v>-0.014233340444401</v>
      </c>
      <c r="M894" s="46" t="n">
        <v>0.2452939</v>
      </c>
      <c r="N894" s="46" t="n">
        <v>0.1087572</v>
      </c>
      <c r="O894" s="46" t="n">
        <v>0.2001183</v>
      </c>
      <c r="P894" s="46" t="n">
        <v>0.4965288</v>
      </c>
      <c r="Q894" s="46" t="n">
        <v>3.1817952</v>
      </c>
      <c r="R894" s="46" t="n">
        <v>3.5414843</v>
      </c>
      <c r="S894" s="47" t="n">
        <f aca="false">M894+N894+O894</f>
        <v>0.5541694</v>
      </c>
      <c r="T894" s="47" t="n">
        <f aca="false">M894+P894</f>
        <v>0.7418227</v>
      </c>
    </row>
    <row r="895" customFormat="false" ht="15" hidden="false" customHeight="false" outlineLevel="0" collapsed="false">
      <c r="A895" s="42" t="s">
        <v>45</v>
      </c>
      <c r="B895" s="42" t="n">
        <v>-18</v>
      </c>
      <c r="C895" s="42" t="n">
        <v>94</v>
      </c>
      <c r="D895" s="42" t="n">
        <v>74291009</v>
      </c>
      <c r="E895" s="43" t="n">
        <v>0.228088240551384</v>
      </c>
      <c r="F895" s="43" t="n">
        <v>0.406422355001606</v>
      </c>
      <c r="G895" s="43" t="n">
        <v>0.544064247117077</v>
      </c>
      <c r="H895" s="43" t="n">
        <v>0.561322982464412</v>
      </c>
      <c r="I895" s="42" t="n">
        <v>0</v>
      </c>
      <c r="J895" s="42" t="n">
        <v>0</v>
      </c>
      <c r="K895" s="44" t="str">
        <f aca="false">IF(AND(I895=1,J895=1),"两者都跟住",IF(AND(I895=0,J895=1),"仅 PC-TBD 跟住",IF(AND(I895=1,J895=0),"仅 VIT-LPS 跟住","都没跟住")))</f>
        <v>都没跟住</v>
      </c>
      <c r="L895" s="45" t="n">
        <f aca="false">F895-G895</f>
        <v>-0.137641892115471</v>
      </c>
      <c r="M895" s="46" t="n">
        <v>0.2837879</v>
      </c>
      <c r="N895" s="46" t="n">
        <v>0.1039734</v>
      </c>
      <c r="O895" s="46" t="n">
        <v>0.2207239</v>
      </c>
      <c r="P895" s="46" t="n">
        <v>0.5687235</v>
      </c>
      <c r="Q895" s="46" t="n">
        <v>3.8156495</v>
      </c>
      <c r="R895" s="46" t="n">
        <v>4.183317</v>
      </c>
      <c r="S895" s="47" t="n">
        <f aca="false">M895+N895+O895</f>
        <v>0.6084852</v>
      </c>
      <c r="T895" s="47" t="n">
        <f aca="false">M895+P895</f>
        <v>0.8525114</v>
      </c>
    </row>
    <row r="896" customFormat="false" ht="15" hidden="false" customHeight="false" outlineLevel="0" collapsed="false">
      <c r="A896" s="42" t="s">
        <v>45</v>
      </c>
      <c r="B896" s="42" t="n">
        <v>-18</v>
      </c>
      <c r="C896" s="42" t="n">
        <v>95</v>
      </c>
      <c r="D896" s="42" t="n">
        <v>74291010</v>
      </c>
      <c r="E896" s="43" t="n">
        <v>0.178384053301046</v>
      </c>
      <c r="F896" s="43" t="n">
        <v>0.486507972042842</v>
      </c>
      <c r="G896" s="43" t="n">
        <v>0.565716326079059</v>
      </c>
      <c r="H896" s="43" t="n">
        <v>0.59035434460927</v>
      </c>
      <c r="I896" s="42" t="n">
        <v>1</v>
      </c>
      <c r="J896" s="42" t="n">
        <v>1</v>
      </c>
      <c r="K896" s="44" t="str">
        <f aca="false">IF(AND(I896=1,J896=1),"两者都跟住",IF(AND(I896=0,J896=1),"仅 PC-TBD 跟住",IF(AND(I896=1,J896=0),"仅 VIT-LPS 跟住","都没跟住")))</f>
        <v>两者都跟住</v>
      </c>
      <c r="L896" s="45" t="n">
        <f aca="false">F896-G896</f>
        <v>-0.079208354036217</v>
      </c>
      <c r="M896" s="46" t="n">
        <v>0.2755346</v>
      </c>
      <c r="N896" s="46" t="n">
        <v>0.106557</v>
      </c>
      <c r="O896" s="46" t="n">
        <v>0.2467319</v>
      </c>
      <c r="P896" s="46" t="n">
        <v>0.4839657</v>
      </c>
      <c r="Q896" s="46" t="n">
        <v>2.9795116</v>
      </c>
      <c r="R896" s="46" t="n">
        <v>3.0067676</v>
      </c>
      <c r="S896" s="47" t="n">
        <f aca="false">M896+N896+O896</f>
        <v>0.6288235</v>
      </c>
      <c r="T896" s="47" t="n">
        <f aca="false">M896+P896</f>
        <v>0.7595003</v>
      </c>
    </row>
    <row r="897" customFormat="false" ht="15" hidden="false" customHeight="false" outlineLevel="0" collapsed="false">
      <c r="A897" s="42" t="s">
        <v>45</v>
      </c>
      <c r="B897" s="42" t="n">
        <v>-18</v>
      </c>
      <c r="C897" s="42" t="n">
        <v>96</v>
      </c>
      <c r="D897" s="42" t="n">
        <v>74291011</v>
      </c>
      <c r="E897" s="43" t="n">
        <v>0.556350326944645</v>
      </c>
      <c r="F897" s="43" t="n">
        <v>0.63221399983635</v>
      </c>
      <c r="G897" s="43" t="n">
        <v>0.716243476815299</v>
      </c>
      <c r="H897" s="43" t="n">
        <v>0.702317672619441</v>
      </c>
      <c r="I897" s="42" t="n">
        <v>1</v>
      </c>
      <c r="J897" s="42" t="n">
        <v>1</v>
      </c>
      <c r="K897" s="44" t="str">
        <f aca="false">IF(AND(I897=1,J897=1),"两者都跟住",IF(AND(I897=0,J897=1),"仅 PC-TBD 跟住",IF(AND(I897=1,J897=0),"仅 VIT-LPS 跟住","都没跟住")))</f>
        <v>两者都跟住</v>
      </c>
      <c r="L897" s="45" t="n">
        <f aca="false">F897-G897</f>
        <v>-0.084029476978949</v>
      </c>
      <c r="M897" s="46" t="n">
        <v>0.2947839</v>
      </c>
      <c r="N897" s="46" t="n">
        <v>0.1125876</v>
      </c>
      <c r="O897" s="46" t="n">
        <v>0.1927253</v>
      </c>
      <c r="P897" s="46" t="n">
        <v>0.5129282</v>
      </c>
      <c r="Q897" s="46" t="n">
        <v>2.8036868</v>
      </c>
      <c r="R897" s="46" t="n">
        <v>3.7938124</v>
      </c>
      <c r="S897" s="47" t="n">
        <f aca="false">M897+N897+O897</f>
        <v>0.6000968</v>
      </c>
      <c r="T897" s="47" t="n">
        <f aca="false">M897+P897</f>
        <v>0.8077121</v>
      </c>
    </row>
    <row r="898" customFormat="false" ht="15" hidden="false" customHeight="false" outlineLevel="0" collapsed="false">
      <c r="A898" s="42" t="s">
        <v>45</v>
      </c>
      <c r="B898" s="42" t="n">
        <v>-18</v>
      </c>
      <c r="C898" s="42" t="n">
        <v>97</v>
      </c>
      <c r="D898" s="42" t="n">
        <v>74291012</v>
      </c>
      <c r="E898" s="43" t="n">
        <v>0.320793901341302</v>
      </c>
      <c r="F898" s="43" t="n">
        <v>0.559341508794652</v>
      </c>
      <c r="G898" s="43" t="n">
        <v>0.576497275985719</v>
      </c>
      <c r="H898" s="43" t="n">
        <v>0.54974330251749</v>
      </c>
      <c r="I898" s="42" t="n">
        <v>1</v>
      </c>
      <c r="J898" s="42" t="n">
        <v>1</v>
      </c>
      <c r="K898" s="44" t="str">
        <f aca="false">IF(AND(I898=1,J898=1),"两者都跟住",IF(AND(I898=0,J898=1),"仅 PC-TBD 跟住",IF(AND(I898=1,J898=0),"仅 VIT-LPS 跟住","都没跟住")))</f>
        <v>两者都跟住</v>
      </c>
      <c r="L898" s="45" t="n">
        <f aca="false">F898-G898</f>
        <v>-0.0171557671910669</v>
      </c>
      <c r="M898" s="46" t="n">
        <v>0.2408123</v>
      </c>
      <c r="N898" s="46" t="n">
        <v>0.1365811</v>
      </c>
      <c r="O898" s="46" t="n">
        <v>0.3158534</v>
      </c>
      <c r="P898" s="46" t="n">
        <v>0.5536334</v>
      </c>
      <c r="Q898" s="46" t="n">
        <v>2.5270244</v>
      </c>
      <c r="R898" s="46" t="n">
        <v>1.5907742</v>
      </c>
      <c r="S898" s="47" t="n">
        <f aca="false">M898+N898+O898</f>
        <v>0.6932468</v>
      </c>
      <c r="T898" s="47" t="n">
        <f aca="false">M898+P898</f>
        <v>0.7944457</v>
      </c>
    </row>
    <row r="899" customFormat="false" ht="15" hidden="false" customHeight="false" outlineLevel="0" collapsed="false">
      <c r="A899" s="42" t="s">
        <v>45</v>
      </c>
      <c r="B899" s="42" t="n">
        <v>-18</v>
      </c>
      <c r="C899" s="42" t="n">
        <v>98</v>
      </c>
      <c r="D899" s="42" t="n">
        <v>74291013</v>
      </c>
      <c r="E899" s="43" t="n">
        <v>0.263980941699313</v>
      </c>
      <c r="F899" s="43" t="n">
        <v>0.661255638143291</v>
      </c>
      <c r="G899" s="43" t="n">
        <v>0.599912640248502</v>
      </c>
      <c r="H899" s="43" t="n">
        <v>0.598320498536485</v>
      </c>
      <c r="I899" s="42" t="n">
        <v>1</v>
      </c>
      <c r="J899" s="42" t="n">
        <v>1</v>
      </c>
      <c r="K899" s="44" t="str">
        <f aca="false">IF(AND(I899=1,J899=1),"两者都跟住",IF(AND(I899=0,J899=1),"仅 PC-TBD 跟住",IF(AND(I899=1,J899=0),"仅 VIT-LPS 跟住","都没跟住")))</f>
        <v>两者都跟住</v>
      </c>
      <c r="L899" s="45" t="n">
        <f aca="false">F899-G899</f>
        <v>0.061342997894789</v>
      </c>
      <c r="M899" s="46" t="n">
        <v>0.134375</v>
      </c>
      <c r="N899" s="46" t="n">
        <v>0.0788892</v>
      </c>
      <c r="O899" s="46" t="n">
        <v>0.1399957</v>
      </c>
      <c r="P899" s="46" t="n">
        <v>0.3755687</v>
      </c>
      <c r="Q899" s="46" t="n">
        <v>2.3027593</v>
      </c>
      <c r="R899" s="46" t="n">
        <v>1.8937046</v>
      </c>
      <c r="S899" s="47" t="n">
        <f aca="false">M899+N899+O899</f>
        <v>0.3532599</v>
      </c>
      <c r="T899" s="47" t="n">
        <f aca="false">M899+P899</f>
        <v>0.5099437</v>
      </c>
    </row>
    <row r="900" customFormat="false" ht="15" hidden="false" customHeight="false" outlineLevel="0" collapsed="false">
      <c r="A900" s="42" t="s">
        <v>45</v>
      </c>
      <c r="B900" s="42" t="n">
        <v>-18</v>
      </c>
      <c r="C900" s="42" t="n">
        <v>99</v>
      </c>
      <c r="D900" s="42" t="n">
        <v>74291014</v>
      </c>
      <c r="E900" s="43" t="n">
        <v>0.199031312734782</v>
      </c>
      <c r="F900" s="43" t="n">
        <v>0.451148542590423</v>
      </c>
      <c r="G900" s="43" t="n">
        <v>0.535548374098903</v>
      </c>
      <c r="H900" s="43" t="n">
        <v>0.575577968978774</v>
      </c>
      <c r="I900" s="42" t="n">
        <v>1</v>
      </c>
      <c r="J900" s="42" t="n">
        <v>0</v>
      </c>
      <c r="K900" s="44" t="str">
        <f aca="false">IF(AND(I900=1,J900=1),"两者都跟住",IF(AND(I900=0,J900=1),"仅 PC-TBD 跟住",IF(AND(I900=1,J900=0),"仅 VIT-LPS 跟住","都没跟住")))</f>
        <v>仅 VIT-LPS 跟住</v>
      </c>
      <c r="L900" s="45" t="n">
        <f aca="false">F900-G900</f>
        <v>-0.08439983150848</v>
      </c>
      <c r="M900" s="46" t="n">
        <v>0.1401985</v>
      </c>
      <c r="N900" s="46" t="n">
        <v>0.0709556</v>
      </c>
      <c r="O900" s="46" t="n">
        <v>0.1555377</v>
      </c>
      <c r="P900" s="46" t="n">
        <v>0.4866803</v>
      </c>
      <c r="Q900" s="46" t="n">
        <v>1.8584838</v>
      </c>
      <c r="R900" s="46" t="n">
        <v>1.7922416</v>
      </c>
      <c r="S900" s="47" t="n">
        <f aca="false">M900+N900+O900</f>
        <v>0.3666918</v>
      </c>
      <c r="T900" s="47" t="n">
        <f aca="false">M900+P900</f>
        <v>0.6268788</v>
      </c>
    </row>
    <row r="901" customFormat="false" ht="15" hidden="false" customHeight="false" outlineLevel="0" collapsed="false">
      <c r="A901" s="42" t="s">
        <v>45</v>
      </c>
      <c r="B901" s="42" t="n">
        <v>-18</v>
      </c>
      <c r="C901" s="42" t="n">
        <v>100</v>
      </c>
      <c r="D901" s="42" t="n">
        <v>74291015</v>
      </c>
      <c r="E901" s="43" t="n">
        <v>0.368094884087714</v>
      </c>
      <c r="F901" s="43" t="n">
        <v>0.383898000461615</v>
      </c>
      <c r="G901" s="43" t="n">
        <v>0.425339232149879</v>
      </c>
      <c r="H901" s="43" t="n">
        <v>0.440992168182543</v>
      </c>
      <c r="I901" s="42" t="n">
        <v>0</v>
      </c>
      <c r="J901" s="42" t="n">
        <v>0</v>
      </c>
      <c r="K901" s="44" t="str">
        <f aca="false">IF(AND(I901=1,J901=1),"两者都跟住",IF(AND(I901=0,J901=1),"仅 PC-TBD 跟住",IF(AND(I901=1,J901=0),"仅 VIT-LPS 跟住","都没跟住")))</f>
        <v>都没跟住</v>
      </c>
      <c r="L901" s="45" t="n">
        <f aca="false">F901-G901</f>
        <v>-0.041441231688264</v>
      </c>
      <c r="M901" s="46" t="n">
        <v>0.2078106</v>
      </c>
      <c r="N901" s="46" t="n">
        <v>0.1037422</v>
      </c>
      <c r="O901" s="46" t="n">
        <v>0.1785413</v>
      </c>
      <c r="P901" s="46" t="n">
        <v>0.5342105</v>
      </c>
      <c r="Q901" s="46" t="n">
        <v>2.1891952</v>
      </c>
      <c r="R901" s="46" t="n">
        <v>2.4697711</v>
      </c>
      <c r="S901" s="47" t="n">
        <f aca="false">M901+N901+O901</f>
        <v>0.4900941</v>
      </c>
      <c r="T901" s="47" t="n">
        <f aca="false">M901+P901</f>
        <v>0.7420211</v>
      </c>
    </row>
    <row r="902" customFormat="false" ht="15" hidden="false" customHeight="false" outlineLevel="0" collapsed="false">
      <c r="A902" s="42" t="s">
        <v>45</v>
      </c>
      <c r="B902" s="42" t="n">
        <v>-16</v>
      </c>
      <c r="C902" s="42" t="n">
        <v>1</v>
      </c>
      <c r="D902" s="42" t="n">
        <v>74290916</v>
      </c>
      <c r="E902" s="43" t="n">
        <v>0.356395323938061</v>
      </c>
      <c r="F902" s="43" t="n">
        <v>0.683118961151781</v>
      </c>
      <c r="G902" s="43" t="n">
        <v>0.637747754769112</v>
      </c>
      <c r="H902" s="43" t="n">
        <v>0.66584002588437</v>
      </c>
      <c r="I902" s="42" t="n">
        <v>1</v>
      </c>
      <c r="J902" s="42" t="n">
        <v>1</v>
      </c>
      <c r="K902" s="44" t="str">
        <f aca="false">IF(AND(I902=1,J902=1),"两者都跟住",IF(AND(I902=0,J902=1),"仅 PC-TBD 跟住",IF(AND(I902=1,J902=0),"仅 VIT-LPS 跟住","都没跟住")))</f>
        <v>两者都跟住</v>
      </c>
      <c r="L902" s="45" t="n">
        <f aca="false">F902-G902</f>
        <v>0.0453712063826689</v>
      </c>
      <c r="M902" s="46" t="n">
        <v>0.7393518</v>
      </c>
      <c r="N902" s="46" t="n">
        <v>0.3964645</v>
      </c>
      <c r="O902" s="46" t="n">
        <v>3.1187101</v>
      </c>
      <c r="P902" s="46" t="n">
        <v>1.1579795</v>
      </c>
      <c r="Q902" s="46" t="n">
        <v>4.3955082</v>
      </c>
      <c r="R902" s="46" t="n">
        <v>4.47801</v>
      </c>
      <c r="S902" s="47" t="n">
        <f aca="false">M902+N902+O902</f>
        <v>4.2545264</v>
      </c>
      <c r="T902" s="47" t="n">
        <f aca="false">M902+P902</f>
        <v>1.8973313</v>
      </c>
    </row>
    <row r="903" customFormat="false" ht="15" hidden="false" customHeight="false" outlineLevel="0" collapsed="false">
      <c r="A903" s="42" t="s">
        <v>45</v>
      </c>
      <c r="B903" s="42" t="n">
        <v>-16</v>
      </c>
      <c r="C903" s="42" t="n">
        <v>2</v>
      </c>
      <c r="D903" s="42" t="n">
        <v>74290917</v>
      </c>
      <c r="E903" s="43" t="n">
        <v>0.68712856634602</v>
      </c>
      <c r="F903" s="43" t="n">
        <v>0.741010927220382</v>
      </c>
      <c r="G903" s="43" t="n">
        <v>0.701294071682156</v>
      </c>
      <c r="H903" s="43" t="n">
        <v>0.692901755470957</v>
      </c>
      <c r="I903" s="42" t="n">
        <v>1</v>
      </c>
      <c r="J903" s="42" t="n">
        <v>1</v>
      </c>
      <c r="K903" s="44" t="str">
        <f aca="false">IF(AND(I903=1,J903=1),"两者都跟住",IF(AND(I903=0,J903=1),"仅 PC-TBD 跟住",IF(AND(I903=1,J903=0),"仅 VIT-LPS 跟住","都没跟住")))</f>
        <v>两者都跟住</v>
      </c>
      <c r="L903" s="45" t="n">
        <f aca="false">F903-G903</f>
        <v>0.039716855538226</v>
      </c>
      <c r="M903" s="46" t="n">
        <v>0.7313041</v>
      </c>
      <c r="N903" s="46" t="n">
        <v>0.4305596</v>
      </c>
      <c r="O903" s="46" t="n">
        <v>3.1557227</v>
      </c>
      <c r="P903" s="46" t="n">
        <v>1.0402234</v>
      </c>
      <c r="Q903" s="46" t="n">
        <v>3.9482341</v>
      </c>
      <c r="R903" s="46" t="n">
        <v>3.2303838</v>
      </c>
      <c r="S903" s="47" t="n">
        <f aca="false">M903+N903+O903</f>
        <v>4.3175864</v>
      </c>
      <c r="T903" s="47" t="n">
        <f aca="false">M903+P903</f>
        <v>1.7715275</v>
      </c>
    </row>
    <row r="904" customFormat="false" ht="15" hidden="false" customHeight="false" outlineLevel="0" collapsed="false">
      <c r="A904" s="42" t="s">
        <v>45</v>
      </c>
      <c r="B904" s="42" t="n">
        <v>-16</v>
      </c>
      <c r="C904" s="42" t="n">
        <v>3</v>
      </c>
      <c r="D904" s="42" t="n">
        <v>74290918</v>
      </c>
      <c r="E904" s="43" t="n">
        <v>0.415312149400802</v>
      </c>
      <c r="F904" s="43" t="n">
        <v>0.72001887172759</v>
      </c>
      <c r="G904" s="43" t="n">
        <v>0.571747382585948</v>
      </c>
      <c r="H904" s="43" t="n">
        <v>0.571747382585948</v>
      </c>
      <c r="I904" s="42" t="n">
        <v>1</v>
      </c>
      <c r="J904" s="42" t="n">
        <v>1</v>
      </c>
      <c r="K904" s="44" t="str">
        <f aca="false">IF(AND(I904=1,J904=1),"两者都跟住",IF(AND(I904=0,J904=1),"仅 PC-TBD 跟住",IF(AND(I904=1,J904=0),"仅 VIT-LPS 跟住","都没跟住")))</f>
        <v>两者都跟住</v>
      </c>
      <c r="L904" s="45" t="n">
        <f aca="false">F904-G904</f>
        <v>0.148271489141642</v>
      </c>
      <c r="M904" s="46" t="n">
        <v>0.7317599</v>
      </c>
      <c r="N904" s="46" t="n">
        <v>0.3927103</v>
      </c>
      <c r="O904" s="46" t="n">
        <v>3.1156236</v>
      </c>
      <c r="P904" s="46" t="n">
        <v>1.0963557</v>
      </c>
      <c r="Q904" s="46" t="n">
        <v>4.002239</v>
      </c>
      <c r="R904" s="46" t="n">
        <v>3.2830171</v>
      </c>
      <c r="S904" s="47" t="n">
        <f aca="false">M904+N904+O904</f>
        <v>4.2400938</v>
      </c>
      <c r="T904" s="47" t="n">
        <f aca="false">M904+P904</f>
        <v>1.8281156</v>
      </c>
    </row>
    <row r="905" customFormat="false" ht="15" hidden="false" customHeight="false" outlineLevel="0" collapsed="false">
      <c r="A905" s="42" t="s">
        <v>45</v>
      </c>
      <c r="B905" s="42" t="n">
        <v>-16</v>
      </c>
      <c r="C905" s="42" t="n">
        <v>4</v>
      </c>
      <c r="D905" s="42" t="n">
        <v>74290919</v>
      </c>
      <c r="E905" s="43" t="n">
        <v>0.534242349937745</v>
      </c>
      <c r="F905" s="43" t="n">
        <v>0.694104093901419</v>
      </c>
      <c r="G905" s="43" t="n">
        <v>0.651502692741067</v>
      </c>
      <c r="H905" s="43" t="n">
        <v>0.678354008913758</v>
      </c>
      <c r="I905" s="42" t="n">
        <v>1</v>
      </c>
      <c r="J905" s="42" t="n">
        <v>1</v>
      </c>
      <c r="K905" s="44" t="str">
        <f aca="false">IF(AND(I905=1,J905=1),"两者都跟住",IF(AND(I905=0,J905=1),"仅 PC-TBD 跟住",IF(AND(I905=1,J905=0),"仅 VIT-LPS 跟住","都没跟住")))</f>
        <v>两者都跟住</v>
      </c>
      <c r="L905" s="45" t="n">
        <f aca="false">F905-G905</f>
        <v>0.0426014011603521</v>
      </c>
      <c r="M905" s="46" t="n">
        <v>0.7305433</v>
      </c>
      <c r="N905" s="46" t="n">
        <v>0.4084334</v>
      </c>
      <c r="O905" s="46" t="n">
        <v>3.0793264</v>
      </c>
      <c r="P905" s="46" t="n">
        <v>1.0194751</v>
      </c>
      <c r="Q905" s="46" t="n">
        <v>3.3910649</v>
      </c>
      <c r="R905" s="46" t="n">
        <v>3.1786765</v>
      </c>
      <c r="S905" s="47" t="n">
        <f aca="false">M905+N905+O905</f>
        <v>4.2183031</v>
      </c>
      <c r="T905" s="47" t="n">
        <f aca="false">M905+P905</f>
        <v>1.7500184</v>
      </c>
    </row>
    <row r="906" customFormat="false" ht="15" hidden="false" customHeight="false" outlineLevel="0" collapsed="false">
      <c r="A906" s="42" t="s">
        <v>45</v>
      </c>
      <c r="B906" s="42" t="n">
        <v>-16</v>
      </c>
      <c r="C906" s="42" t="n">
        <v>5</v>
      </c>
      <c r="D906" s="42" t="n">
        <v>74290920</v>
      </c>
      <c r="E906" s="43" t="n">
        <v>0.553058961023143</v>
      </c>
      <c r="F906" s="43" t="n">
        <v>0.710122921461914</v>
      </c>
      <c r="G906" s="43" t="n">
        <v>0.711031364360351</v>
      </c>
      <c r="H906" s="43" t="n">
        <v>0.723711772717001</v>
      </c>
      <c r="I906" s="42" t="n">
        <v>1</v>
      </c>
      <c r="J906" s="42" t="n">
        <v>1</v>
      </c>
      <c r="K906" s="44" t="str">
        <f aca="false">IF(AND(I906=1,J906=1),"两者都跟住",IF(AND(I906=0,J906=1),"仅 PC-TBD 跟住",IF(AND(I906=1,J906=0),"仅 VIT-LPS 跟住","都没跟住")))</f>
        <v>两者都跟住</v>
      </c>
      <c r="L906" s="45" t="n">
        <f aca="false">F906-G906</f>
        <v>-0.000908442898436945</v>
      </c>
      <c r="M906" s="46" t="n">
        <v>0.6941099</v>
      </c>
      <c r="N906" s="46" t="n">
        <v>0.3881867</v>
      </c>
      <c r="O906" s="46" t="n">
        <v>3.1284298</v>
      </c>
      <c r="P906" s="46" t="n">
        <v>1.1347533</v>
      </c>
      <c r="Q906" s="46" t="n">
        <v>4.1481671</v>
      </c>
      <c r="R906" s="46" t="n">
        <v>4.6614288</v>
      </c>
      <c r="S906" s="47" t="n">
        <f aca="false">M906+N906+O906</f>
        <v>4.2107264</v>
      </c>
      <c r="T906" s="47" t="n">
        <f aca="false">M906+P906</f>
        <v>1.8288632</v>
      </c>
    </row>
    <row r="907" customFormat="false" ht="15" hidden="false" customHeight="false" outlineLevel="0" collapsed="false">
      <c r="A907" s="42" t="s">
        <v>45</v>
      </c>
      <c r="B907" s="42" t="n">
        <v>-16</v>
      </c>
      <c r="C907" s="42" t="n">
        <v>6</v>
      </c>
      <c r="D907" s="42" t="n">
        <v>74290921</v>
      </c>
      <c r="E907" s="43" t="n">
        <v>0.411480140497481</v>
      </c>
      <c r="F907" s="43" t="n">
        <v>0.772606556997275</v>
      </c>
      <c r="G907" s="43" t="n">
        <v>0.783264641465138</v>
      </c>
      <c r="H907" s="43" t="n">
        <v>0.77625646639834</v>
      </c>
      <c r="I907" s="42" t="n">
        <v>1</v>
      </c>
      <c r="J907" s="42" t="n">
        <v>1</v>
      </c>
      <c r="K907" s="44" t="str">
        <f aca="false">IF(AND(I907=1,J907=1),"两者都跟住",IF(AND(I907=0,J907=1),"仅 PC-TBD 跟住",IF(AND(I907=1,J907=0),"仅 VIT-LPS 跟住","都没跟住")))</f>
        <v>两者都跟住</v>
      </c>
      <c r="L907" s="45" t="n">
        <f aca="false">F907-G907</f>
        <v>-0.010658084467863</v>
      </c>
      <c r="M907" s="46" t="n">
        <v>0.7192496</v>
      </c>
      <c r="N907" s="46" t="n">
        <v>0.3801281</v>
      </c>
      <c r="O907" s="46" t="n">
        <v>3.1189172</v>
      </c>
      <c r="P907" s="46" t="n">
        <v>1.2448998</v>
      </c>
      <c r="Q907" s="46" t="n">
        <v>4.0626874</v>
      </c>
      <c r="R907" s="46" t="n">
        <v>4.6699153</v>
      </c>
      <c r="S907" s="47" t="n">
        <f aca="false">M907+N907+O907</f>
        <v>4.2182949</v>
      </c>
      <c r="T907" s="47" t="n">
        <f aca="false">M907+P907</f>
        <v>1.9641494</v>
      </c>
    </row>
    <row r="908" customFormat="false" ht="15" hidden="false" customHeight="false" outlineLevel="0" collapsed="false">
      <c r="A908" s="42" t="s">
        <v>45</v>
      </c>
      <c r="B908" s="42" t="n">
        <v>-16</v>
      </c>
      <c r="C908" s="42" t="n">
        <v>7</v>
      </c>
      <c r="D908" s="42" t="n">
        <v>74290922</v>
      </c>
      <c r="E908" s="43" t="n">
        <v>0.379356225925995</v>
      </c>
      <c r="F908" s="43" t="n">
        <v>0.609404662166509</v>
      </c>
      <c r="G908" s="43" t="n">
        <v>0.53846920811257</v>
      </c>
      <c r="H908" s="43" t="n">
        <v>0.548208304680747</v>
      </c>
      <c r="I908" s="42" t="n">
        <v>1</v>
      </c>
      <c r="J908" s="42" t="n">
        <v>0</v>
      </c>
      <c r="K908" s="44" t="str">
        <f aca="false">IF(AND(I908=1,J908=1),"两者都跟住",IF(AND(I908=0,J908=1),"仅 PC-TBD 跟住",IF(AND(I908=1,J908=0),"仅 VIT-LPS 跟住","都没跟住")))</f>
        <v>仅 VIT-LPS 跟住</v>
      </c>
      <c r="L908" s="45" t="n">
        <f aca="false">F908-G908</f>
        <v>0.070935454053939</v>
      </c>
      <c r="M908" s="46" t="n">
        <v>0.1798324</v>
      </c>
      <c r="N908" s="46" t="n">
        <v>0.1558396</v>
      </c>
      <c r="O908" s="46" t="n">
        <v>0.4119901</v>
      </c>
      <c r="P908" s="46" t="n">
        <v>0.5776317</v>
      </c>
      <c r="Q908" s="46" t="n">
        <v>4.5820596</v>
      </c>
      <c r="R908" s="46" t="n">
        <v>1.9834111</v>
      </c>
      <c r="S908" s="47" t="n">
        <f aca="false">M908+N908+O908</f>
        <v>0.7476621</v>
      </c>
      <c r="T908" s="47" t="n">
        <f aca="false">M908+P908</f>
        <v>0.7574641</v>
      </c>
    </row>
    <row r="909" customFormat="false" ht="15" hidden="false" customHeight="false" outlineLevel="0" collapsed="false">
      <c r="A909" s="42" t="s">
        <v>45</v>
      </c>
      <c r="B909" s="42" t="n">
        <v>-16</v>
      </c>
      <c r="C909" s="42" t="n">
        <v>8</v>
      </c>
      <c r="D909" s="42" t="n">
        <v>74290923</v>
      </c>
      <c r="E909" s="43" t="n">
        <v>0.610255810427907</v>
      </c>
      <c r="F909" s="43" t="n">
        <v>0.687269573262714</v>
      </c>
      <c r="G909" s="43" t="n">
        <v>0.694939959431295</v>
      </c>
      <c r="H909" s="43" t="n">
        <v>0.703858012796286</v>
      </c>
      <c r="I909" s="42" t="n">
        <v>1</v>
      </c>
      <c r="J909" s="42" t="n">
        <v>1</v>
      </c>
      <c r="K909" s="44" t="str">
        <f aca="false">IF(AND(I909=1,J909=1),"两者都跟住",IF(AND(I909=0,J909=1),"仅 PC-TBD 跟住",IF(AND(I909=1,J909=0),"仅 VIT-LPS 跟住","都没跟住")))</f>
        <v>两者都跟住</v>
      </c>
      <c r="L909" s="45" t="n">
        <f aca="false">F909-G909</f>
        <v>-0.00767038616858107</v>
      </c>
      <c r="M909" s="46" t="n">
        <v>0.1803473</v>
      </c>
      <c r="N909" s="46" t="n">
        <v>0.1393193</v>
      </c>
      <c r="O909" s="46" t="n">
        <v>0.2961136</v>
      </c>
      <c r="P909" s="46" t="n">
        <v>0.6135756</v>
      </c>
      <c r="Q909" s="46" t="n">
        <v>2.1205524</v>
      </c>
      <c r="R909" s="46" t="n">
        <v>2.0691603</v>
      </c>
      <c r="S909" s="47" t="n">
        <f aca="false">M909+N909+O909</f>
        <v>0.6157802</v>
      </c>
      <c r="T909" s="47" t="n">
        <f aca="false">M909+P909</f>
        <v>0.7939229</v>
      </c>
    </row>
    <row r="910" customFormat="false" ht="15" hidden="false" customHeight="false" outlineLevel="0" collapsed="false">
      <c r="A910" s="42" t="s">
        <v>45</v>
      </c>
      <c r="B910" s="42" t="n">
        <v>-16</v>
      </c>
      <c r="C910" s="42" t="n">
        <v>9</v>
      </c>
      <c r="D910" s="42" t="n">
        <v>74290924</v>
      </c>
      <c r="E910" s="43" t="n">
        <v>0.594678495250908</v>
      </c>
      <c r="F910" s="43" t="n">
        <v>0.706599215892103</v>
      </c>
      <c r="G910" s="43" t="n">
        <v>0.791183071134388</v>
      </c>
      <c r="H910" s="43" t="n">
        <v>0.780636902356209</v>
      </c>
      <c r="I910" s="42" t="n">
        <v>1</v>
      </c>
      <c r="J910" s="42" t="n">
        <v>1</v>
      </c>
      <c r="K910" s="44" t="str">
        <f aca="false">IF(AND(I910=1,J910=1),"两者都跟住",IF(AND(I910=0,J910=1),"仅 PC-TBD 跟住",IF(AND(I910=1,J910=0),"仅 VIT-LPS 跟住","都没跟住")))</f>
        <v>两者都跟住</v>
      </c>
      <c r="L910" s="45" t="n">
        <f aca="false">F910-G910</f>
        <v>-0.0845838552422851</v>
      </c>
      <c r="M910" s="46" t="n">
        <v>0.1985278</v>
      </c>
      <c r="N910" s="46" t="n">
        <v>0.146338</v>
      </c>
      <c r="O910" s="46" t="n">
        <v>0.3113526</v>
      </c>
      <c r="P910" s="46" t="n">
        <v>0.475359</v>
      </c>
      <c r="Q910" s="46" t="n">
        <v>2.0492516</v>
      </c>
      <c r="R910" s="46" t="n">
        <v>1.7481116</v>
      </c>
      <c r="S910" s="47" t="n">
        <f aca="false">M910+N910+O910</f>
        <v>0.6562184</v>
      </c>
      <c r="T910" s="47" t="n">
        <f aca="false">M910+P910</f>
        <v>0.6738868</v>
      </c>
    </row>
    <row r="911" customFormat="false" ht="15" hidden="false" customHeight="false" outlineLevel="0" collapsed="false">
      <c r="A911" s="42" t="s">
        <v>45</v>
      </c>
      <c r="B911" s="42" t="n">
        <v>-16</v>
      </c>
      <c r="C911" s="42" t="n">
        <v>10</v>
      </c>
      <c r="D911" s="42" t="n">
        <v>74290925</v>
      </c>
      <c r="E911" s="43" t="n">
        <v>0.260158975937201</v>
      </c>
      <c r="F911" s="43" t="n">
        <v>0.600492347083119</v>
      </c>
      <c r="G911" s="43" t="n">
        <v>0.628922621368025</v>
      </c>
      <c r="H911" s="43" t="n">
        <v>0.631732476745956</v>
      </c>
      <c r="I911" s="42" t="n">
        <v>1</v>
      </c>
      <c r="J911" s="42" t="n">
        <v>1</v>
      </c>
      <c r="K911" s="44" t="str">
        <f aca="false">IF(AND(I911=1,J911=1),"两者都跟住",IF(AND(I911=0,J911=1),"仅 PC-TBD 跟住",IF(AND(I911=1,J911=0),"仅 VIT-LPS 跟住","都没跟住")))</f>
        <v>两者都跟住</v>
      </c>
      <c r="L911" s="45" t="n">
        <f aca="false">F911-G911</f>
        <v>-0.028430274284906</v>
      </c>
      <c r="M911" s="46" t="n">
        <v>0.3237076</v>
      </c>
      <c r="N911" s="46" t="n">
        <v>0.163123</v>
      </c>
      <c r="O911" s="46" t="n">
        <v>0.5597449</v>
      </c>
      <c r="P911" s="46" t="n">
        <v>0.7317638</v>
      </c>
      <c r="Q911" s="46" t="n">
        <v>4.4566363</v>
      </c>
      <c r="R911" s="46" t="n">
        <v>1.787586</v>
      </c>
      <c r="S911" s="47" t="n">
        <f aca="false">M911+N911+O911</f>
        <v>1.0465755</v>
      </c>
      <c r="T911" s="47" t="n">
        <f aca="false">M911+P911</f>
        <v>1.0554714</v>
      </c>
    </row>
    <row r="912" customFormat="false" ht="15" hidden="false" customHeight="false" outlineLevel="0" collapsed="false">
      <c r="A912" s="42" t="s">
        <v>45</v>
      </c>
      <c r="B912" s="42" t="n">
        <v>-16</v>
      </c>
      <c r="C912" s="42" t="n">
        <v>11</v>
      </c>
      <c r="D912" s="42" t="n">
        <v>74290926</v>
      </c>
      <c r="E912" s="43" t="n">
        <v>0.249982969960487</v>
      </c>
      <c r="F912" s="43" t="n">
        <v>0.689302394900374</v>
      </c>
      <c r="G912" s="43" t="n">
        <v>0.635546471420451</v>
      </c>
      <c r="H912" s="43" t="n">
        <v>0.66576204324161</v>
      </c>
      <c r="I912" s="42" t="n">
        <v>1</v>
      </c>
      <c r="J912" s="42" t="n">
        <v>1</v>
      </c>
      <c r="K912" s="44" t="str">
        <f aca="false">IF(AND(I912=1,J912=1),"两者都跟住",IF(AND(I912=0,J912=1),"仅 PC-TBD 跟住",IF(AND(I912=1,J912=0),"仅 VIT-LPS 跟住","都没跟住")))</f>
        <v>两者都跟住</v>
      </c>
      <c r="L912" s="45" t="n">
        <f aca="false">F912-G912</f>
        <v>0.0537559234799231</v>
      </c>
      <c r="M912" s="46" t="n">
        <v>0.417125</v>
      </c>
      <c r="N912" s="46" t="n">
        <v>0.17765</v>
      </c>
      <c r="O912" s="46" t="n">
        <v>0.2967716</v>
      </c>
      <c r="P912" s="46" t="n">
        <v>0.9866241</v>
      </c>
      <c r="Q912" s="46" t="n">
        <v>8.5085117</v>
      </c>
      <c r="R912" s="46" t="n">
        <v>2.7127788</v>
      </c>
      <c r="S912" s="47" t="n">
        <f aca="false">M912+N912+O912</f>
        <v>0.8915466</v>
      </c>
      <c r="T912" s="47" t="n">
        <f aca="false">M912+P912</f>
        <v>1.4037491</v>
      </c>
    </row>
    <row r="913" customFormat="false" ht="15" hidden="false" customHeight="false" outlineLevel="0" collapsed="false">
      <c r="A913" s="42" t="s">
        <v>45</v>
      </c>
      <c r="B913" s="42" t="n">
        <v>-16</v>
      </c>
      <c r="C913" s="42" t="n">
        <v>12</v>
      </c>
      <c r="D913" s="42" t="n">
        <v>74290927</v>
      </c>
      <c r="E913" s="43" t="n">
        <v>0.487992670179657</v>
      </c>
      <c r="F913" s="43" t="n">
        <v>0.65878660273169</v>
      </c>
      <c r="G913" s="43" t="n">
        <v>0.781463763094001</v>
      </c>
      <c r="H913" s="43" t="n">
        <v>0.743101962617768</v>
      </c>
      <c r="I913" s="42" t="n">
        <v>1</v>
      </c>
      <c r="J913" s="42" t="n">
        <v>1</v>
      </c>
      <c r="K913" s="44" t="str">
        <f aca="false">IF(AND(I913=1,J913=1),"两者都跟住",IF(AND(I913=0,J913=1),"仅 PC-TBD 跟住",IF(AND(I913=1,J913=0),"仅 VIT-LPS 跟住","都没跟住")))</f>
        <v>两者都跟住</v>
      </c>
      <c r="L913" s="45" t="n">
        <f aca="false">F913-G913</f>
        <v>-0.122677160362311</v>
      </c>
      <c r="M913" s="46" t="n">
        <v>0.3686365</v>
      </c>
      <c r="N913" s="46" t="n">
        <v>0.1631169</v>
      </c>
      <c r="O913" s="46" t="n">
        <v>0.3485481</v>
      </c>
      <c r="P913" s="46" t="n">
        <v>1.5724656</v>
      </c>
      <c r="Q913" s="46" t="n">
        <v>3.6776939</v>
      </c>
      <c r="R913" s="46" t="n">
        <v>2.9886761</v>
      </c>
      <c r="S913" s="47" t="n">
        <f aca="false">M913+N913+O913</f>
        <v>0.8803015</v>
      </c>
      <c r="T913" s="47" t="n">
        <f aca="false">M913+P913</f>
        <v>1.9411021</v>
      </c>
    </row>
    <row r="914" customFormat="false" ht="15" hidden="false" customHeight="false" outlineLevel="0" collapsed="false">
      <c r="A914" s="42" t="s">
        <v>45</v>
      </c>
      <c r="B914" s="42" t="n">
        <v>-16</v>
      </c>
      <c r="C914" s="42" t="n">
        <v>13</v>
      </c>
      <c r="D914" s="42" t="n">
        <v>74290928</v>
      </c>
      <c r="E914" s="43" t="n">
        <v>0.282436923181719</v>
      </c>
      <c r="F914" s="43" t="n">
        <v>0.733701200026434</v>
      </c>
      <c r="G914" s="43" t="n">
        <v>0.708843734618638</v>
      </c>
      <c r="H914" s="43" t="n">
        <v>0.745431938187418</v>
      </c>
      <c r="I914" s="42" t="n">
        <v>1</v>
      </c>
      <c r="J914" s="42" t="n">
        <v>1</v>
      </c>
      <c r="K914" s="44" t="str">
        <f aca="false">IF(AND(I914=1,J914=1),"两者都跟住",IF(AND(I914=0,J914=1),"仅 PC-TBD 跟住",IF(AND(I914=1,J914=0),"仅 VIT-LPS 跟住","都没跟住")))</f>
        <v>两者都跟住</v>
      </c>
      <c r="L914" s="45" t="n">
        <f aca="false">F914-G914</f>
        <v>0.024857465407796</v>
      </c>
      <c r="M914" s="46" t="n">
        <v>0.3458431</v>
      </c>
      <c r="N914" s="46" t="n">
        <v>0.1539554</v>
      </c>
      <c r="O914" s="46" t="n">
        <v>0.3257202</v>
      </c>
      <c r="P914" s="46" t="n">
        <v>1.5372899</v>
      </c>
      <c r="Q914" s="46" t="n">
        <v>3.934821</v>
      </c>
      <c r="R914" s="46" t="n">
        <v>3.107682</v>
      </c>
      <c r="S914" s="47" t="n">
        <f aca="false">M914+N914+O914</f>
        <v>0.8255187</v>
      </c>
      <c r="T914" s="47" t="n">
        <f aca="false">M914+P914</f>
        <v>1.883133</v>
      </c>
    </row>
    <row r="915" customFormat="false" ht="15" hidden="false" customHeight="false" outlineLevel="0" collapsed="false">
      <c r="A915" s="42" t="s">
        <v>45</v>
      </c>
      <c r="B915" s="42" t="n">
        <v>-16</v>
      </c>
      <c r="C915" s="42" t="n">
        <v>14</v>
      </c>
      <c r="D915" s="42" t="n">
        <v>74290929</v>
      </c>
      <c r="E915" s="43" t="n">
        <v>0.495856211803748</v>
      </c>
      <c r="F915" s="43" t="n">
        <v>0.688950847031062</v>
      </c>
      <c r="G915" s="43" t="n">
        <v>0.717035576623098</v>
      </c>
      <c r="H915" s="43" t="n">
        <v>0.719152684152466</v>
      </c>
      <c r="I915" s="42" t="n">
        <v>1</v>
      </c>
      <c r="J915" s="42" t="n">
        <v>1</v>
      </c>
      <c r="K915" s="44" t="str">
        <f aca="false">IF(AND(I915=1,J915=1),"两者都跟住",IF(AND(I915=0,J915=1),"仅 PC-TBD 跟住",IF(AND(I915=1,J915=0),"仅 VIT-LPS 跟住","都没跟住")))</f>
        <v>两者都跟住</v>
      </c>
      <c r="L915" s="45" t="n">
        <f aca="false">F915-G915</f>
        <v>-0.028084729592036</v>
      </c>
      <c r="M915" s="46" t="n">
        <v>0.4518618</v>
      </c>
      <c r="N915" s="46" t="n">
        <v>0.1720587</v>
      </c>
      <c r="O915" s="46" t="n">
        <v>0.5893433</v>
      </c>
      <c r="P915" s="46" t="n">
        <v>1.3004416</v>
      </c>
      <c r="Q915" s="46" t="n">
        <v>3.5193477</v>
      </c>
      <c r="R915" s="46" t="n">
        <v>2.7298604</v>
      </c>
      <c r="S915" s="47" t="n">
        <f aca="false">M915+N915+O915</f>
        <v>1.2132638</v>
      </c>
      <c r="T915" s="47" t="n">
        <f aca="false">M915+P915</f>
        <v>1.7523034</v>
      </c>
    </row>
    <row r="916" customFormat="false" ht="15" hidden="false" customHeight="false" outlineLevel="0" collapsed="false">
      <c r="A916" s="42" t="s">
        <v>45</v>
      </c>
      <c r="B916" s="42" t="n">
        <v>-16</v>
      </c>
      <c r="C916" s="42" t="n">
        <v>15</v>
      </c>
      <c r="D916" s="42" t="n">
        <v>74290930</v>
      </c>
      <c r="E916" s="43" t="n">
        <v>0.373648561498111</v>
      </c>
      <c r="F916" s="43" t="n">
        <v>0.662403508360763</v>
      </c>
      <c r="G916" s="43" t="n">
        <v>0.608804240663907</v>
      </c>
      <c r="H916" s="43" t="n">
        <v>0.60848984518713</v>
      </c>
      <c r="I916" s="42" t="n">
        <v>1</v>
      </c>
      <c r="J916" s="42" t="n">
        <v>1</v>
      </c>
      <c r="K916" s="44" t="str">
        <f aca="false">IF(AND(I916=1,J916=1),"两者都跟住",IF(AND(I916=0,J916=1),"仅 PC-TBD 跟住",IF(AND(I916=1,J916=0),"仅 VIT-LPS 跟住","都没跟住")))</f>
        <v>两者都跟住</v>
      </c>
      <c r="L916" s="45" t="n">
        <f aca="false">F916-G916</f>
        <v>0.053599267696856</v>
      </c>
      <c r="M916" s="46" t="n">
        <v>0.4237226</v>
      </c>
      <c r="N916" s="46" t="n">
        <v>0.1696574</v>
      </c>
      <c r="O916" s="46" t="n">
        <v>0.4390219</v>
      </c>
      <c r="P916" s="46" t="n">
        <v>1.017107</v>
      </c>
      <c r="Q916" s="46" t="n">
        <v>8.7811074</v>
      </c>
      <c r="R916" s="46" t="n">
        <v>2.8048266</v>
      </c>
      <c r="S916" s="47" t="n">
        <f aca="false">M916+N916+O916</f>
        <v>1.0324019</v>
      </c>
      <c r="T916" s="47" t="n">
        <f aca="false">M916+P916</f>
        <v>1.4408296</v>
      </c>
    </row>
    <row r="917" customFormat="false" ht="15" hidden="false" customHeight="false" outlineLevel="0" collapsed="false">
      <c r="A917" s="42" t="s">
        <v>45</v>
      </c>
      <c r="B917" s="42" t="n">
        <v>-16</v>
      </c>
      <c r="C917" s="42" t="n">
        <v>16</v>
      </c>
      <c r="D917" s="42" t="n">
        <v>74290931</v>
      </c>
      <c r="E917" s="43" t="n">
        <v>0.40341322457508</v>
      </c>
      <c r="F917" s="43" t="n">
        <v>0.689921549007509</v>
      </c>
      <c r="G917" s="43" t="n">
        <v>0.798061803151842</v>
      </c>
      <c r="H917" s="43" t="n">
        <v>0.791360900150523</v>
      </c>
      <c r="I917" s="42" t="n">
        <v>1</v>
      </c>
      <c r="J917" s="42" t="n">
        <v>1</v>
      </c>
      <c r="K917" s="44" t="str">
        <f aca="false">IF(AND(I917=1,J917=1),"两者都跟住",IF(AND(I917=0,J917=1),"仅 PC-TBD 跟住",IF(AND(I917=1,J917=0),"仅 VIT-LPS 跟住","都没跟住")))</f>
        <v>两者都跟住</v>
      </c>
      <c r="L917" s="45" t="n">
        <f aca="false">F917-G917</f>
        <v>-0.108140254144333</v>
      </c>
      <c r="M917" s="46" t="n">
        <v>0.4280724</v>
      </c>
      <c r="N917" s="46" t="n">
        <v>0.1647348</v>
      </c>
      <c r="O917" s="46" t="n">
        <v>0.4886919</v>
      </c>
      <c r="P917" s="46" t="n">
        <v>0.9699297</v>
      </c>
      <c r="Q917" s="46" t="n">
        <v>3.7813388</v>
      </c>
      <c r="R917" s="46" t="n">
        <v>2.5931066</v>
      </c>
      <c r="S917" s="47" t="n">
        <f aca="false">M917+N917+O917</f>
        <v>1.0814991</v>
      </c>
      <c r="T917" s="47" t="n">
        <f aca="false">M917+P917</f>
        <v>1.3980021</v>
      </c>
    </row>
    <row r="918" customFormat="false" ht="15" hidden="false" customHeight="false" outlineLevel="0" collapsed="false">
      <c r="A918" s="42" t="s">
        <v>45</v>
      </c>
      <c r="B918" s="42" t="n">
        <v>-16</v>
      </c>
      <c r="C918" s="42" t="n">
        <v>17</v>
      </c>
      <c r="D918" s="42" t="n">
        <v>74290932</v>
      </c>
      <c r="E918" s="43" t="n">
        <v>0.595522515559045</v>
      </c>
      <c r="F918" s="43" t="n">
        <v>0.657062504274956</v>
      </c>
      <c r="G918" s="43" t="n">
        <v>0.659511767932975</v>
      </c>
      <c r="H918" s="43" t="n">
        <v>0.699851011335382</v>
      </c>
      <c r="I918" s="42" t="n">
        <v>1</v>
      </c>
      <c r="J918" s="42" t="n">
        <v>1</v>
      </c>
      <c r="K918" s="44" t="str">
        <f aca="false">IF(AND(I918=1,J918=1),"两者都跟住",IF(AND(I918=0,J918=1),"仅 PC-TBD 跟住",IF(AND(I918=1,J918=0),"仅 VIT-LPS 跟住","都没跟住")))</f>
        <v>两者都跟住</v>
      </c>
      <c r="L918" s="45" t="n">
        <f aca="false">F918-G918</f>
        <v>-0.0024492636580189</v>
      </c>
      <c r="M918" s="46" t="n">
        <v>0.1685619</v>
      </c>
      <c r="N918" s="46" t="n">
        <v>0.1054873</v>
      </c>
      <c r="O918" s="46" t="n">
        <v>0.3192995</v>
      </c>
      <c r="P918" s="46" t="n">
        <v>0.5727923</v>
      </c>
      <c r="Q918" s="46" t="n">
        <v>1.9497249</v>
      </c>
      <c r="R918" s="46" t="n">
        <v>1.0866774</v>
      </c>
      <c r="S918" s="47" t="n">
        <f aca="false">M918+N918+O918</f>
        <v>0.5933487</v>
      </c>
      <c r="T918" s="47" t="n">
        <f aca="false">M918+P918</f>
        <v>0.7413542</v>
      </c>
    </row>
    <row r="919" customFormat="false" ht="15" hidden="false" customHeight="false" outlineLevel="0" collapsed="false">
      <c r="A919" s="42" t="s">
        <v>45</v>
      </c>
      <c r="B919" s="42" t="n">
        <v>-16</v>
      </c>
      <c r="C919" s="42" t="n">
        <v>18</v>
      </c>
      <c r="D919" s="42" t="n">
        <v>74290933</v>
      </c>
      <c r="E919" s="43" t="n">
        <v>0.324008915170936</v>
      </c>
      <c r="F919" s="43" t="n">
        <v>0.537693948901434</v>
      </c>
      <c r="G919" s="43" t="n">
        <v>0.570858091416129</v>
      </c>
      <c r="H919" s="43" t="n">
        <v>0.619837020443223</v>
      </c>
      <c r="I919" s="42" t="n">
        <v>1</v>
      </c>
      <c r="J919" s="42" t="n">
        <v>1</v>
      </c>
      <c r="K919" s="44" t="str">
        <f aca="false">IF(AND(I919=1,J919=1),"两者都跟住",IF(AND(I919=0,J919=1),"仅 PC-TBD 跟住",IF(AND(I919=1,J919=0),"仅 VIT-LPS 跟住","都没跟住")))</f>
        <v>两者都跟住</v>
      </c>
      <c r="L919" s="45" t="n">
        <f aca="false">F919-G919</f>
        <v>-0.033164142514695</v>
      </c>
      <c r="M919" s="46" t="n">
        <v>0.2210364</v>
      </c>
      <c r="N919" s="46" t="n">
        <v>0.1046023</v>
      </c>
      <c r="O919" s="46" t="n">
        <v>0.2716663</v>
      </c>
      <c r="P919" s="46" t="n">
        <v>0.840482</v>
      </c>
      <c r="Q919" s="46" t="n">
        <v>2.6691987</v>
      </c>
      <c r="R919" s="46" t="n">
        <v>2.0070429</v>
      </c>
      <c r="S919" s="47" t="n">
        <f aca="false">M919+N919+O919</f>
        <v>0.597305</v>
      </c>
      <c r="T919" s="47" t="n">
        <f aca="false">M919+P919</f>
        <v>1.0615184</v>
      </c>
    </row>
    <row r="920" customFormat="false" ht="15" hidden="false" customHeight="false" outlineLevel="0" collapsed="false">
      <c r="A920" s="42" t="s">
        <v>45</v>
      </c>
      <c r="B920" s="42" t="n">
        <v>-16</v>
      </c>
      <c r="C920" s="42" t="n">
        <v>19</v>
      </c>
      <c r="D920" s="42" t="n">
        <v>74290934</v>
      </c>
      <c r="E920" s="43" t="n">
        <v>0.453103821585106</v>
      </c>
      <c r="F920" s="43" t="n">
        <v>0.650530142900433</v>
      </c>
      <c r="G920" s="43" t="n">
        <v>0.607154286209611</v>
      </c>
      <c r="H920" s="43" t="n">
        <v>0.626840088212343</v>
      </c>
      <c r="I920" s="42" t="n">
        <v>1</v>
      </c>
      <c r="J920" s="42" t="n">
        <v>0</v>
      </c>
      <c r="K920" s="44" t="str">
        <f aca="false">IF(AND(I920=1,J920=1),"两者都跟住",IF(AND(I920=0,J920=1),"仅 PC-TBD 跟住",IF(AND(I920=1,J920=0),"仅 VIT-LPS 跟住","都没跟住")))</f>
        <v>仅 VIT-LPS 跟住</v>
      </c>
      <c r="L920" s="45" t="n">
        <f aca="false">F920-G920</f>
        <v>0.043375856690822</v>
      </c>
      <c r="M920" s="46" t="n">
        <v>0.2386119</v>
      </c>
      <c r="N920" s="46" t="n">
        <v>0.1599432</v>
      </c>
      <c r="O920" s="46" t="n">
        <v>0.3092386</v>
      </c>
      <c r="P920" s="46" t="n">
        <v>0.6862098</v>
      </c>
      <c r="Q920" s="46" t="n">
        <v>3.2573735</v>
      </c>
      <c r="R920" s="46" t="n">
        <v>2.5213861</v>
      </c>
      <c r="S920" s="47" t="n">
        <f aca="false">M920+N920+O920</f>
        <v>0.7077937</v>
      </c>
      <c r="T920" s="47" t="n">
        <f aca="false">M920+P920</f>
        <v>0.9248217</v>
      </c>
    </row>
    <row r="921" customFormat="false" ht="15" hidden="false" customHeight="false" outlineLevel="0" collapsed="false">
      <c r="A921" s="42" t="s">
        <v>45</v>
      </c>
      <c r="B921" s="42" t="n">
        <v>-16</v>
      </c>
      <c r="C921" s="42" t="n">
        <v>20</v>
      </c>
      <c r="D921" s="42" t="n">
        <v>74290935</v>
      </c>
      <c r="E921" s="43" t="n">
        <v>0.64470952821945</v>
      </c>
      <c r="F921" s="43" t="n">
        <v>0.72441652505595</v>
      </c>
      <c r="G921" s="43" t="n">
        <v>0.729200365231377</v>
      </c>
      <c r="H921" s="43" t="n">
        <v>0.753738119737213</v>
      </c>
      <c r="I921" s="42" t="n">
        <v>1</v>
      </c>
      <c r="J921" s="42" t="n">
        <v>1</v>
      </c>
      <c r="K921" s="44" t="str">
        <f aca="false">IF(AND(I921=1,J921=1),"两者都跟住",IF(AND(I921=0,J921=1),"仅 PC-TBD 跟住",IF(AND(I921=1,J921=0),"仅 VIT-LPS 跟住","都没跟住")))</f>
        <v>两者都跟住</v>
      </c>
      <c r="L921" s="45" t="n">
        <f aca="false">F921-G921</f>
        <v>-0.00478384017542699</v>
      </c>
      <c r="M921" s="46" t="n">
        <v>0.1897871</v>
      </c>
      <c r="N921" s="46" t="n">
        <v>0.1353241</v>
      </c>
      <c r="O921" s="46" t="n">
        <v>0.3000707</v>
      </c>
      <c r="P921" s="46" t="n">
        <v>0.6472445</v>
      </c>
      <c r="Q921" s="46" t="n">
        <v>2.1533415</v>
      </c>
      <c r="R921" s="46" t="n">
        <v>2.4731775</v>
      </c>
      <c r="S921" s="47" t="n">
        <f aca="false">M921+N921+O921</f>
        <v>0.6251819</v>
      </c>
      <c r="T921" s="47" t="n">
        <f aca="false">M921+P921</f>
        <v>0.8370316</v>
      </c>
    </row>
    <row r="922" customFormat="false" ht="15" hidden="false" customHeight="false" outlineLevel="0" collapsed="false">
      <c r="A922" s="42" t="s">
        <v>45</v>
      </c>
      <c r="B922" s="42" t="n">
        <v>-16</v>
      </c>
      <c r="C922" s="42" t="n">
        <v>21</v>
      </c>
      <c r="D922" s="42" t="n">
        <v>74290936</v>
      </c>
      <c r="E922" s="43" t="n">
        <v>0.562868738436209</v>
      </c>
      <c r="F922" s="43" t="n">
        <v>0.630154418988604</v>
      </c>
      <c r="G922" s="43" t="n">
        <v>0.694153567120033</v>
      </c>
      <c r="H922" s="43" t="n">
        <v>0.708728361923941</v>
      </c>
      <c r="I922" s="42" t="n">
        <v>1</v>
      </c>
      <c r="J922" s="42" t="n">
        <v>1</v>
      </c>
      <c r="K922" s="44" t="str">
        <f aca="false">IF(AND(I922=1,J922=1),"两者都跟住",IF(AND(I922=0,J922=1),"仅 PC-TBD 跟住",IF(AND(I922=1,J922=0),"仅 VIT-LPS 跟住","都没跟住")))</f>
        <v>两者都跟住</v>
      </c>
      <c r="L922" s="45" t="n">
        <f aca="false">F922-G922</f>
        <v>-0.0639991481314289</v>
      </c>
      <c r="M922" s="46" t="n">
        <v>0.2626038</v>
      </c>
      <c r="N922" s="46" t="n">
        <v>0.1166957</v>
      </c>
      <c r="O922" s="46" t="n">
        <v>0.5503252</v>
      </c>
      <c r="P922" s="46" t="n">
        <v>0.6406553</v>
      </c>
      <c r="Q922" s="46" t="n">
        <v>2.8668906</v>
      </c>
      <c r="R922" s="46" t="n">
        <v>2.3482523</v>
      </c>
      <c r="S922" s="47" t="n">
        <f aca="false">M922+N922+O922</f>
        <v>0.9296247</v>
      </c>
      <c r="T922" s="47" t="n">
        <f aca="false">M922+P922</f>
        <v>0.9032591</v>
      </c>
    </row>
    <row r="923" customFormat="false" ht="15" hidden="false" customHeight="false" outlineLevel="0" collapsed="false">
      <c r="A923" s="42" t="s">
        <v>45</v>
      </c>
      <c r="B923" s="42" t="n">
        <v>-16</v>
      </c>
      <c r="C923" s="42" t="n">
        <v>22</v>
      </c>
      <c r="D923" s="42" t="n">
        <v>74290937</v>
      </c>
      <c r="E923" s="43" t="n">
        <v>0.601506440693354</v>
      </c>
      <c r="F923" s="43" t="n">
        <v>0.698150523489954</v>
      </c>
      <c r="G923" s="43" t="n">
        <v>0.807396011977651</v>
      </c>
      <c r="H923" s="43" t="n">
        <v>0.779321025931515</v>
      </c>
      <c r="I923" s="42" t="n">
        <v>1</v>
      </c>
      <c r="J923" s="42" t="n">
        <v>1</v>
      </c>
      <c r="K923" s="44" t="str">
        <f aca="false">IF(AND(I923=1,J923=1),"两者都跟住",IF(AND(I923=0,J923=1),"仅 PC-TBD 跟住",IF(AND(I923=1,J923=0),"仅 VIT-LPS 跟住","都没跟住")))</f>
        <v>两者都跟住</v>
      </c>
      <c r="L923" s="45" t="n">
        <f aca="false">F923-G923</f>
        <v>-0.109245488487697</v>
      </c>
      <c r="M923" s="46" t="n">
        <v>0.2860262</v>
      </c>
      <c r="N923" s="46" t="n">
        <v>0.1120108</v>
      </c>
      <c r="O923" s="46" t="n">
        <v>0.5654136</v>
      </c>
      <c r="P923" s="46" t="n">
        <v>0.743905</v>
      </c>
      <c r="Q923" s="46" t="n">
        <v>2.2683217</v>
      </c>
      <c r="R923" s="46" t="n">
        <v>2.1566829</v>
      </c>
      <c r="S923" s="47" t="n">
        <f aca="false">M923+N923+O923</f>
        <v>0.9634506</v>
      </c>
      <c r="T923" s="47" t="n">
        <f aca="false">M923+P923</f>
        <v>1.0299312</v>
      </c>
    </row>
    <row r="924" customFormat="false" ht="15" hidden="false" customHeight="false" outlineLevel="0" collapsed="false">
      <c r="A924" s="42" t="s">
        <v>45</v>
      </c>
      <c r="B924" s="42" t="n">
        <v>-16</v>
      </c>
      <c r="C924" s="42" t="n">
        <v>23</v>
      </c>
      <c r="D924" s="42" t="n">
        <v>74290938</v>
      </c>
      <c r="E924" s="43" t="n">
        <v>0.734344685336594</v>
      </c>
      <c r="F924" s="43" t="n">
        <v>0.78153376794133</v>
      </c>
      <c r="G924" s="43" t="n">
        <v>0.797474723413278</v>
      </c>
      <c r="H924" s="43" t="n">
        <v>0.783809525357511</v>
      </c>
      <c r="I924" s="42" t="n">
        <v>1</v>
      </c>
      <c r="J924" s="42" t="n">
        <v>1</v>
      </c>
      <c r="K924" s="44" t="str">
        <f aca="false">IF(AND(I924=1,J924=1),"两者都跟住",IF(AND(I924=0,J924=1),"仅 PC-TBD 跟住",IF(AND(I924=1,J924=0),"仅 VIT-LPS 跟住","都没跟住")))</f>
        <v>两者都跟住</v>
      </c>
      <c r="L924" s="45" t="n">
        <f aca="false">F924-G924</f>
        <v>-0.015940955471948</v>
      </c>
      <c r="M924" s="46" t="n">
        <v>0.2469039</v>
      </c>
      <c r="N924" s="46" t="n">
        <v>0.1510658</v>
      </c>
      <c r="O924" s="46" t="n">
        <v>0.3473638</v>
      </c>
      <c r="P924" s="46" t="n">
        <v>0.7077893</v>
      </c>
      <c r="Q924" s="46" t="n">
        <v>2.7684644</v>
      </c>
      <c r="R924" s="46" t="n">
        <v>2.4875011</v>
      </c>
      <c r="S924" s="47" t="n">
        <f aca="false">M924+N924+O924</f>
        <v>0.7453335</v>
      </c>
      <c r="T924" s="47" t="n">
        <f aca="false">M924+P924</f>
        <v>0.9546932</v>
      </c>
    </row>
    <row r="925" customFormat="false" ht="15" hidden="false" customHeight="false" outlineLevel="0" collapsed="false">
      <c r="A925" s="42" t="s">
        <v>45</v>
      </c>
      <c r="B925" s="42" t="n">
        <v>-16</v>
      </c>
      <c r="C925" s="42" t="n">
        <v>24</v>
      </c>
      <c r="D925" s="42" t="n">
        <v>74290939</v>
      </c>
      <c r="E925" s="43" t="n">
        <v>0.486687142311062</v>
      </c>
      <c r="F925" s="43" t="n">
        <v>0.651319827084707</v>
      </c>
      <c r="G925" s="43" t="n">
        <v>0.697932800965723</v>
      </c>
      <c r="H925" s="43" t="n">
        <v>0.702628960812495</v>
      </c>
      <c r="I925" s="42" t="n">
        <v>1</v>
      </c>
      <c r="J925" s="42" t="n">
        <v>1</v>
      </c>
      <c r="K925" s="44" t="str">
        <f aca="false">IF(AND(I925=1,J925=1),"两者都跟住",IF(AND(I925=0,J925=1),"仅 PC-TBD 跟住",IF(AND(I925=1,J925=0),"仅 VIT-LPS 跟住","都没跟住")))</f>
        <v>两者都跟住</v>
      </c>
      <c r="L925" s="45" t="n">
        <f aca="false">F925-G925</f>
        <v>-0.0466129738810159</v>
      </c>
      <c r="M925" s="46" t="n">
        <v>0.2602501</v>
      </c>
      <c r="N925" s="46" t="n">
        <v>0.1358323</v>
      </c>
      <c r="O925" s="46" t="n">
        <v>0.6129106</v>
      </c>
      <c r="P925" s="46" t="n">
        <v>0.7321783</v>
      </c>
      <c r="Q925" s="46" t="n">
        <v>2.7629151</v>
      </c>
      <c r="R925" s="46" t="n">
        <v>4.5941807</v>
      </c>
      <c r="S925" s="47" t="n">
        <f aca="false">M925+N925+O925</f>
        <v>1.008993</v>
      </c>
      <c r="T925" s="47" t="n">
        <f aca="false">M925+P925</f>
        <v>0.9924284</v>
      </c>
    </row>
    <row r="926" customFormat="false" ht="15" hidden="false" customHeight="false" outlineLevel="0" collapsed="false">
      <c r="A926" s="42" t="s">
        <v>45</v>
      </c>
      <c r="B926" s="42" t="n">
        <v>-16</v>
      </c>
      <c r="C926" s="42" t="n">
        <v>25</v>
      </c>
      <c r="D926" s="42" t="n">
        <v>74290940</v>
      </c>
      <c r="E926" s="43" t="n">
        <v>0.234768024081692</v>
      </c>
      <c r="F926" s="43" t="n">
        <v>0.557423395907353</v>
      </c>
      <c r="G926" s="43" t="n">
        <v>0.593563409549312</v>
      </c>
      <c r="H926" s="43" t="n">
        <v>0.626302586679414</v>
      </c>
      <c r="I926" s="42" t="n">
        <v>1</v>
      </c>
      <c r="J926" s="42" t="n">
        <v>1</v>
      </c>
      <c r="K926" s="44" t="str">
        <f aca="false">IF(AND(I926=1,J926=1),"两者都跟住",IF(AND(I926=0,J926=1),"仅 PC-TBD 跟住",IF(AND(I926=1,J926=0),"仅 VIT-LPS 跟住","都没跟住")))</f>
        <v>两者都跟住</v>
      </c>
      <c r="L926" s="45" t="n">
        <f aca="false">F926-G926</f>
        <v>-0.036140013641959</v>
      </c>
      <c r="M926" s="46" t="n">
        <v>0.2271044</v>
      </c>
      <c r="N926" s="46" t="n">
        <v>0.1452069</v>
      </c>
      <c r="O926" s="46" t="n">
        <v>0.2700763</v>
      </c>
      <c r="P926" s="46" t="n">
        <v>0.8840058</v>
      </c>
      <c r="Q926" s="46" t="n">
        <v>2.7505386</v>
      </c>
      <c r="R926" s="46" t="n">
        <v>2.933235</v>
      </c>
      <c r="S926" s="47" t="n">
        <f aca="false">M926+N926+O926</f>
        <v>0.6423876</v>
      </c>
      <c r="T926" s="47" t="n">
        <f aca="false">M926+P926</f>
        <v>1.1111102</v>
      </c>
    </row>
    <row r="927" customFormat="false" ht="15" hidden="false" customHeight="false" outlineLevel="0" collapsed="false">
      <c r="A927" s="42" t="s">
        <v>45</v>
      </c>
      <c r="B927" s="42" t="n">
        <v>-16</v>
      </c>
      <c r="C927" s="42" t="n">
        <v>26</v>
      </c>
      <c r="D927" s="42" t="n">
        <v>74290941</v>
      </c>
      <c r="E927" s="43" t="n">
        <v>0.436990035171432</v>
      </c>
      <c r="F927" s="43" t="n">
        <v>0.743413439139362</v>
      </c>
      <c r="G927" s="43" t="n">
        <v>0.664375255681348</v>
      </c>
      <c r="H927" s="43" t="n">
        <v>0.698893949822815</v>
      </c>
      <c r="I927" s="42" t="n">
        <v>1</v>
      </c>
      <c r="J927" s="42" t="n">
        <v>0</v>
      </c>
      <c r="K927" s="44" t="str">
        <f aca="false">IF(AND(I927=1,J927=1),"两者都跟住",IF(AND(I927=0,J927=1),"仅 PC-TBD 跟住",IF(AND(I927=1,J927=0),"仅 VIT-LPS 跟住","都没跟住")))</f>
        <v>仅 VIT-LPS 跟住</v>
      </c>
      <c r="L927" s="45" t="n">
        <f aca="false">F927-G927</f>
        <v>0.0790381834580139</v>
      </c>
      <c r="M927" s="46" t="n">
        <v>0.291977</v>
      </c>
      <c r="N927" s="46" t="n">
        <v>0.1357607</v>
      </c>
      <c r="O927" s="46" t="n">
        <v>0.2696917</v>
      </c>
      <c r="P927" s="46" t="n">
        <v>0.7307102</v>
      </c>
      <c r="Q927" s="46" t="n">
        <v>2.9150266</v>
      </c>
      <c r="R927" s="46" t="n">
        <v>3.3324996</v>
      </c>
      <c r="S927" s="47" t="n">
        <f aca="false">M927+N927+O927</f>
        <v>0.6974294</v>
      </c>
      <c r="T927" s="47" t="n">
        <f aca="false">M927+P927</f>
        <v>1.0226872</v>
      </c>
    </row>
    <row r="928" customFormat="false" ht="15" hidden="false" customHeight="false" outlineLevel="0" collapsed="false">
      <c r="A928" s="42" t="s">
        <v>45</v>
      </c>
      <c r="B928" s="42" t="n">
        <v>-16</v>
      </c>
      <c r="C928" s="42" t="n">
        <v>27</v>
      </c>
      <c r="D928" s="42" t="n">
        <v>74290942</v>
      </c>
      <c r="E928" s="43" t="n">
        <v>0.435316757717179</v>
      </c>
      <c r="F928" s="43" t="n">
        <v>0.656862395579027</v>
      </c>
      <c r="G928" s="43" t="n">
        <v>0.722261230136404</v>
      </c>
      <c r="H928" s="43" t="n">
        <v>0.715327737818271</v>
      </c>
      <c r="I928" s="42" t="n">
        <v>1</v>
      </c>
      <c r="J928" s="42" t="n">
        <v>1</v>
      </c>
      <c r="K928" s="44" t="str">
        <f aca="false">IF(AND(I928=1,J928=1),"两者都跟住",IF(AND(I928=0,J928=1),"仅 PC-TBD 跟住",IF(AND(I928=1,J928=0),"仅 VIT-LPS 跟住","都没跟住")))</f>
        <v>两者都跟住</v>
      </c>
      <c r="L928" s="45" t="n">
        <f aca="false">F928-G928</f>
        <v>-0.0653988345573769</v>
      </c>
      <c r="M928" s="46" t="n">
        <v>0.2247477</v>
      </c>
      <c r="N928" s="46" t="n">
        <v>0.1747652</v>
      </c>
      <c r="O928" s="46" t="n">
        <v>0.3736903</v>
      </c>
      <c r="P928" s="46" t="n">
        <v>0.6600085</v>
      </c>
      <c r="Q928" s="46" t="n">
        <v>4.0989281</v>
      </c>
      <c r="R928" s="46" t="n">
        <v>1.8756783</v>
      </c>
      <c r="S928" s="47" t="n">
        <f aca="false">M928+N928+O928</f>
        <v>0.7732032</v>
      </c>
      <c r="T928" s="47" t="n">
        <f aca="false">M928+P928</f>
        <v>0.8847562</v>
      </c>
    </row>
    <row r="929" customFormat="false" ht="15" hidden="false" customHeight="false" outlineLevel="0" collapsed="false">
      <c r="A929" s="42" t="s">
        <v>45</v>
      </c>
      <c r="B929" s="42" t="n">
        <v>-16</v>
      </c>
      <c r="C929" s="42" t="n">
        <v>28</v>
      </c>
      <c r="D929" s="42" t="n">
        <v>74290943</v>
      </c>
      <c r="E929" s="43" t="n">
        <v>0.479320085831716</v>
      </c>
      <c r="F929" s="43" t="n">
        <v>0.655019667366967</v>
      </c>
      <c r="G929" s="43" t="n">
        <v>0.729169252298803</v>
      </c>
      <c r="H929" s="43" t="n">
        <v>0.758189348974262</v>
      </c>
      <c r="I929" s="42" t="n">
        <v>1</v>
      </c>
      <c r="J929" s="42" t="n">
        <v>1</v>
      </c>
      <c r="K929" s="44" t="str">
        <f aca="false">IF(AND(I929=1,J929=1),"两者都跟住",IF(AND(I929=0,J929=1),"仅 PC-TBD 跟住",IF(AND(I929=1,J929=0),"仅 VIT-LPS 跟住","都没跟住")))</f>
        <v>两者都跟住</v>
      </c>
      <c r="L929" s="45" t="n">
        <f aca="false">F929-G929</f>
        <v>-0.074149584931836</v>
      </c>
      <c r="M929" s="46" t="n">
        <v>0.2585412</v>
      </c>
      <c r="N929" s="46" t="n">
        <v>0.1579949</v>
      </c>
      <c r="O929" s="46" t="n">
        <v>0.2994431</v>
      </c>
      <c r="P929" s="46" t="n">
        <v>1.1478427</v>
      </c>
      <c r="Q929" s="46" t="n">
        <v>2.6720612</v>
      </c>
      <c r="R929" s="46" t="n">
        <v>2.1777117</v>
      </c>
      <c r="S929" s="47" t="n">
        <f aca="false">M929+N929+O929</f>
        <v>0.7159792</v>
      </c>
      <c r="T929" s="47" t="n">
        <f aca="false">M929+P929</f>
        <v>1.4063839</v>
      </c>
    </row>
    <row r="930" customFormat="false" ht="15" hidden="false" customHeight="false" outlineLevel="0" collapsed="false">
      <c r="A930" s="42" t="s">
        <v>45</v>
      </c>
      <c r="B930" s="42" t="n">
        <v>-16</v>
      </c>
      <c r="C930" s="42" t="n">
        <v>29</v>
      </c>
      <c r="D930" s="42" t="n">
        <v>74290944</v>
      </c>
      <c r="E930" s="43" t="n">
        <v>0.569317639913798</v>
      </c>
      <c r="F930" s="43" t="n">
        <v>0.64227669236442</v>
      </c>
      <c r="G930" s="43" t="n">
        <v>0.720585174918848</v>
      </c>
      <c r="H930" s="43" t="n">
        <v>0.712262509073728</v>
      </c>
      <c r="I930" s="42" t="n">
        <v>1</v>
      </c>
      <c r="J930" s="42" t="n">
        <v>1</v>
      </c>
      <c r="K930" s="44" t="str">
        <f aca="false">IF(AND(I930=1,J930=1),"两者都跟住",IF(AND(I930=0,J930=1),"仅 PC-TBD 跟住",IF(AND(I930=1,J930=0),"仅 VIT-LPS 跟住","都没跟住")))</f>
        <v>两者都跟住</v>
      </c>
      <c r="L930" s="45" t="n">
        <f aca="false">F930-G930</f>
        <v>-0.078308482554428</v>
      </c>
      <c r="M930" s="46" t="n">
        <v>0.3030774</v>
      </c>
      <c r="N930" s="46" t="n">
        <v>0.1503128</v>
      </c>
      <c r="O930" s="46" t="n">
        <v>0.3476448</v>
      </c>
      <c r="P930" s="46" t="n">
        <v>1.0750375</v>
      </c>
      <c r="Q930" s="46" t="n">
        <v>2.7358642</v>
      </c>
      <c r="R930" s="46" t="n">
        <v>1.9840774</v>
      </c>
      <c r="S930" s="47" t="n">
        <f aca="false">M930+N930+O930</f>
        <v>0.801035</v>
      </c>
      <c r="T930" s="47" t="n">
        <f aca="false">M930+P930</f>
        <v>1.3781149</v>
      </c>
    </row>
    <row r="931" customFormat="false" ht="15" hidden="false" customHeight="false" outlineLevel="0" collapsed="false">
      <c r="A931" s="42" t="s">
        <v>45</v>
      </c>
      <c r="B931" s="42" t="n">
        <v>-16</v>
      </c>
      <c r="C931" s="42" t="n">
        <v>30</v>
      </c>
      <c r="D931" s="42" t="n">
        <v>74290945</v>
      </c>
      <c r="E931" s="43" t="n">
        <v>0.499229831683493</v>
      </c>
      <c r="F931" s="43" t="n">
        <v>0.655653802451121</v>
      </c>
      <c r="G931" s="43" t="n">
        <v>0.559252665259342</v>
      </c>
      <c r="H931" s="43" t="n">
        <v>0.555861086599317</v>
      </c>
      <c r="I931" s="42" t="n">
        <v>1</v>
      </c>
      <c r="J931" s="42" t="n">
        <v>0</v>
      </c>
      <c r="K931" s="44" t="str">
        <f aca="false">IF(AND(I931=1,J931=1),"两者都跟住",IF(AND(I931=0,J931=1),"仅 PC-TBD 跟住",IF(AND(I931=1,J931=0),"仅 VIT-LPS 跟住","都没跟住")))</f>
        <v>仅 VIT-LPS 跟住</v>
      </c>
      <c r="L931" s="45" t="n">
        <f aca="false">F931-G931</f>
        <v>0.096401137191779</v>
      </c>
      <c r="M931" s="46" t="n">
        <v>0.2231751</v>
      </c>
      <c r="N931" s="46" t="n">
        <v>0.1716304</v>
      </c>
      <c r="O931" s="46" t="n">
        <v>0.6493808</v>
      </c>
      <c r="P931" s="46" t="n">
        <v>0.8399921</v>
      </c>
      <c r="Q931" s="46" t="n">
        <v>5.0156807</v>
      </c>
      <c r="R931" s="46" t="n">
        <v>1.4485653</v>
      </c>
      <c r="S931" s="47" t="n">
        <f aca="false">M931+N931+O931</f>
        <v>1.0441863</v>
      </c>
      <c r="T931" s="47" t="n">
        <f aca="false">M931+P931</f>
        <v>1.0631672</v>
      </c>
    </row>
    <row r="932" customFormat="false" ht="15" hidden="false" customHeight="false" outlineLevel="0" collapsed="false">
      <c r="A932" s="42" t="s">
        <v>45</v>
      </c>
      <c r="B932" s="42" t="n">
        <v>-16</v>
      </c>
      <c r="C932" s="42" t="n">
        <v>31</v>
      </c>
      <c r="D932" s="42" t="n">
        <v>74290946</v>
      </c>
      <c r="E932" s="43" t="n">
        <v>0.502113095063153</v>
      </c>
      <c r="F932" s="43" t="n">
        <v>0.706822521060349</v>
      </c>
      <c r="G932" s="43" t="n">
        <v>0.702418433560134</v>
      </c>
      <c r="H932" s="43" t="n">
        <v>0.704598439611876</v>
      </c>
      <c r="I932" s="42" t="n">
        <v>1</v>
      </c>
      <c r="J932" s="42" t="n">
        <v>0</v>
      </c>
      <c r="K932" s="44" t="str">
        <f aca="false">IF(AND(I932=1,J932=1),"两者都跟住",IF(AND(I932=0,J932=1),"仅 PC-TBD 跟住",IF(AND(I932=1,J932=0),"仅 VIT-LPS 跟住","都没跟住")))</f>
        <v>仅 VIT-LPS 跟住</v>
      </c>
      <c r="L932" s="45" t="n">
        <f aca="false">F932-G932</f>
        <v>0.00440408750021504</v>
      </c>
      <c r="M932" s="46" t="n">
        <v>0.2921086</v>
      </c>
      <c r="N932" s="46" t="n">
        <v>0.154816</v>
      </c>
      <c r="O932" s="46" t="n">
        <v>0.5217108</v>
      </c>
      <c r="P932" s="46" t="n">
        <v>0.6642898</v>
      </c>
      <c r="Q932" s="46" t="n">
        <v>2.7076504</v>
      </c>
      <c r="R932" s="46" t="n">
        <v>3.0834584</v>
      </c>
      <c r="S932" s="47" t="n">
        <f aca="false">M932+N932+O932</f>
        <v>0.9686354</v>
      </c>
      <c r="T932" s="47" t="n">
        <f aca="false">M932+P932</f>
        <v>0.9563984</v>
      </c>
    </row>
    <row r="933" customFormat="false" ht="15" hidden="false" customHeight="false" outlineLevel="0" collapsed="false">
      <c r="A933" s="42" t="s">
        <v>45</v>
      </c>
      <c r="B933" s="42" t="n">
        <v>-16</v>
      </c>
      <c r="C933" s="42" t="n">
        <v>32</v>
      </c>
      <c r="D933" s="42" t="n">
        <v>74290947</v>
      </c>
      <c r="E933" s="43" t="n">
        <v>0.661441407454563</v>
      </c>
      <c r="F933" s="43" t="n">
        <v>0.716316643833768</v>
      </c>
      <c r="G933" s="43" t="n">
        <v>0.715215551398806</v>
      </c>
      <c r="H933" s="43" t="n">
        <v>0.735034411068093</v>
      </c>
      <c r="I933" s="42" t="n">
        <v>1</v>
      </c>
      <c r="J933" s="42" t="n">
        <v>1</v>
      </c>
      <c r="K933" s="44" t="str">
        <f aca="false">IF(AND(I933=1,J933=1),"两者都跟住",IF(AND(I933=0,J933=1),"仅 PC-TBD 跟住",IF(AND(I933=1,J933=0),"仅 VIT-LPS 跟住","都没跟住")))</f>
        <v>两者都跟住</v>
      </c>
      <c r="L933" s="45" t="n">
        <f aca="false">F933-G933</f>
        <v>0.00110109243496204</v>
      </c>
      <c r="M933" s="46" t="n">
        <v>0.2850601</v>
      </c>
      <c r="N933" s="46" t="n">
        <v>0.1370319</v>
      </c>
      <c r="O933" s="46" t="n">
        <v>0.5074526</v>
      </c>
      <c r="P933" s="46" t="n">
        <v>0.7082415</v>
      </c>
      <c r="Q933" s="46" t="n">
        <v>3.003925</v>
      </c>
      <c r="R933" s="46" t="n">
        <v>3.3698944</v>
      </c>
      <c r="S933" s="47" t="n">
        <f aca="false">M933+N933+O933</f>
        <v>0.9295446</v>
      </c>
      <c r="T933" s="47" t="n">
        <f aca="false">M933+P933</f>
        <v>0.9933016</v>
      </c>
    </row>
    <row r="934" customFormat="false" ht="15" hidden="false" customHeight="false" outlineLevel="0" collapsed="false">
      <c r="A934" s="42" t="s">
        <v>45</v>
      </c>
      <c r="B934" s="42" t="n">
        <v>-16</v>
      </c>
      <c r="C934" s="42" t="n">
        <v>33</v>
      </c>
      <c r="D934" s="42" t="n">
        <v>74290948</v>
      </c>
      <c r="E934" s="43" t="n">
        <v>0.639337456218556</v>
      </c>
      <c r="F934" s="43" t="n">
        <v>0.734442202595159</v>
      </c>
      <c r="G934" s="43" t="n">
        <v>0.728126387182484</v>
      </c>
      <c r="H934" s="43" t="n">
        <v>0.762307721670624</v>
      </c>
      <c r="I934" s="42" t="n">
        <v>1</v>
      </c>
      <c r="J934" s="42" t="n">
        <v>1</v>
      </c>
      <c r="K934" s="44" t="str">
        <f aca="false">IF(AND(I934=1,J934=1),"两者都跟住",IF(AND(I934=0,J934=1),"仅 PC-TBD 跟住",IF(AND(I934=1,J934=0),"仅 VIT-LPS 跟住","都没跟住")))</f>
        <v>两者都跟住</v>
      </c>
      <c r="L934" s="45" t="n">
        <f aca="false">F934-G934</f>
        <v>0.00631581541267501</v>
      </c>
      <c r="M934" s="46" t="n">
        <v>0.2828488</v>
      </c>
      <c r="N934" s="46" t="n">
        <v>0.1599222</v>
      </c>
      <c r="O934" s="46" t="n">
        <v>0.5350069</v>
      </c>
      <c r="P934" s="46" t="n">
        <v>0.7276014</v>
      </c>
      <c r="Q934" s="46" t="n">
        <v>2.9149777</v>
      </c>
      <c r="R934" s="46" t="n">
        <v>3.0927705</v>
      </c>
      <c r="S934" s="47" t="n">
        <f aca="false">M934+N934+O934</f>
        <v>0.9777779</v>
      </c>
      <c r="T934" s="47" t="n">
        <f aca="false">M934+P934</f>
        <v>1.0104502</v>
      </c>
    </row>
    <row r="935" customFormat="false" ht="15" hidden="false" customHeight="false" outlineLevel="0" collapsed="false">
      <c r="A935" s="42" t="s">
        <v>45</v>
      </c>
      <c r="B935" s="42" t="n">
        <v>-16</v>
      </c>
      <c r="C935" s="42" t="n">
        <v>34</v>
      </c>
      <c r="D935" s="42" t="n">
        <v>74290949</v>
      </c>
      <c r="E935" s="43" t="n">
        <v>0.562369826399678</v>
      </c>
      <c r="F935" s="43" t="n">
        <v>0.732676246373181</v>
      </c>
      <c r="G935" s="43" t="n">
        <v>0.738244370303983</v>
      </c>
      <c r="H935" s="43" t="n">
        <v>0.770452695721812</v>
      </c>
      <c r="I935" s="42" t="n">
        <v>1</v>
      </c>
      <c r="J935" s="42" t="n">
        <v>1</v>
      </c>
      <c r="K935" s="44" t="str">
        <f aca="false">IF(AND(I935=1,J935=1),"两者都跟住",IF(AND(I935=0,J935=1),"仅 PC-TBD 跟住",IF(AND(I935=1,J935=0),"仅 VIT-LPS 跟住","都没跟住")))</f>
        <v>两者都跟住</v>
      </c>
      <c r="L935" s="45" t="n">
        <f aca="false">F935-G935</f>
        <v>-0.00556812393080208</v>
      </c>
      <c r="M935" s="46" t="n">
        <v>0.2633738</v>
      </c>
      <c r="N935" s="46" t="n">
        <v>0.1235686</v>
      </c>
      <c r="O935" s="46" t="n">
        <v>0.4709817</v>
      </c>
      <c r="P935" s="46" t="n">
        <v>0.7406809</v>
      </c>
      <c r="Q935" s="46" t="n">
        <v>2.5448329</v>
      </c>
      <c r="R935" s="46" t="n">
        <v>3.0064524</v>
      </c>
      <c r="S935" s="47" t="n">
        <f aca="false">M935+N935+O935</f>
        <v>0.8579241</v>
      </c>
      <c r="T935" s="47" t="n">
        <f aca="false">M935+P935</f>
        <v>1.0040547</v>
      </c>
    </row>
    <row r="936" customFormat="false" ht="15" hidden="false" customHeight="false" outlineLevel="0" collapsed="false">
      <c r="A936" s="42" t="s">
        <v>45</v>
      </c>
      <c r="B936" s="42" t="n">
        <v>-16</v>
      </c>
      <c r="C936" s="42" t="n">
        <v>35</v>
      </c>
      <c r="D936" s="42" t="n">
        <v>74290950</v>
      </c>
      <c r="E936" s="43" t="n">
        <v>0.6006067559056</v>
      </c>
      <c r="F936" s="43" t="n">
        <v>0.491278170429575</v>
      </c>
      <c r="G936" s="43" t="n">
        <v>0.57372152376844</v>
      </c>
      <c r="H936" s="43" t="n">
        <v>0.61894824361559</v>
      </c>
      <c r="I936" s="42" t="n">
        <v>1</v>
      </c>
      <c r="J936" s="42" t="n">
        <v>0</v>
      </c>
      <c r="K936" s="44" t="str">
        <f aca="false">IF(AND(I936=1,J936=1),"两者都跟住",IF(AND(I936=0,J936=1),"仅 PC-TBD 跟住",IF(AND(I936=1,J936=0),"仅 VIT-LPS 跟住","都没跟住")))</f>
        <v>仅 VIT-LPS 跟住</v>
      </c>
      <c r="L936" s="45" t="n">
        <f aca="false">F936-G936</f>
        <v>-0.082443353338865</v>
      </c>
      <c r="M936" s="46" t="n">
        <v>0.318027</v>
      </c>
      <c r="N936" s="46" t="n">
        <v>0.1680008</v>
      </c>
      <c r="O936" s="46" t="n">
        <v>0.5560742</v>
      </c>
      <c r="P936" s="46" t="n">
        <v>0.6387601</v>
      </c>
      <c r="Q936" s="46" t="n">
        <v>5.1190133</v>
      </c>
      <c r="R936" s="46" t="n">
        <v>3.3391253</v>
      </c>
      <c r="S936" s="47" t="n">
        <f aca="false">M936+N936+O936</f>
        <v>1.042102</v>
      </c>
      <c r="T936" s="47" t="n">
        <f aca="false">M936+P936</f>
        <v>0.9567871</v>
      </c>
    </row>
    <row r="937" customFormat="false" ht="15" hidden="false" customHeight="false" outlineLevel="0" collapsed="false">
      <c r="A937" s="42" t="s">
        <v>45</v>
      </c>
      <c r="B937" s="42" t="n">
        <v>-16</v>
      </c>
      <c r="C937" s="42" t="n">
        <v>36</v>
      </c>
      <c r="D937" s="42" t="n">
        <v>74290951</v>
      </c>
      <c r="E937" s="43" t="n">
        <v>0.260802693962175</v>
      </c>
      <c r="F937" s="43" t="n">
        <v>0.719358245337391</v>
      </c>
      <c r="G937" s="43" t="n">
        <v>0.65912823663861</v>
      </c>
      <c r="H937" s="43" t="n">
        <v>0.672594510379997</v>
      </c>
      <c r="I937" s="42" t="n">
        <v>1</v>
      </c>
      <c r="J937" s="42" t="n">
        <v>1</v>
      </c>
      <c r="K937" s="44" t="str">
        <f aca="false">IF(AND(I937=1,J937=1),"两者都跟住",IF(AND(I937=0,J937=1),"仅 PC-TBD 跟住",IF(AND(I937=1,J937=0),"仅 VIT-LPS 跟住","都没跟住")))</f>
        <v>两者都跟住</v>
      </c>
      <c r="L937" s="45" t="n">
        <f aca="false">F937-G937</f>
        <v>0.060230008698781</v>
      </c>
      <c r="M937" s="46" t="n">
        <v>0.3042911</v>
      </c>
      <c r="N937" s="46" t="n">
        <v>0.1539906</v>
      </c>
      <c r="O937" s="46" t="n">
        <v>0.4052862</v>
      </c>
      <c r="P937" s="46" t="n">
        <v>0.7588486</v>
      </c>
      <c r="Q937" s="46" t="n">
        <v>2.7634652</v>
      </c>
      <c r="R937" s="46" t="n">
        <v>3.3681895</v>
      </c>
      <c r="S937" s="47" t="n">
        <f aca="false">M937+N937+O937</f>
        <v>0.8635679</v>
      </c>
      <c r="T937" s="47" t="n">
        <f aca="false">M937+P937</f>
        <v>1.0631397</v>
      </c>
    </row>
    <row r="938" customFormat="false" ht="15" hidden="false" customHeight="false" outlineLevel="0" collapsed="false">
      <c r="A938" s="42" t="s">
        <v>45</v>
      </c>
      <c r="B938" s="42" t="n">
        <v>-16</v>
      </c>
      <c r="C938" s="42" t="n">
        <v>37</v>
      </c>
      <c r="D938" s="42" t="n">
        <v>74290952</v>
      </c>
      <c r="E938" s="43" t="n">
        <v>0.594222840742727</v>
      </c>
      <c r="F938" s="43" t="n">
        <v>0.732710779730381</v>
      </c>
      <c r="G938" s="43" t="n">
        <v>0.734357284407368</v>
      </c>
      <c r="H938" s="43" t="n">
        <v>0.747980747672823</v>
      </c>
      <c r="I938" s="42" t="n">
        <v>1</v>
      </c>
      <c r="J938" s="42" t="n">
        <v>1</v>
      </c>
      <c r="K938" s="44" t="str">
        <f aca="false">IF(AND(I938=1,J938=1),"两者都跟住",IF(AND(I938=0,J938=1),"仅 PC-TBD 跟住",IF(AND(I938=1,J938=0),"仅 VIT-LPS 跟住","都没跟住")))</f>
        <v>两者都跟住</v>
      </c>
      <c r="L938" s="45" t="n">
        <f aca="false">F938-G938</f>
        <v>-0.00164650467698702</v>
      </c>
      <c r="M938" s="46" t="n">
        <v>0.1571989</v>
      </c>
      <c r="N938" s="46" t="n">
        <v>0.1240328</v>
      </c>
      <c r="O938" s="46" t="n">
        <v>0.1770018</v>
      </c>
      <c r="P938" s="46" t="n">
        <v>0.4924735</v>
      </c>
      <c r="Q938" s="46" t="n">
        <v>1.8898384</v>
      </c>
      <c r="R938" s="46" t="n">
        <v>1.958771</v>
      </c>
      <c r="S938" s="47" t="n">
        <f aca="false">M938+N938+O938</f>
        <v>0.4582335</v>
      </c>
      <c r="T938" s="47" t="n">
        <f aca="false">M938+P938</f>
        <v>0.6496724</v>
      </c>
    </row>
    <row r="939" customFormat="false" ht="15" hidden="false" customHeight="false" outlineLevel="0" collapsed="false">
      <c r="A939" s="42" t="s">
        <v>45</v>
      </c>
      <c r="B939" s="42" t="n">
        <v>-16</v>
      </c>
      <c r="C939" s="42" t="n">
        <v>38</v>
      </c>
      <c r="D939" s="42" t="n">
        <v>74290953</v>
      </c>
      <c r="E939" s="43" t="n">
        <v>0.444862825620087</v>
      </c>
      <c r="F939" s="43" t="n">
        <v>0.694827423840925</v>
      </c>
      <c r="G939" s="43" t="n">
        <v>0.620125787158046</v>
      </c>
      <c r="H939" s="43" t="n">
        <v>0.648085381060841</v>
      </c>
      <c r="I939" s="42" t="n">
        <v>1</v>
      </c>
      <c r="J939" s="42" t="n">
        <v>1</v>
      </c>
      <c r="K939" s="44" t="str">
        <f aca="false">IF(AND(I939=1,J939=1),"两者都跟住",IF(AND(I939=0,J939=1),"仅 PC-TBD 跟住",IF(AND(I939=1,J939=0),"仅 VIT-LPS 跟住","都没跟住")))</f>
        <v>两者都跟住</v>
      </c>
      <c r="L939" s="45" t="n">
        <f aca="false">F939-G939</f>
        <v>0.074701636682879</v>
      </c>
      <c r="M939" s="46" t="n">
        <v>0.1800619</v>
      </c>
      <c r="N939" s="46" t="n">
        <v>0.0999113</v>
      </c>
      <c r="O939" s="46" t="n">
        <v>0.1315502</v>
      </c>
      <c r="P939" s="46" t="n">
        <v>0.455318</v>
      </c>
      <c r="Q939" s="46" t="n">
        <v>1.8565567</v>
      </c>
      <c r="R939" s="46" t="n">
        <v>1.8603879</v>
      </c>
      <c r="S939" s="47" t="n">
        <f aca="false">M939+N939+O939</f>
        <v>0.4115234</v>
      </c>
      <c r="T939" s="47" t="n">
        <f aca="false">M939+P939</f>
        <v>0.6353799</v>
      </c>
    </row>
    <row r="940" customFormat="false" ht="15" hidden="false" customHeight="false" outlineLevel="0" collapsed="false">
      <c r="A940" s="42" t="s">
        <v>45</v>
      </c>
      <c r="B940" s="42" t="n">
        <v>-16</v>
      </c>
      <c r="C940" s="42" t="n">
        <v>39</v>
      </c>
      <c r="D940" s="42" t="n">
        <v>74290954</v>
      </c>
      <c r="E940" s="43" t="n">
        <v>0.630313557497164</v>
      </c>
      <c r="F940" s="43" t="n">
        <v>0.625732846636076</v>
      </c>
      <c r="G940" s="43" t="n">
        <v>0.750537146793108</v>
      </c>
      <c r="H940" s="43" t="n">
        <v>0.75237157798111</v>
      </c>
      <c r="I940" s="42" t="n">
        <v>1</v>
      </c>
      <c r="J940" s="42" t="n">
        <v>1</v>
      </c>
      <c r="K940" s="44" t="str">
        <f aca="false">IF(AND(I940=1,J940=1),"两者都跟住",IF(AND(I940=0,J940=1),"仅 PC-TBD 跟住",IF(AND(I940=1,J940=0),"仅 VIT-LPS 跟住","都没跟住")))</f>
        <v>两者都跟住</v>
      </c>
      <c r="L940" s="45" t="n">
        <f aca="false">F940-G940</f>
        <v>-0.124804300157032</v>
      </c>
      <c r="M940" s="46" t="n">
        <v>0.1903904</v>
      </c>
      <c r="N940" s="46" t="n">
        <v>0.1331896</v>
      </c>
      <c r="O940" s="46" t="n">
        <v>0.1969781</v>
      </c>
      <c r="P940" s="46" t="n">
        <v>0.4608027</v>
      </c>
      <c r="Q940" s="46" t="n">
        <v>3.8290317</v>
      </c>
      <c r="R940" s="46" t="n">
        <v>1.7647268</v>
      </c>
      <c r="S940" s="47" t="n">
        <f aca="false">M940+N940+O940</f>
        <v>0.5205581</v>
      </c>
      <c r="T940" s="47" t="n">
        <f aca="false">M940+P940</f>
        <v>0.6511931</v>
      </c>
    </row>
    <row r="941" customFormat="false" ht="15" hidden="false" customHeight="false" outlineLevel="0" collapsed="false">
      <c r="A941" s="42" t="s">
        <v>45</v>
      </c>
      <c r="B941" s="42" t="n">
        <v>-16</v>
      </c>
      <c r="C941" s="42" t="n">
        <v>40</v>
      </c>
      <c r="D941" s="42" t="n">
        <v>74290955</v>
      </c>
      <c r="E941" s="43" t="n">
        <v>0.631401414590129</v>
      </c>
      <c r="F941" s="43" t="n">
        <v>0.739613723799587</v>
      </c>
      <c r="G941" s="43" t="n">
        <v>0.766537728057184</v>
      </c>
      <c r="H941" s="43" t="n">
        <v>0.769222219638789</v>
      </c>
      <c r="I941" s="42" t="n">
        <v>1</v>
      </c>
      <c r="J941" s="42" t="n">
        <v>1</v>
      </c>
      <c r="K941" s="44" t="str">
        <f aca="false">IF(AND(I941=1,J941=1),"两者都跟住",IF(AND(I941=0,J941=1),"仅 PC-TBD 跟住",IF(AND(I941=1,J941=0),"仅 VIT-LPS 跟住","都没跟住")))</f>
        <v>两者都跟住</v>
      </c>
      <c r="L941" s="45" t="n">
        <f aca="false">F941-G941</f>
        <v>-0.026924004257597</v>
      </c>
      <c r="M941" s="46" t="n">
        <v>0.1906119</v>
      </c>
      <c r="N941" s="46" t="n">
        <v>0.1352434</v>
      </c>
      <c r="O941" s="46" t="n">
        <v>0.2385602</v>
      </c>
      <c r="P941" s="46" t="n">
        <v>0.5508886</v>
      </c>
      <c r="Q941" s="46" t="n">
        <v>1.8120241</v>
      </c>
      <c r="R941" s="46" t="n">
        <v>1.9549389</v>
      </c>
      <c r="S941" s="47" t="n">
        <f aca="false">M941+N941+O941</f>
        <v>0.5644155</v>
      </c>
      <c r="T941" s="47" t="n">
        <f aca="false">M941+P941</f>
        <v>0.7415005</v>
      </c>
    </row>
    <row r="942" customFormat="false" ht="15" hidden="false" customHeight="false" outlineLevel="0" collapsed="false">
      <c r="A942" s="42" t="s">
        <v>45</v>
      </c>
      <c r="B942" s="42" t="n">
        <v>-16</v>
      </c>
      <c r="C942" s="42" t="n">
        <v>41</v>
      </c>
      <c r="D942" s="42" t="n">
        <v>74290956</v>
      </c>
      <c r="E942" s="43" t="n">
        <v>0.284685606130044</v>
      </c>
      <c r="F942" s="43" t="n">
        <v>0.708233174246077</v>
      </c>
      <c r="G942" s="43" t="n">
        <v>0.714971596348422</v>
      </c>
      <c r="H942" s="43" t="n">
        <v>0.753829486813026</v>
      </c>
      <c r="I942" s="42" t="n">
        <v>1</v>
      </c>
      <c r="J942" s="42" t="n">
        <v>1</v>
      </c>
      <c r="K942" s="44" t="str">
        <f aca="false">IF(AND(I942=1,J942=1),"两者都跟住",IF(AND(I942=0,J942=1),"仅 PC-TBD 跟住",IF(AND(I942=1,J942=0),"仅 VIT-LPS 跟住","都没跟住")))</f>
        <v>两者都跟住</v>
      </c>
      <c r="L942" s="45" t="n">
        <f aca="false">F942-G942</f>
        <v>-0.00673842210234499</v>
      </c>
      <c r="M942" s="46" t="n">
        <v>0.2278164</v>
      </c>
      <c r="N942" s="46" t="n">
        <v>0.1226631</v>
      </c>
      <c r="O942" s="46" t="n">
        <v>0.2723786</v>
      </c>
      <c r="P942" s="46" t="n">
        <v>0.6900301</v>
      </c>
      <c r="Q942" s="46" t="n">
        <v>2.840521</v>
      </c>
      <c r="R942" s="46" t="n">
        <v>3.2316903</v>
      </c>
      <c r="S942" s="47" t="n">
        <f aca="false">M942+N942+O942</f>
        <v>0.6228581</v>
      </c>
      <c r="T942" s="47" t="n">
        <f aca="false">M942+P942</f>
        <v>0.9178465</v>
      </c>
    </row>
    <row r="943" customFormat="false" ht="15" hidden="false" customHeight="false" outlineLevel="0" collapsed="false">
      <c r="A943" s="42" t="s">
        <v>45</v>
      </c>
      <c r="B943" s="42" t="n">
        <v>-16</v>
      </c>
      <c r="C943" s="42" t="n">
        <v>42</v>
      </c>
      <c r="D943" s="42" t="n">
        <v>74290957</v>
      </c>
      <c r="E943" s="43" t="n">
        <v>0.680924443312619</v>
      </c>
      <c r="F943" s="43" t="n">
        <v>0.655303704460746</v>
      </c>
      <c r="G943" s="43" t="n">
        <v>0.722520419213396</v>
      </c>
      <c r="H943" s="43" t="n">
        <v>0.759518731637219</v>
      </c>
      <c r="I943" s="42" t="n">
        <v>1</v>
      </c>
      <c r="J943" s="42" t="n">
        <v>1</v>
      </c>
      <c r="K943" s="44" t="str">
        <f aca="false">IF(AND(I943=1,J943=1),"两者都跟住",IF(AND(I943=0,J943=1),"仅 PC-TBD 跟住",IF(AND(I943=1,J943=0),"仅 VIT-LPS 跟住","都没跟住")))</f>
        <v>两者都跟住</v>
      </c>
      <c r="L943" s="45" t="n">
        <f aca="false">F943-G943</f>
        <v>-0.06721671475265</v>
      </c>
      <c r="M943" s="46" t="n">
        <v>0.2115793</v>
      </c>
      <c r="N943" s="46" t="n">
        <v>0.1233486</v>
      </c>
      <c r="O943" s="46" t="n">
        <v>0.2481575</v>
      </c>
      <c r="P943" s="46" t="n">
        <v>0.6733968</v>
      </c>
      <c r="Q943" s="46" t="n">
        <v>2.7930827</v>
      </c>
      <c r="R943" s="46" t="n">
        <v>3.0669977</v>
      </c>
      <c r="S943" s="47" t="n">
        <f aca="false">M943+N943+O943</f>
        <v>0.5830854</v>
      </c>
      <c r="T943" s="47" t="n">
        <f aca="false">M943+P943</f>
        <v>0.8849761</v>
      </c>
    </row>
    <row r="944" customFormat="false" ht="15" hidden="false" customHeight="false" outlineLevel="0" collapsed="false">
      <c r="A944" s="42" t="s">
        <v>45</v>
      </c>
      <c r="B944" s="42" t="n">
        <v>-16</v>
      </c>
      <c r="C944" s="42" t="n">
        <v>43</v>
      </c>
      <c r="D944" s="42" t="n">
        <v>74290958</v>
      </c>
      <c r="E944" s="43" t="n">
        <v>0.657428946099015</v>
      </c>
      <c r="F944" s="43" t="n">
        <v>0.676551844894784</v>
      </c>
      <c r="G944" s="43" t="n">
        <v>0.738050091365686</v>
      </c>
      <c r="H944" s="43" t="n">
        <v>0.75520924492574</v>
      </c>
      <c r="I944" s="42" t="n">
        <v>1</v>
      </c>
      <c r="J944" s="42" t="n">
        <v>1</v>
      </c>
      <c r="K944" s="44" t="str">
        <f aca="false">IF(AND(I944=1,J944=1),"两者都跟住",IF(AND(I944=0,J944=1),"仅 PC-TBD 跟住",IF(AND(I944=1,J944=0),"仅 VIT-LPS 跟住","都没跟住")))</f>
        <v>两者都跟住</v>
      </c>
      <c r="L944" s="45" t="n">
        <f aca="false">F944-G944</f>
        <v>-0.061498246470902</v>
      </c>
      <c r="M944" s="46" t="n">
        <v>0.2420108</v>
      </c>
      <c r="N944" s="46" t="n">
        <v>0.1287088</v>
      </c>
      <c r="O944" s="46" t="n">
        <v>0.264219</v>
      </c>
      <c r="P944" s="46" t="n">
        <v>0.6239445</v>
      </c>
      <c r="Q944" s="46" t="n">
        <v>4.8032213</v>
      </c>
      <c r="R944" s="46" t="n">
        <v>2.3452127</v>
      </c>
      <c r="S944" s="47" t="n">
        <f aca="false">M944+N944+O944</f>
        <v>0.6349386</v>
      </c>
      <c r="T944" s="47" t="n">
        <f aca="false">M944+P944</f>
        <v>0.8659553</v>
      </c>
    </row>
    <row r="945" customFormat="false" ht="15" hidden="false" customHeight="false" outlineLevel="0" collapsed="false">
      <c r="A945" s="42" t="s">
        <v>45</v>
      </c>
      <c r="B945" s="42" t="n">
        <v>-16</v>
      </c>
      <c r="C945" s="42" t="n">
        <v>44</v>
      </c>
      <c r="D945" s="42" t="n">
        <v>74290959</v>
      </c>
      <c r="E945" s="43" t="n">
        <v>0.33552774188348</v>
      </c>
      <c r="F945" s="43" t="n">
        <v>0.679716603534804</v>
      </c>
      <c r="G945" s="43" t="n">
        <v>0.709624027117961</v>
      </c>
      <c r="H945" s="43" t="n">
        <v>0.733787609236991</v>
      </c>
      <c r="I945" s="42" t="n">
        <v>1</v>
      </c>
      <c r="J945" s="42" t="n">
        <v>1</v>
      </c>
      <c r="K945" s="44" t="str">
        <f aca="false">IF(AND(I945=1,J945=1),"两者都跟住",IF(AND(I945=0,J945=1),"仅 PC-TBD 跟住",IF(AND(I945=1,J945=0),"仅 VIT-LPS 跟住","都没跟住")))</f>
        <v>两者都跟住</v>
      </c>
      <c r="L945" s="45" t="n">
        <f aca="false">F945-G945</f>
        <v>-0.029907423583157</v>
      </c>
      <c r="M945" s="46" t="n">
        <v>0.2195748</v>
      </c>
      <c r="N945" s="46" t="n">
        <v>0.1324048</v>
      </c>
      <c r="O945" s="46" t="n">
        <v>0.2497856</v>
      </c>
      <c r="P945" s="46" t="n">
        <v>0.6328954</v>
      </c>
      <c r="Q945" s="46" t="n">
        <v>5.8496152</v>
      </c>
      <c r="R945" s="46" t="n">
        <v>2.8271</v>
      </c>
      <c r="S945" s="47" t="n">
        <f aca="false">M945+N945+O945</f>
        <v>0.6017652</v>
      </c>
      <c r="T945" s="47" t="n">
        <f aca="false">M945+P945</f>
        <v>0.8524702</v>
      </c>
    </row>
    <row r="946" customFormat="false" ht="15" hidden="false" customHeight="false" outlineLevel="0" collapsed="false">
      <c r="A946" s="42" t="s">
        <v>45</v>
      </c>
      <c r="B946" s="42" t="n">
        <v>-16</v>
      </c>
      <c r="C946" s="42" t="n">
        <v>45</v>
      </c>
      <c r="D946" s="42" t="n">
        <v>74290960</v>
      </c>
      <c r="E946" s="43" t="n">
        <v>0.318015758218103</v>
      </c>
      <c r="F946" s="43" t="n">
        <v>0.777404368650556</v>
      </c>
      <c r="G946" s="43" t="n">
        <v>0.705796203783273</v>
      </c>
      <c r="H946" s="43" t="n">
        <v>0.726419438806195</v>
      </c>
      <c r="I946" s="42" t="n">
        <v>1</v>
      </c>
      <c r="J946" s="42" t="n">
        <v>1</v>
      </c>
      <c r="K946" s="44" t="str">
        <f aca="false">IF(AND(I946=1,J946=1),"两者都跟住",IF(AND(I946=0,J946=1),"仅 PC-TBD 跟住",IF(AND(I946=1,J946=0),"仅 VIT-LPS 跟住","都没跟住")))</f>
        <v>两者都跟住</v>
      </c>
      <c r="L946" s="45" t="n">
        <f aca="false">F946-G946</f>
        <v>0.0716081648672829</v>
      </c>
      <c r="M946" s="46" t="n">
        <v>0.2407134</v>
      </c>
      <c r="N946" s="46" t="n">
        <v>0.1496012</v>
      </c>
      <c r="O946" s="46" t="n">
        <v>0.4502369</v>
      </c>
      <c r="P946" s="46" t="n">
        <v>0.5549938</v>
      </c>
      <c r="Q946" s="46" t="n">
        <v>2.6247226</v>
      </c>
      <c r="R946" s="46" t="n">
        <v>2.2246144</v>
      </c>
      <c r="S946" s="47" t="n">
        <f aca="false">M946+N946+O946</f>
        <v>0.8405515</v>
      </c>
      <c r="T946" s="47" t="n">
        <f aca="false">M946+P946</f>
        <v>0.7957072</v>
      </c>
    </row>
    <row r="947" customFormat="false" ht="15" hidden="false" customHeight="false" outlineLevel="0" collapsed="false">
      <c r="A947" s="42" t="s">
        <v>45</v>
      </c>
      <c r="B947" s="42" t="n">
        <v>-16</v>
      </c>
      <c r="C947" s="42" t="n">
        <v>46</v>
      </c>
      <c r="D947" s="42" t="n">
        <v>74290961</v>
      </c>
      <c r="E947" s="43" t="n">
        <v>0.603233948851527</v>
      </c>
      <c r="F947" s="43" t="n">
        <v>0.659697734118695</v>
      </c>
      <c r="G947" s="43" t="n">
        <v>0.665853953959633</v>
      </c>
      <c r="H947" s="43" t="n">
        <v>0.671389878587711</v>
      </c>
      <c r="I947" s="42" t="n">
        <v>1</v>
      </c>
      <c r="J947" s="42" t="n">
        <v>1</v>
      </c>
      <c r="K947" s="44" t="str">
        <f aca="false">IF(AND(I947=1,J947=1),"两者都跟住",IF(AND(I947=0,J947=1),"仅 PC-TBD 跟住",IF(AND(I947=1,J947=0),"仅 VIT-LPS 跟住","都没跟住")))</f>
        <v>两者都跟住</v>
      </c>
      <c r="L947" s="45" t="n">
        <f aca="false">F947-G947</f>
        <v>-0.00615621984093795</v>
      </c>
      <c r="M947" s="46" t="n">
        <v>0.2657078</v>
      </c>
      <c r="N947" s="46" t="n">
        <v>0.0992358</v>
      </c>
      <c r="O947" s="46" t="n">
        <v>0.4501808</v>
      </c>
      <c r="P947" s="46" t="n">
        <v>0.5973624</v>
      </c>
      <c r="Q947" s="46" t="n">
        <v>2.8104211</v>
      </c>
      <c r="R947" s="46" t="n">
        <v>2.3991149</v>
      </c>
      <c r="S947" s="47" t="n">
        <f aca="false">M947+N947+O947</f>
        <v>0.8151244</v>
      </c>
      <c r="T947" s="47" t="n">
        <f aca="false">M947+P947</f>
        <v>0.8630702</v>
      </c>
    </row>
    <row r="948" customFormat="false" ht="15" hidden="false" customHeight="false" outlineLevel="0" collapsed="false">
      <c r="A948" s="42" t="s">
        <v>45</v>
      </c>
      <c r="B948" s="42" t="n">
        <v>-16</v>
      </c>
      <c r="C948" s="42" t="n">
        <v>47</v>
      </c>
      <c r="D948" s="42" t="n">
        <v>74290962</v>
      </c>
      <c r="E948" s="43" t="n">
        <v>0.572265764005869</v>
      </c>
      <c r="F948" s="43" t="n">
        <v>0.695838823566166</v>
      </c>
      <c r="G948" s="43" t="n">
        <v>0.716994153289203</v>
      </c>
      <c r="H948" s="43" t="n">
        <v>0.707596826417472</v>
      </c>
      <c r="I948" s="42" t="n">
        <v>1</v>
      </c>
      <c r="J948" s="42" t="n">
        <v>1</v>
      </c>
      <c r="K948" s="44" t="str">
        <f aca="false">IF(AND(I948=1,J948=1),"两者都跟住",IF(AND(I948=0,J948=1),"仅 PC-TBD 跟住",IF(AND(I948=1,J948=0),"仅 VIT-LPS 跟住","都没跟住")))</f>
        <v>两者都跟住</v>
      </c>
      <c r="L948" s="45" t="n">
        <f aca="false">F948-G948</f>
        <v>-0.021155329723037</v>
      </c>
      <c r="M948" s="46" t="n">
        <v>0.178075</v>
      </c>
      <c r="N948" s="46" t="n">
        <v>0.1293052</v>
      </c>
      <c r="O948" s="46" t="n">
        <v>0.2202343</v>
      </c>
      <c r="P948" s="46" t="n">
        <v>0.4496042</v>
      </c>
      <c r="Q948" s="46" t="n">
        <v>3.1370539</v>
      </c>
      <c r="R948" s="46" t="n">
        <v>2.3115263</v>
      </c>
      <c r="S948" s="47" t="n">
        <f aca="false">M948+N948+O948</f>
        <v>0.5276145</v>
      </c>
      <c r="T948" s="47" t="n">
        <f aca="false">M948+P948</f>
        <v>0.6276792</v>
      </c>
    </row>
    <row r="949" customFormat="false" ht="15" hidden="false" customHeight="false" outlineLevel="0" collapsed="false">
      <c r="A949" s="42" t="s">
        <v>45</v>
      </c>
      <c r="B949" s="42" t="n">
        <v>-16</v>
      </c>
      <c r="C949" s="42" t="n">
        <v>48</v>
      </c>
      <c r="D949" s="42" t="n">
        <v>74290963</v>
      </c>
      <c r="E949" s="43" t="n">
        <v>0.471919382585535</v>
      </c>
      <c r="F949" s="43" t="n">
        <v>0.732394252150888</v>
      </c>
      <c r="G949" s="43" t="n">
        <v>0.730161407450849</v>
      </c>
      <c r="H949" s="43" t="n">
        <v>0.754513246521602</v>
      </c>
      <c r="I949" s="42" t="n">
        <v>1</v>
      </c>
      <c r="J949" s="42" t="n">
        <v>1</v>
      </c>
      <c r="K949" s="44" t="str">
        <f aca="false">IF(AND(I949=1,J949=1),"两者都跟住",IF(AND(I949=0,J949=1),"仅 PC-TBD 跟住",IF(AND(I949=1,J949=0),"仅 VIT-LPS 跟住","都没跟住")))</f>
        <v>两者都跟住</v>
      </c>
      <c r="L949" s="45" t="n">
        <f aca="false">F949-G949</f>
        <v>0.00223284470003904</v>
      </c>
      <c r="M949" s="46" t="n">
        <v>0.125222</v>
      </c>
      <c r="N949" s="46" t="n">
        <v>0.0904171</v>
      </c>
      <c r="O949" s="46" t="n">
        <v>0.145501</v>
      </c>
      <c r="P949" s="46" t="n">
        <v>0.4749589</v>
      </c>
      <c r="Q949" s="46" t="n">
        <v>1.8372086</v>
      </c>
      <c r="R949" s="46" t="n">
        <v>2.0065037</v>
      </c>
      <c r="S949" s="47" t="n">
        <f aca="false">M949+N949+O949</f>
        <v>0.3611401</v>
      </c>
      <c r="T949" s="47" t="n">
        <f aca="false">M949+P949</f>
        <v>0.6001809</v>
      </c>
    </row>
    <row r="950" customFormat="false" ht="15" hidden="false" customHeight="false" outlineLevel="0" collapsed="false">
      <c r="A950" s="42" t="s">
        <v>45</v>
      </c>
      <c r="B950" s="42" t="n">
        <v>-16</v>
      </c>
      <c r="C950" s="42" t="n">
        <v>49</v>
      </c>
      <c r="D950" s="42" t="n">
        <v>74290964</v>
      </c>
      <c r="E950" s="43" t="n">
        <v>0.525446540264654</v>
      </c>
      <c r="F950" s="43" t="n">
        <v>0.613439563692158</v>
      </c>
      <c r="G950" s="43" t="n">
        <v>0.625151580157067</v>
      </c>
      <c r="H950" s="43" t="n">
        <v>0.63225840735042</v>
      </c>
      <c r="I950" s="42" t="n">
        <v>0</v>
      </c>
      <c r="J950" s="42" t="n">
        <v>0</v>
      </c>
      <c r="K950" s="44" t="str">
        <f aca="false">IF(AND(I950=1,J950=1),"两者都跟住",IF(AND(I950=0,J950=1),"仅 PC-TBD 跟住",IF(AND(I950=1,J950=0),"仅 VIT-LPS 跟住","都没跟住")))</f>
        <v>都没跟住</v>
      </c>
      <c r="L950" s="45" t="n">
        <f aca="false">F950-G950</f>
        <v>-0.0117120164649089</v>
      </c>
      <c r="M950" s="46" t="n">
        <v>0.1757755</v>
      </c>
      <c r="N950" s="46" t="n">
        <v>0.1269924</v>
      </c>
      <c r="O950" s="46" t="n">
        <v>0.2190545</v>
      </c>
      <c r="P950" s="46" t="n">
        <v>0.4717169</v>
      </c>
      <c r="Q950" s="46" t="n">
        <v>2.4831883</v>
      </c>
      <c r="R950" s="46" t="n">
        <v>1.5694704</v>
      </c>
      <c r="S950" s="47" t="n">
        <f aca="false">M950+N950+O950</f>
        <v>0.5218224</v>
      </c>
      <c r="T950" s="47" t="n">
        <f aca="false">M950+P950</f>
        <v>0.6474924</v>
      </c>
    </row>
    <row r="951" customFormat="false" ht="15" hidden="false" customHeight="false" outlineLevel="0" collapsed="false">
      <c r="A951" s="42" t="s">
        <v>45</v>
      </c>
      <c r="B951" s="42" t="n">
        <v>-16</v>
      </c>
      <c r="C951" s="42" t="n">
        <v>50</v>
      </c>
      <c r="D951" s="42" t="n">
        <v>74290965</v>
      </c>
      <c r="E951" s="43" t="n">
        <v>0.49259759170704</v>
      </c>
      <c r="F951" s="43" t="n">
        <v>0.643762697824509</v>
      </c>
      <c r="G951" s="43" t="n">
        <v>0.590081218119075</v>
      </c>
      <c r="H951" s="43" t="n">
        <v>0.57858048876677</v>
      </c>
      <c r="I951" s="42" t="n">
        <v>1</v>
      </c>
      <c r="J951" s="42" t="n">
        <v>1</v>
      </c>
      <c r="K951" s="44" t="str">
        <f aca="false">IF(AND(I951=1,J951=1),"两者都跟住",IF(AND(I951=0,J951=1),"仅 PC-TBD 跟住",IF(AND(I951=1,J951=0),"仅 VIT-LPS 跟住","都没跟住")))</f>
        <v>两者都跟住</v>
      </c>
      <c r="L951" s="45" t="n">
        <f aca="false">F951-G951</f>
        <v>0.053681479705434</v>
      </c>
      <c r="M951" s="46" t="n">
        <v>0.1412776</v>
      </c>
      <c r="N951" s="46" t="n">
        <v>0.0827005</v>
      </c>
      <c r="O951" s="46" t="n">
        <v>0.1517602</v>
      </c>
      <c r="P951" s="46" t="n">
        <v>0.4261354</v>
      </c>
      <c r="Q951" s="46" t="n">
        <v>3.7745732</v>
      </c>
      <c r="R951" s="46" t="n">
        <v>1.0691302</v>
      </c>
      <c r="S951" s="47" t="n">
        <f aca="false">M951+N951+O951</f>
        <v>0.3757383</v>
      </c>
      <c r="T951" s="47" t="n">
        <f aca="false">M951+P951</f>
        <v>0.567413</v>
      </c>
    </row>
    <row r="952" customFormat="false" ht="15" hidden="false" customHeight="false" outlineLevel="0" collapsed="false">
      <c r="A952" s="42" t="s">
        <v>45</v>
      </c>
      <c r="B952" s="42" t="n">
        <v>-16</v>
      </c>
      <c r="C952" s="42" t="n">
        <v>51</v>
      </c>
      <c r="D952" s="42" t="n">
        <v>74290966</v>
      </c>
      <c r="E952" s="43" t="n">
        <v>0.33170796563408</v>
      </c>
      <c r="F952" s="43" t="n">
        <v>0.638082820193418</v>
      </c>
      <c r="G952" s="43" t="n">
        <v>0.682462559513639</v>
      </c>
      <c r="H952" s="43" t="n">
        <v>0.710264498633071</v>
      </c>
      <c r="I952" s="42" t="n">
        <v>1</v>
      </c>
      <c r="J952" s="42" t="n">
        <v>1</v>
      </c>
      <c r="K952" s="44" t="str">
        <f aca="false">IF(AND(I952=1,J952=1),"两者都跟住",IF(AND(I952=0,J952=1),"仅 PC-TBD 跟住",IF(AND(I952=1,J952=0),"仅 VIT-LPS 跟住","都没跟住")))</f>
        <v>两者都跟住</v>
      </c>
      <c r="L952" s="45" t="n">
        <f aca="false">F952-G952</f>
        <v>-0.044379739320221</v>
      </c>
      <c r="M952" s="46" t="n">
        <v>0.3162393</v>
      </c>
      <c r="N952" s="46" t="n">
        <v>0.1371969</v>
      </c>
      <c r="O952" s="46" t="n">
        <v>0.1743664</v>
      </c>
      <c r="P952" s="46" t="n">
        <v>0.4906508</v>
      </c>
      <c r="Q952" s="46" t="n">
        <v>5.9019119</v>
      </c>
      <c r="R952" s="46" t="n">
        <v>2.4867818</v>
      </c>
      <c r="S952" s="47" t="n">
        <f aca="false">M952+N952+O952</f>
        <v>0.6278026</v>
      </c>
      <c r="T952" s="47" t="n">
        <f aca="false">M952+P952</f>
        <v>0.8068901</v>
      </c>
    </row>
    <row r="953" customFormat="false" ht="15" hidden="false" customHeight="false" outlineLevel="0" collapsed="false">
      <c r="A953" s="42" t="s">
        <v>45</v>
      </c>
      <c r="B953" s="42" t="n">
        <v>-16</v>
      </c>
      <c r="C953" s="42" t="n">
        <v>52</v>
      </c>
      <c r="D953" s="42" t="n">
        <v>74290967</v>
      </c>
      <c r="E953" s="43" t="n">
        <v>0.595095682300386</v>
      </c>
      <c r="F953" s="43" t="n">
        <v>0.64622749395834</v>
      </c>
      <c r="G953" s="43" t="n">
        <v>0.660292610725206</v>
      </c>
      <c r="H953" s="43" t="n">
        <v>0.672068961767031</v>
      </c>
      <c r="I953" s="42" t="n">
        <v>1</v>
      </c>
      <c r="J953" s="42" t="n">
        <v>1</v>
      </c>
      <c r="K953" s="44" t="str">
        <f aca="false">IF(AND(I953=1,J953=1),"两者都跟住",IF(AND(I953=0,J953=1),"仅 PC-TBD 跟住",IF(AND(I953=1,J953=0),"仅 VIT-LPS 跟住","都没跟住")))</f>
        <v>两者都跟住</v>
      </c>
      <c r="L953" s="45" t="n">
        <f aca="false">F953-G953</f>
        <v>-0.0140651167668659</v>
      </c>
      <c r="M953" s="46" t="n">
        <v>0.2969836</v>
      </c>
      <c r="N953" s="46" t="n">
        <v>0.1382844</v>
      </c>
      <c r="O953" s="46" t="n">
        <v>0.1546334</v>
      </c>
      <c r="P953" s="46" t="n">
        <v>0.5103483</v>
      </c>
      <c r="Q953" s="46" t="n">
        <v>2.0979131</v>
      </c>
      <c r="R953" s="46" t="n">
        <v>2.9309286</v>
      </c>
      <c r="S953" s="47" t="n">
        <f aca="false">M953+N953+O953</f>
        <v>0.5899014</v>
      </c>
      <c r="T953" s="47" t="n">
        <f aca="false">M953+P953</f>
        <v>0.8073319</v>
      </c>
    </row>
    <row r="954" customFormat="false" ht="15" hidden="false" customHeight="false" outlineLevel="0" collapsed="false">
      <c r="A954" s="42" t="s">
        <v>45</v>
      </c>
      <c r="B954" s="42" t="n">
        <v>-16</v>
      </c>
      <c r="C954" s="42" t="n">
        <v>53</v>
      </c>
      <c r="D954" s="42" t="n">
        <v>74290968</v>
      </c>
      <c r="E954" s="43" t="n">
        <v>0.51137785175292</v>
      </c>
      <c r="F954" s="43" t="n">
        <v>0.718139114692676</v>
      </c>
      <c r="G954" s="43" t="n">
        <v>0.795747530009637</v>
      </c>
      <c r="H954" s="43" t="n">
        <v>0.774922660788493</v>
      </c>
      <c r="I954" s="42" t="n">
        <v>1</v>
      </c>
      <c r="J954" s="42" t="n">
        <v>1</v>
      </c>
      <c r="K954" s="44" t="str">
        <f aca="false">IF(AND(I954=1,J954=1),"两者都跟住",IF(AND(I954=0,J954=1),"仅 PC-TBD 跟住",IF(AND(I954=1,J954=0),"仅 VIT-LPS 跟住","都没跟住")))</f>
        <v>两者都跟住</v>
      </c>
      <c r="L954" s="45" t="n">
        <f aca="false">F954-G954</f>
        <v>-0.0776084153169611</v>
      </c>
      <c r="M954" s="46" t="n">
        <v>0.2844631</v>
      </c>
      <c r="N954" s="46" t="n">
        <v>0.1312836</v>
      </c>
      <c r="O954" s="46" t="n">
        <v>0.2154158</v>
      </c>
      <c r="P954" s="46" t="n">
        <v>0.6157167</v>
      </c>
      <c r="Q954" s="46" t="n">
        <v>3.4759797</v>
      </c>
      <c r="R954" s="46" t="n">
        <v>2.7246621</v>
      </c>
      <c r="S954" s="47" t="n">
        <f aca="false">M954+N954+O954</f>
        <v>0.6311625</v>
      </c>
      <c r="T954" s="47" t="n">
        <f aca="false">M954+P954</f>
        <v>0.9001798</v>
      </c>
    </row>
    <row r="955" customFormat="false" ht="15" hidden="false" customHeight="false" outlineLevel="0" collapsed="false">
      <c r="A955" s="42" t="s">
        <v>45</v>
      </c>
      <c r="B955" s="42" t="n">
        <v>-16</v>
      </c>
      <c r="C955" s="42" t="n">
        <v>54</v>
      </c>
      <c r="D955" s="42" t="n">
        <v>74290969</v>
      </c>
      <c r="E955" s="43" t="n">
        <v>0.352686488914165</v>
      </c>
      <c r="F955" s="43" t="n">
        <v>0.487068072230381</v>
      </c>
      <c r="G955" s="43" t="n">
        <v>0.683102881000886</v>
      </c>
      <c r="H955" s="43" t="n">
        <v>0.694712322344879</v>
      </c>
      <c r="I955" s="42" t="n">
        <v>1</v>
      </c>
      <c r="J955" s="42" t="n">
        <v>1</v>
      </c>
      <c r="K955" s="44" t="str">
        <f aca="false">IF(AND(I955=1,J955=1),"两者都跟住",IF(AND(I955=0,J955=1),"仅 PC-TBD 跟住",IF(AND(I955=1,J955=0),"仅 VIT-LPS 跟住","都没跟住")))</f>
        <v>两者都跟住</v>
      </c>
      <c r="L955" s="45" t="n">
        <f aca="false">F955-G955</f>
        <v>-0.196034808770505</v>
      </c>
      <c r="M955" s="46" t="n">
        <v>0.2961926</v>
      </c>
      <c r="N955" s="46" t="n">
        <v>0.1067598</v>
      </c>
      <c r="O955" s="46" t="n">
        <v>0.1959933</v>
      </c>
      <c r="P955" s="46" t="n">
        <v>0.5180234</v>
      </c>
      <c r="Q955" s="46" t="n">
        <v>5.7935543</v>
      </c>
      <c r="R955" s="46" t="n">
        <v>3.0073714</v>
      </c>
      <c r="S955" s="47" t="n">
        <f aca="false">M955+N955+O955</f>
        <v>0.5989457</v>
      </c>
      <c r="T955" s="47" t="n">
        <f aca="false">M955+P955</f>
        <v>0.814216</v>
      </c>
    </row>
    <row r="956" customFormat="false" ht="15" hidden="false" customHeight="false" outlineLevel="0" collapsed="false">
      <c r="A956" s="42" t="s">
        <v>45</v>
      </c>
      <c r="B956" s="42" t="n">
        <v>-16</v>
      </c>
      <c r="C956" s="42" t="n">
        <v>55</v>
      </c>
      <c r="D956" s="42" t="n">
        <v>74290970</v>
      </c>
      <c r="E956" s="43" t="n">
        <v>0.439327240240618</v>
      </c>
      <c r="F956" s="43" t="n">
        <v>0.590653140684671</v>
      </c>
      <c r="G956" s="43" t="n">
        <v>0.740669591998053</v>
      </c>
      <c r="H956" s="43" t="n">
        <v>0.752216580177917</v>
      </c>
      <c r="I956" s="42" t="n">
        <v>1</v>
      </c>
      <c r="J956" s="42" t="n">
        <v>1</v>
      </c>
      <c r="K956" s="44" t="str">
        <f aca="false">IF(AND(I956=1,J956=1),"两者都跟住",IF(AND(I956=0,J956=1),"仅 PC-TBD 跟住",IF(AND(I956=1,J956=0),"仅 VIT-LPS 跟住","都没跟住")))</f>
        <v>两者都跟住</v>
      </c>
      <c r="L956" s="45" t="n">
        <f aca="false">F956-G956</f>
        <v>-0.150016451313382</v>
      </c>
      <c r="M956" s="46" t="n">
        <v>0.2779105</v>
      </c>
      <c r="N956" s="46" t="n">
        <v>0.149295</v>
      </c>
      <c r="O956" s="46" t="n">
        <v>0.2161367</v>
      </c>
      <c r="P956" s="46" t="n">
        <v>0.4499428</v>
      </c>
      <c r="Q956" s="46" t="n">
        <v>4.8160684</v>
      </c>
      <c r="R956" s="46" t="n">
        <v>2.6330041</v>
      </c>
      <c r="S956" s="47" t="n">
        <f aca="false">M956+N956+O956</f>
        <v>0.6433422</v>
      </c>
      <c r="T956" s="47" t="n">
        <f aca="false">M956+P956</f>
        <v>0.7278533</v>
      </c>
    </row>
    <row r="957" customFormat="false" ht="15" hidden="false" customHeight="false" outlineLevel="0" collapsed="false">
      <c r="A957" s="42" t="s">
        <v>45</v>
      </c>
      <c r="B957" s="42" t="n">
        <v>-16</v>
      </c>
      <c r="C957" s="42" t="n">
        <v>56</v>
      </c>
      <c r="D957" s="42" t="n">
        <v>74290971</v>
      </c>
      <c r="E957" s="43" t="n">
        <v>0.488206164960688</v>
      </c>
      <c r="F957" s="43" t="n">
        <v>0.703627077456035</v>
      </c>
      <c r="G957" s="43" t="n">
        <v>0.737939545217659</v>
      </c>
      <c r="H957" s="43" t="n">
        <v>0.745077618922662</v>
      </c>
      <c r="I957" s="42" t="n">
        <v>1</v>
      </c>
      <c r="J957" s="42" t="n">
        <v>1</v>
      </c>
      <c r="K957" s="44" t="str">
        <f aca="false">IF(AND(I957=1,J957=1),"两者都跟住",IF(AND(I957=0,J957=1),"仅 PC-TBD 跟住",IF(AND(I957=1,J957=0),"仅 VIT-LPS 跟住","都没跟住")))</f>
        <v>两者都跟住</v>
      </c>
      <c r="L957" s="45" t="n">
        <f aca="false">F957-G957</f>
        <v>-0.034312467761624</v>
      </c>
      <c r="M957" s="46" t="n">
        <v>0.3039196</v>
      </c>
      <c r="N957" s="46" t="n">
        <v>0.1279119</v>
      </c>
      <c r="O957" s="46" t="n">
        <v>0.1852595</v>
      </c>
      <c r="P957" s="46" t="n">
        <v>0.6154776</v>
      </c>
      <c r="Q957" s="46" t="n">
        <v>2.3407665</v>
      </c>
      <c r="R957" s="46" t="n">
        <v>2.7826229</v>
      </c>
      <c r="S957" s="47" t="n">
        <f aca="false">M957+N957+O957</f>
        <v>0.617091</v>
      </c>
      <c r="T957" s="47" t="n">
        <f aca="false">M957+P957</f>
        <v>0.9193972</v>
      </c>
    </row>
    <row r="958" customFormat="false" ht="15" hidden="false" customHeight="false" outlineLevel="0" collapsed="false">
      <c r="A958" s="42" t="s">
        <v>45</v>
      </c>
      <c r="B958" s="42" t="n">
        <v>-16</v>
      </c>
      <c r="C958" s="42" t="n">
        <v>57</v>
      </c>
      <c r="D958" s="42" t="n">
        <v>74290972</v>
      </c>
      <c r="E958" s="43" t="n">
        <v>0.61238924212059</v>
      </c>
      <c r="F958" s="43" t="n">
        <v>0.670276215474572</v>
      </c>
      <c r="G958" s="43" t="n">
        <v>0.648780259382282</v>
      </c>
      <c r="H958" s="43" t="n">
        <v>0.683441283668919</v>
      </c>
      <c r="I958" s="42" t="n">
        <v>1</v>
      </c>
      <c r="J958" s="42" t="n">
        <v>1</v>
      </c>
      <c r="K958" s="44" t="str">
        <f aca="false">IF(AND(I958=1,J958=1),"两者都跟住",IF(AND(I958=0,J958=1),"仅 PC-TBD 跟住",IF(AND(I958=1,J958=0),"仅 VIT-LPS 跟住","都没跟住")))</f>
        <v>两者都跟住</v>
      </c>
      <c r="L958" s="45" t="n">
        <f aca="false">F958-G958</f>
        <v>0.0214959560922899</v>
      </c>
      <c r="M958" s="46" t="n">
        <v>0.181203</v>
      </c>
      <c r="N958" s="46" t="n">
        <v>0.1077373</v>
      </c>
      <c r="O958" s="46" t="n">
        <v>0.2427547</v>
      </c>
      <c r="P958" s="46" t="n">
        <v>0.5247523</v>
      </c>
      <c r="Q958" s="46" t="n">
        <v>3.6463358</v>
      </c>
      <c r="R958" s="46" t="n">
        <v>1.8300682</v>
      </c>
      <c r="S958" s="47" t="n">
        <f aca="false">M958+N958+O958</f>
        <v>0.531695</v>
      </c>
      <c r="T958" s="47" t="n">
        <f aca="false">M958+P958</f>
        <v>0.7059553</v>
      </c>
    </row>
    <row r="959" customFormat="false" ht="15" hidden="false" customHeight="false" outlineLevel="0" collapsed="false">
      <c r="A959" s="42" t="s">
        <v>45</v>
      </c>
      <c r="B959" s="42" t="n">
        <v>-16</v>
      </c>
      <c r="C959" s="42" t="n">
        <v>58</v>
      </c>
      <c r="D959" s="42" t="n">
        <v>74290973</v>
      </c>
      <c r="E959" s="43" t="n">
        <v>0.51573078565632</v>
      </c>
      <c r="F959" s="43" t="n">
        <v>0.655282768905416</v>
      </c>
      <c r="G959" s="43" t="n">
        <v>0.692335346855251</v>
      </c>
      <c r="H959" s="43" t="n">
        <v>0.682322665267545</v>
      </c>
      <c r="I959" s="42" t="n">
        <v>1</v>
      </c>
      <c r="J959" s="42" t="n">
        <v>0</v>
      </c>
      <c r="K959" s="44" t="str">
        <f aca="false">IF(AND(I959=1,J959=1),"两者都跟住",IF(AND(I959=0,J959=1),"仅 PC-TBD 跟住",IF(AND(I959=1,J959=0),"仅 VIT-LPS 跟住","都没跟住")))</f>
        <v>仅 VIT-LPS 跟住</v>
      </c>
      <c r="L959" s="45" t="n">
        <f aca="false">F959-G959</f>
        <v>-0.037052577949835</v>
      </c>
      <c r="M959" s="46" t="n">
        <v>0.1487511</v>
      </c>
      <c r="N959" s="46" t="n">
        <v>0.0837343</v>
      </c>
      <c r="O959" s="46" t="n">
        <v>0.162314</v>
      </c>
      <c r="P959" s="46" t="n">
        <v>0.410506</v>
      </c>
      <c r="Q959" s="46" t="n">
        <v>2.060853</v>
      </c>
      <c r="R959" s="46" t="n">
        <v>1.8478223</v>
      </c>
      <c r="S959" s="47" t="n">
        <f aca="false">M959+N959+O959</f>
        <v>0.3947994</v>
      </c>
      <c r="T959" s="47" t="n">
        <f aca="false">M959+P959</f>
        <v>0.5592571</v>
      </c>
    </row>
    <row r="960" customFormat="false" ht="15" hidden="false" customHeight="false" outlineLevel="0" collapsed="false">
      <c r="A960" s="42" t="s">
        <v>45</v>
      </c>
      <c r="B960" s="42" t="n">
        <v>-16</v>
      </c>
      <c r="C960" s="42" t="n">
        <v>59</v>
      </c>
      <c r="D960" s="42" t="n">
        <v>74290974</v>
      </c>
      <c r="E960" s="43" t="n">
        <v>0.557371791573675</v>
      </c>
      <c r="F960" s="43" t="n">
        <v>0.71634750632743</v>
      </c>
      <c r="G960" s="43" t="n">
        <v>0.754926529521302</v>
      </c>
      <c r="H960" s="43" t="n">
        <v>0.779075473418594</v>
      </c>
      <c r="I960" s="42" t="n">
        <v>1</v>
      </c>
      <c r="J960" s="42" t="n">
        <v>1</v>
      </c>
      <c r="K960" s="44" t="str">
        <f aca="false">IF(AND(I960=1,J960=1),"两者都跟住",IF(AND(I960=0,J960=1),"仅 PC-TBD 跟住",IF(AND(I960=1,J960=0),"仅 VIT-LPS 跟住","都没跟住")))</f>
        <v>两者都跟住</v>
      </c>
      <c r="L960" s="45" t="n">
        <f aca="false">F960-G960</f>
        <v>-0.038579023193872</v>
      </c>
      <c r="M960" s="46" t="n">
        <v>0.1333673</v>
      </c>
      <c r="N960" s="46" t="n">
        <v>0.0793347</v>
      </c>
      <c r="O960" s="46" t="n">
        <v>0.1626495</v>
      </c>
      <c r="P960" s="46" t="n">
        <v>0.4118732</v>
      </c>
      <c r="Q960" s="46" t="n">
        <v>2.1060872</v>
      </c>
      <c r="R960" s="46" t="n">
        <v>1.9118273</v>
      </c>
      <c r="S960" s="47" t="n">
        <f aca="false">M960+N960+O960</f>
        <v>0.3753515</v>
      </c>
      <c r="T960" s="47" t="n">
        <f aca="false">M960+P960</f>
        <v>0.5452405</v>
      </c>
    </row>
    <row r="961" customFormat="false" ht="15" hidden="false" customHeight="false" outlineLevel="0" collapsed="false">
      <c r="A961" s="42" t="s">
        <v>45</v>
      </c>
      <c r="B961" s="42" t="n">
        <v>-16</v>
      </c>
      <c r="C961" s="42" t="n">
        <v>60</v>
      </c>
      <c r="D961" s="42" t="n">
        <v>74290975</v>
      </c>
      <c r="E961" s="43" t="n">
        <v>0.647357972157843</v>
      </c>
      <c r="F961" s="43" t="n">
        <v>0.676276526597501</v>
      </c>
      <c r="G961" s="43" t="n">
        <v>0.792046895635761</v>
      </c>
      <c r="H961" s="43" t="n">
        <v>0.774272242598847</v>
      </c>
      <c r="I961" s="42" t="n">
        <v>1</v>
      </c>
      <c r="J961" s="42" t="n">
        <v>1</v>
      </c>
      <c r="K961" s="44" t="str">
        <f aca="false">IF(AND(I961=1,J961=1),"两者都跟住",IF(AND(I961=0,J961=1),"仅 PC-TBD 跟住",IF(AND(I961=1,J961=0),"仅 VIT-LPS 跟住","都没跟住")))</f>
        <v>两者都跟住</v>
      </c>
      <c r="L961" s="45" t="n">
        <f aca="false">F961-G961</f>
        <v>-0.11577036903826</v>
      </c>
      <c r="M961" s="46" t="n">
        <v>0.138269</v>
      </c>
      <c r="N961" s="46" t="n">
        <v>0.104594</v>
      </c>
      <c r="O961" s="46" t="n">
        <v>0.145108</v>
      </c>
      <c r="P961" s="46" t="n">
        <v>0.4560888</v>
      </c>
      <c r="Q961" s="46" t="n">
        <v>1.6262895</v>
      </c>
      <c r="R961" s="46" t="n">
        <v>1.7181093</v>
      </c>
      <c r="S961" s="47" t="n">
        <f aca="false">M961+N961+O961</f>
        <v>0.387971</v>
      </c>
      <c r="T961" s="47" t="n">
        <f aca="false">M961+P961</f>
        <v>0.5943578</v>
      </c>
    </row>
    <row r="962" customFormat="false" ht="15" hidden="false" customHeight="false" outlineLevel="0" collapsed="false">
      <c r="A962" s="42" t="s">
        <v>45</v>
      </c>
      <c r="B962" s="42" t="n">
        <v>-16</v>
      </c>
      <c r="C962" s="42" t="n">
        <v>61</v>
      </c>
      <c r="D962" s="42" t="n">
        <v>74290976</v>
      </c>
      <c r="E962" s="43" t="n">
        <v>0.544764591815296</v>
      </c>
      <c r="F962" s="43" t="n">
        <v>0.719956711128919</v>
      </c>
      <c r="G962" s="43" t="n">
        <v>0.739149777228598</v>
      </c>
      <c r="H962" s="43" t="n">
        <v>0.751650904789864</v>
      </c>
      <c r="I962" s="42" t="n">
        <v>1</v>
      </c>
      <c r="J962" s="42" t="n">
        <v>1</v>
      </c>
      <c r="K962" s="44" t="str">
        <f aca="false">IF(AND(I962=1,J962=1),"两者都跟住",IF(AND(I962=0,J962=1),"仅 PC-TBD 跟住",IF(AND(I962=1,J962=0),"仅 VIT-LPS 跟住","都没跟住")))</f>
        <v>两者都跟住</v>
      </c>
      <c r="L962" s="45" t="n">
        <f aca="false">F962-G962</f>
        <v>-0.019193066099679</v>
      </c>
      <c r="M962" s="46" t="n">
        <v>0.2657034</v>
      </c>
      <c r="N962" s="46" t="n">
        <v>0.1236001</v>
      </c>
      <c r="O962" s="46" t="n">
        <v>0.2508352</v>
      </c>
      <c r="P962" s="46" t="n">
        <v>0.5409091</v>
      </c>
      <c r="Q962" s="46" t="n">
        <v>2.7072926</v>
      </c>
      <c r="R962" s="46" t="n">
        <v>2.4281994</v>
      </c>
      <c r="S962" s="47" t="n">
        <f aca="false">M962+N962+O962</f>
        <v>0.6401387</v>
      </c>
      <c r="T962" s="47" t="n">
        <f aca="false">M962+P962</f>
        <v>0.8066125</v>
      </c>
    </row>
    <row r="963" customFormat="false" ht="15" hidden="false" customHeight="false" outlineLevel="0" collapsed="false">
      <c r="A963" s="42" t="s">
        <v>45</v>
      </c>
      <c r="B963" s="42" t="n">
        <v>-16</v>
      </c>
      <c r="C963" s="42" t="n">
        <v>62</v>
      </c>
      <c r="D963" s="42" t="n">
        <v>74290977</v>
      </c>
      <c r="E963" s="43" t="n">
        <v>0.687092561970562</v>
      </c>
      <c r="F963" s="43" t="n">
        <v>0.731493859296463</v>
      </c>
      <c r="G963" s="43" t="n">
        <v>0.747192244499684</v>
      </c>
      <c r="H963" s="43" t="n">
        <v>0.747991001006693</v>
      </c>
      <c r="I963" s="42" t="n">
        <v>1</v>
      </c>
      <c r="J963" s="42" t="n">
        <v>1</v>
      </c>
      <c r="K963" s="44" t="str">
        <f aca="false">IF(AND(I963=1,J963=1),"两者都跟住",IF(AND(I963=0,J963=1),"仅 PC-TBD 跟住",IF(AND(I963=1,J963=0),"仅 VIT-LPS 跟住","都没跟住")))</f>
        <v>两者都跟住</v>
      </c>
      <c r="L963" s="45" t="n">
        <f aca="false">F963-G963</f>
        <v>-0.015698385203221</v>
      </c>
      <c r="M963" s="46" t="n">
        <v>0.2512708</v>
      </c>
      <c r="N963" s="46" t="n">
        <v>0.1416949</v>
      </c>
      <c r="O963" s="46" t="n">
        <v>0.1974989</v>
      </c>
      <c r="P963" s="46" t="n">
        <v>0.451703</v>
      </c>
      <c r="Q963" s="46" t="n">
        <v>2.6875297</v>
      </c>
      <c r="R963" s="46" t="n">
        <v>2.5158442</v>
      </c>
      <c r="S963" s="47" t="n">
        <f aca="false">M963+N963+O963</f>
        <v>0.5904646</v>
      </c>
      <c r="T963" s="47" t="n">
        <f aca="false">M963+P963</f>
        <v>0.7029738</v>
      </c>
    </row>
    <row r="964" customFormat="false" ht="15" hidden="false" customHeight="false" outlineLevel="0" collapsed="false">
      <c r="A964" s="42" t="s">
        <v>45</v>
      </c>
      <c r="B964" s="42" t="n">
        <v>-16</v>
      </c>
      <c r="C964" s="42" t="n">
        <v>63</v>
      </c>
      <c r="D964" s="42" t="n">
        <v>74290978</v>
      </c>
      <c r="E964" s="43" t="n">
        <v>0.48832351922428</v>
      </c>
      <c r="F964" s="43" t="n">
        <v>0.669108953888275</v>
      </c>
      <c r="G964" s="43" t="n">
        <v>0.691032954798996</v>
      </c>
      <c r="H964" s="43" t="n">
        <v>0.719611488507975</v>
      </c>
      <c r="I964" s="42" t="n">
        <v>1</v>
      </c>
      <c r="J964" s="42" t="n">
        <v>1</v>
      </c>
      <c r="K964" s="44" t="str">
        <f aca="false">IF(AND(I964=1,J964=1),"两者都跟住",IF(AND(I964=0,J964=1),"仅 PC-TBD 跟住",IF(AND(I964=1,J964=0),"仅 VIT-LPS 跟住","都没跟住")))</f>
        <v>两者都跟住</v>
      </c>
      <c r="L964" s="45" t="n">
        <f aca="false">F964-G964</f>
        <v>-0.021924000910721</v>
      </c>
      <c r="M964" s="46" t="n">
        <v>0.2414721</v>
      </c>
      <c r="N964" s="46" t="n">
        <v>0.1391267</v>
      </c>
      <c r="O964" s="46" t="n">
        <v>0.2167909</v>
      </c>
      <c r="P964" s="46" t="n">
        <v>0.5881133</v>
      </c>
      <c r="Q964" s="46" t="n">
        <v>2.5135881</v>
      </c>
      <c r="R964" s="46" t="n">
        <v>2.4634406</v>
      </c>
      <c r="S964" s="47" t="n">
        <f aca="false">M964+N964+O964</f>
        <v>0.5973897</v>
      </c>
      <c r="T964" s="47" t="n">
        <f aca="false">M964+P964</f>
        <v>0.8295854</v>
      </c>
    </row>
    <row r="965" customFormat="false" ht="15" hidden="false" customHeight="false" outlineLevel="0" collapsed="false">
      <c r="A965" s="42" t="s">
        <v>45</v>
      </c>
      <c r="B965" s="42" t="n">
        <v>-16</v>
      </c>
      <c r="C965" s="42" t="n">
        <v>64</v>
      </c>
      <c r="D965" s="42" t="n">
        <v>74290979</v>
      </c>
      <c r="E965" s="43" t="n">
        <v>0.437068387976988</v>
      </c>
      <c r="F965" s="43" t="n">
        <v>0.677007649331829</v>
      </c>
      <c r="G965" s="43" t="n">
        <v>0.664915269076312</v>
      </c>
      <c r="H965" s="43" t="n">
        <v>0.679620413206132</v>
      </c>
      <c r="I965" s="42" t="n">
        <v>1</v>
      </c>
      <c r="J965" s="42" t="n">
        <v>1</v>
      </c>
      <c r="K965" s="44" t="str">
        <f aca="false">IF(AND(I965=1,J965=1),"两者都跟住",IF(AND(I965=0,J965=1),"仅 PC-TBD 跟住",IF(AND(I965=1,J965=0),"仅 VIT-LPS 跟住","都没跟住")))</f>
        <v>两者都跟住</v>
      </c>
      <c r="L965" s="45" t="n">
        <f aca="false">F965-G965</f>
        <v>0.012092380255517</v>
      </c>
      <c r="M965" s="46" t="n">
        <v>0.2588721</v>
      </c>
      <c r="N965" s="46" t="n">
        <v>0.1392274</v>
      </c>
      <c r="O965" s="46" t="n">
        <v>0.2349685</v>
      </c>
      <c r="P965" s="46" t="n">
        <v>0.5059112</v>
      </c>
      <c r="Q965" s="46" t="n">
        <v>2.6613738</v>
      </c>
      <c r="R965" s="46" t="n">
        <v>2.7135947</v>
      </c>
      <c r="S965" s="47" t="n">
        <f aca="false">M965+N965+O965</f>
        <v>0.633068</v>
      </c>
      <c r="T965" s="47" t="n">
        <f aca="false">M965+P965</f>
        <v>0.7647833</v>
      </c>
    </row>
    <row r="966" customFormat="false" ht="15" hidden="false" customHeight="false" outlineLevel="0" collapsed="false">
      <c r="A966" s="42" t="s">
        <v>45</v>
      </c>
      <c r="B966" s="42" t="n">
        <v>-16</v>
      </c>
      <c r="C966" s="42" t="n">
        <v>65</v>
      </c>
      <c r="D966" s="42" t="n">
        <v>74290980</v>
      </c>
      <c r="E966" s="43" t="n">
        <v>0.561895399728103</v>
      </c>
      <c r="F966" s="43" t="n">
        <v>0.677308322342857</v>
      </c>
      <c r="G966" s="43" t="n">
        <v>0.615326269839099</v>
      </c>
      <c r="H966" s="43" t="n">
        <v>0.65723264519278</v>
      </c>
      <c r="I966" s="42" t="n">
        <v>1</v>
      </c>
      <c r="J966" s="42" t="n">
        <v>0</v>
      </c>
      <c r="K966" s="44" t="str">
        <f aca="false">IF(AND(I966=1,J966=1),"两者都跟住",IF(AND(I966=0,J966=1),"仅 PC-TBD 跟住",IF(AND(I966=1,J966=0),"仅 VIT-LPS 跟住","都没跟住")))</f>
        <v>仅 VIT-LPS 跟住</v>
      </c>
      <c r="L966" s="45" t="n">
        <f aca="false">F966-G966</f>
        <v>0.061982052503758</v>
      </c>
      <c r="M966" s="46" t="n">
        <v>0.2358291</v>
      </c>
      <c r="N966" s="46" t="n">
        <v>0.1024962</v>
      </c>
      <c r="O966" s="46" t="n">
        <v>0.1986777</v>
      </c>
      <c r="P966" s="46" t="n">
        <v>0.5161215</v>
      </c>
      <c r="Q966" s="46" t="n">
        <v>2.6125667</v>
      </c>
      <c r="R966" s="46" t="n">
        <v>2.4443806</v>
      </c>
      <c r="S966" s="47" t="n">
        <f aca="false">M966+N966+O966</f>
        <v>0.537003</v>
      </c>
      <c r="T966" s="47" t="n">
        <f aca="false">M966+P966</f>
        <v>0.7519506</v>
      </c>
    </row>
    <row r="967" customFormat="false" ht="15" hidden="false" customHeight="false" outlineLevel="0" collapsed="false">
      <c r="A967" s="42" t="s">
        <v>45</v>
      </c>
      <c r="B967" s="42" t="n">
        <v>-16</v>
      </c>
      <c r="C967" s="42" t="n">
        <v>66</v>
      </c>
      <c r="D967" s="42" t="n">
        <v>74290981</v>
      </c>
      <c r="E967" s="43" t="n">
        <v>0.618116366486261</v>
      </c>
      <c r="F967" s="43" t="n">
        <v>0.562037159674329</v>
      </c>
      <c r="G967" s="43" t="n">
        <v>0.785988406442755</v>
      </c>
      <c r="H967" s="43" t="n">
        <v>0.76702796313797</v>
      </c>
      <c r="I967" s="42" t="n">
        <v>1</v>
      </c>
      <c r="J967" s="42" t="n">
        <v>1</v>
      </c>
      <c r="K967" s="44" t="str">
        <f aca="false">IF(AND(I967=1,J967=1),"两者都跟住",IF(AND(I967=0,J967=1),"仅 PC-TBD 跟住",IF(AND(I967=1,J967=0),"仅 VIT-LPS 跟住","都没跟住")))</f>
        <v>两者都跟住</v>
      </c>
      <c r="L967" s="45" t="n">
        <f aca="false">F967-G967</f>
        <v>-0.223951246768426</v>
      </c>
      <c r="M967" s="46" t="n">
        <v>0.2539237</v>
      </c>
      <c r="N967" s="46" t="n">
        <v>0.1326565</v>
      </c>
      <c r="O967" s="46" t="n">
        <v>0.2263996</v>
      </c>
      <c r="P967" s="46" t="n">
        <v>0.5394125</v>
      </c>
      <c r="Q967" s="46" t="n">
        <v>5.3437699</v>
      </c>
      <c r="R967" s="46" t="n">
        <v>2.3830371</v>
      </c>
      <c r="S967" s="47" t="n">
        <f aca="false">M967+N967+O967</f>
        <v>0.6129798</v>
      </c>
      <c r="T967" s="47" t="n">
        <f aca="false">M967+P967</f>
        <v>0.7933362</v>
      </c>
    </row>
    <row r="968" customFormat="false" ht="15" hidden="false" customHeight="false" outlineLevel="0" collapsed="false">
      <c r="A968" s="42" t="s">
        <v>45</v>
      </c>
      <c r="B968" s="42" t="n">
        <v>-16</v>
      </c>
      <c r="C968" s="42" t="n">
        <v>67</v>
      </c>
      <c r="D968" s="42" t="n">
        <v>74290982</v>
      </c>
      <c r="E968" s="43" t="n">
        <v>0.531707615512636</v>
      </c>
      <c r="F968" s="43" t="n">
        <v>0.745231821599871</v>
      </c>
      <c r="G968" s="43" t="n">
        <v>0.671374197547946</v>
      </c>
      <c r="H968" s="43" t="n">
        <v>0.70141187528154</v>
      </c>
      <c r="I968" s="42" t="n">
        <v>1</v>
      </c>
      <c r="J968" s="42" t="n">
        <v>1</v>
      </c>
      <c r="K968" s="44" t="str">
        <f aca="false">IF(AND(I968=1,J968=1),"两者都跟住",IF(AND(I968=0,J968=1),"仅 PC-TBD 跟住",IF(AND(I968=1,J968=0),"仅 VIT-LPS 跟住","都没跟住")))</f>
        <v>两者都跟住</v>
      </c>
      <c r="L968" s="45" t="n">
        <f aca="false">F968-G968</f>
        <v>0.073857624051925</v>
      </c>
      <c r="M968" s="46" t="n">
        <v>0.1780389</v>
      </c>
      <c r="N968" s="46" t="n">
        <v>0.0893381</v>
      </c>
      <c r="O968" s="46" t="n">
        <v>0.2333524</v>
      </c>
      <c r="P968" s="46" t="n">
        <v>0.4863295</v>
      </c>
      <c r="Q968" s="46" t="n">
        <v>2.0689292</v>
      </c>
      <c r="R968" s="46" t="n">
        <v>1.5817905</v>
      </c>
      <c r="S968" s="47" t="n">
        <f aca="false">M968+N968+O968</f>
        <v>0.5007294</v>
      </c>
      <c r="T968" s="47" t="n">
        <f aca="false">M968+P968</f>
        <v>0.6643684</v>
      </c>
    </row>
    <row r="969" customFormat="false" ht="15" hidden="false" customHeight="false" outlineLevel="0" collapsed="false">
      <c r="A969" s="42" t="s">
        <v>45</v>
      </c>
      <c r="B969" s="42" t="n">
        <v>-16</v>
      </c>
      <c r="C969" s="42" t="n">
        <v>68</v>
      </c>
      <c r="D969" s="42" t="n">
        <v>74290983</v>
      </c>
      <c r="E969" s="43" t="n">
        <v>0.54569046905703</v>
      </c>
      <c r="F969" s="43" t="n">
        <v>0.691653009827972</v>
      </c>
      <c r="G969" s="43" t="n">
        <v>0.703753994785855</v>
      </c>
      <c r="H969" s="43" t="n">
        <v>0.730075843157458</v>
      </c>
      <c r="I969" s="42" t="n">
        <v>1</v>
      </c>
      <c r="J969" s="42" t="n">
        <v>1</v>
      </c>
      <c r="K969" s="44" t="str">
        <f aca="false">IF(AND(I969=1,J969=1),"两者都跟住",IF(AND(I969=0,J969=1),"仅 PC-TBD 跟住",IF(AND(I969=1,J969=0),"仅 VIT-LPS 跟住","都没跟住")))</f>
        <v>两者都跟住</v>
      </c>
      <c r="L969" s="45" t="n">
        <f aca="false">F969-G969</f>
        <v>-0.012100984957883</v>
      </c>
      <c r="M969" s="46" t="n">
        <v>0.2339963</v>
      </c>
      <c r="N969" s="46" t="n">
        <v>0.1474101</v>
      </c>
      <c r="O969" s="46" t="n">
        <v>0.210441</v>
      </c>
      <c r="P969" s="46" t="n">
        <v>0.6323033</v>
      </c>
      <c r="Q969" s="46" t="n">
        <v>1.8844819</v>
      </c>
      <c r="R969" s="46" t="n">
        <v>1.9625368</v>
      </c>
      <c r="S969" s="47" t="n">
        <f aca="false">M969+N969+O969</f>
        <v>0.5918474</v>
      </c>
      <c r="T969" s="47" t="n">
        <f aca="false">M969+P969</f>
        <v>0.8662996</v>
      </c>
    </row>
    <row r="970" customFormat="false" ht="15" hidden="false" customHeight="false" outlineLevel="0" collapsed="false">
      <c r="A970" s="42" t="s">
        <v>45</v>
      </c>
      <c r="B970" s="42" t="n">
        <v>-16</v>
      </c>
      <c r="C970" s="42" t="n">
        <v>69</v>
      </c>
      <c r="D970" s="42" t="n">
        <v>74290984</v>
      </c>
      <c r="E970" s="43" t="n">
        <v>0.329305725888721</v>
      </c>
      <c r="F970" s="43" t="n">
        <v>0.693100760382573</v>
      </c>
      <c r="G970" s="43" t="n">
        <v>0.622007147486198</v>
      </c>
      <c r="H970" s="43" t="n">
        <v>0.622007147486198</v>
      </c>
      <c r="I970" s="42" t="n">
        <v>1</v>
      </c>
      <c r="J970" s="42" t="n">
        <v>1</v>
      </c>
      <c r="K970" s="44" t="str">
        <f aca="false">IF(AND(I970=1,J970=1),"两者都跟住",IF(AND(I970=0,J970=1),"仅 PC-TBD 跟住",IF(AND(I970=1,J970=0),"仅 VIT-LPS 跟住","都没跟住")))</f>
        <v>两者都跟住</v>
      </c>
      <c r="L970" s="45" t="n">
        <f aca="false">F970-G970</f>
        <v>0.071093612896375</v>
      </c>
      <c r="M970" s="46" t="n">
        <v>0.191278</v>
      </c>
      <c r="N970" s="46" t="n">
        <v>0.1026226</v>
      </c>
      <c r="O970" s="46" t="n">
        <v>0.2456251</v>
      </c>
      <c r="P970" s="46" t="n">
        <v>0.6143891</v>
      </c>
      <c r="Q970" s="46" t="n">
        <v>2.3381242</v>
      </c>
      <c r="R970" s="46" t="n">
        <v>1.9779114</v>
      </c>
      <c r="S970" s="47" t="n">
        <f aca="false">M970+N970+O970</f>
        <v>0.5395257</v>
      </c>
      <c r="T970" s="47" t="n">
        <f aca="false">M970+P970</f>
        <v>0.8056671</v>
      </c>
    </row>
    <row r="971" customFormat="false" ht="15" hidden="false" customHeight="false" outlineLevel="0" collapsed="false">
      <c r="A971" s="42" t="s">
        <v>45</v>
      </c>
      <c r="B971" s="42" t="n">
        <v>-16</v>
      </c>
      <c r="C971" s="42" t="n">
        <v>70</v>
      </c>
      <c r="D971" s="42" t="n">
        <v>74290985</v>
      </c>
      <c r="E971" s="43" t="n">
        <v>0.645026899913908</v>
      </c>
      <c r="F971" s="43" t="n">
        <v>0.749358417583482</v>
      </c>
      <c r="G971" s="43" t="n">
        <v>0.751343010950966</v>
      </c>
      <c r="H971" s="43" t="n">
        <v>0.768138277202184</v>
      </c>
      <c r="I971" s="42" t="n">
        <v>1</v>
      </c>
      <c r="J971" s="42" t="n">
        <v>1</v>
      </c>
      <c r="K971" s="44" t="str">
        <f aca="false">IF(AND(I971=1,J971=1),"两者都跟住",IF(AND(I971=0,J971=1),"仅 PC-TBD 跟住",IF(AND(I971=1,J971=0),"仅 VIT-LPS 跟住","都没跟住")))</f>
        <v>两者都跟住</v>
      </c>
      <c r="L971" s="45" t="n">
        <f aca="false">F971-G971</f>
        <v>-0.00198459336748402</v>
      </c>
      <c r="M971" s="46" t="n">
        <v>0.1721796</v>
      </c>
      <c r="N971" s="46" t="n">
        <v>0.1068988</v>
      </c>
      <c r="O971" s="46" t="n">
        <v>0.2259704</v>
      </c>
      <c r="P971" s="46" t="n">
        <v>0.5311457</v>
      </c>
      <c r="Q971" s="46" t="n">
        <v>1.8062714</v>
      </c>
      <c r="R971" s="46" t="n">
        <v>1.7304139</v>
      </c>
      <c r="S971" s="47" t="n">
        <f aca="false">M971+N971+O971</f>
        <v>0.5050488</v>
      </c>
      <c r="T971" s="47" t="n">
        <f aca="false">M971+P971</f>
        <v>0.7033253</v>
      </c>
    </row>
    <row r="972" customFormat="false" ht="15" hidden="false" customHeight="false" outlineLevel="0" collapsed="false">
      <c r="A972" s="42" t="s">
        <v>45</v>
      </c>
      <c r="B972" s="42" t="n">
        <v>-16</v>
      </c>
      <c r="C972" s="42" t="n">
        <v>71</v>
      </c>
      <c r="D972" s="42" t="n">
        <v>74290986</v>
      </c>
      <c r="E972" s="43" t="n">
        <v>0.325118860831856</v>
      </c>
      <c r="F972" s="43" t="n">
        <v>0.701033523854951</v>
      </c>
      <c r="G972" s="43" t="n">
        <v>0.70656684758329</v>
      </c>
      <c r="H972" s="43" t="n">
        <v>0.711514676893111</v>
      </c>
      <c r="I972" s="42" t="n">
        <v>1</v>
      </c>
      <c r="J972" s="42" t="n">
        <v>1</v>
      </c>
      <c r="K972" s="44" t="str">
        <f aca="false">IF(AND(I972=1,J972=1),"两者都跟住",IF(AND(I972=0,J972=1),"仅 PC-TBD 跟住",IF(AND(I972=1,J972=0),"仅 VIT-LPS 跟住","都没跟住")))</f>
        <v>两者都跟住</v>
      </c>
      <c r="L972" s="45" t="n">
        <f aca="false">F972-G972</f>
        <v>-0.00553332372833904</v>
      </c>
      <c r="M972" s="46" t="n">
        <v>0.2543427</v>
      </c>
      <c r="N972" s="46" t="n">
        <v>0.1405689</v>
      </c>
      <c r="O972" s="46" t="n">
        <v>0.2359388</v>
      </c>
      <c r="P972" s="46" t="n">
        <v>0.659825</v>
      </c>
      <c r="Q972" s="46" t="n">
        <v>2.1540542</v>
      </c>
      <c r="R972" s="46" t="n">
        <v>1.8856621</v>
      </c>
      <c r="S972" s="47" t="n">
        <f aca="false">M972+N972+O972</f>
        <v>0.6308504</v>
      </c>
      <c r="T972" s="47" t="n">
        <f aca="false">M972+P972</f>
        <v>0.9141677</v>
      </c>
    </row>
    <row r="973" customFormat="false" ht="15" hidden="false" customHeight="false" outlineLevel="0" collapsed="false">
      <c r="A973" s="42" t="s">
        <v>45</v>
      </c>
      <c r="B973" s="42" t="n">
        <v>-16</v>
      </c>
      <c r="C973" s="42" t="n">
        <v>72</v>
      </c>
      <c r="D973" s="42" t="n">
        <v>74290987</v>
      </c>
      <c r="E973" s="43" t="n">
        <v>0.353506448815605</v>
      </c>
      <c r="F973" s="43" t="n">
        <v>0.655005680408261</v>
      </c>
      <c r="G973" s="43" t="n">
        <v>0.468190995480549</v>
      </c>
      <c r="H973" s="43" t="n">
        <v>0.471755993137425</v>
      </c>
      <c r="I973" s="42" t="n">
        <v>1</v>
      </c>
      <c r="J973" s="42" t="n">
        <v>0</v>
      </c>
      <c r="K973" s="44" t="str">
        <f aca="false">IF(AND(I973=1,J973=1),"两者都跟住",IF(AND(I973=0,J973=1),"仅 PC-TBD 跟住",IF(AND(I973=1,J973=0),"仅 VIT-LPS 跟住","都没跟住")))</f>
        <v>仅 VIT-LPS 跟住</v>
      </c>
      <c r="L973" s="45" t="n">
        <f aca="false">F973-G973</f>
        <v>0.186814684927712</v>
      </c>
      <c r="M973" s="46" t="n">
        <v>0.2708484</v>
      </c>
      <c r="N973" s="46" t="n">
        <v>0.1469807</v>
      </c>
      <c r="O973" s="46" t="n">
        <v>0.2614603</v>
      </c>
      <c r="P973" s="46" t="n">
        <v>0.6016512</v>
      </c>
      <c r="Q973" s="46" t="n">
        <v>5.3976901</v>
      </c>
      <c r="R973" s="46" t="n">
        <v>2.5085179</v>
      </c>
      <c r="S973" s="47" t="n">
        <f aca="false">M973+N973+O973</f>
        <v>0.6792894</v>
      </c>
      <c r="T973" s="47" t="n">
        <f aca="false">M973+P973</f>
        <v>0.8724996</v>
      </c>
    </row>
    <row r="974" customFormat="false" ht="15" hidden="false" customHeight="false" outlineLevel="0" collapsed="false">
      <c r="A974" s="42" t="s">
        <v>45</v>
      </c>
      <c r="B974" s="42" t="n">
        <v>-16</v>
      </c>
      <c r="C974" s="42" t="n">
        <v>73</v>
      </c>
      <c r="D974" s="42" t="n">
        <v>74290988</v>
      </c>
      <c r="E974" s="43" t="n">
        <v>0.392857243032677</v>
      </c>
      <c r="F974" s="43" t="n">
        <v>0.696918521292191</v>
      </c>
      <c r="G974" s="43" t="n">
        <v>0.744495448221926</v>
      </c>
      <c r="H974" s="43" t="n">
        <v>0.743671588265646</v>
      </c>
      <c r="I974" s="42" t="n">
        <v>1</v>
      </c>
      <c r="J974" s="42" t="n">
        <v>1</v>
      </c>
      <c r="K974" s="44" t="str">
        <f aca="false">IF(AND(I974=1,J974=1),"两者都跟住",IF(AND(I974=0,J974=1),"仅 PC-TBD 跟住",IF(AND(I974=1,J974=0),"仅 VIT-LPS 跟住","都没跟住")))</f>
        <v>两者都跟住</v>
      </c>
      <c r="L974" s="45" t="n">
        <f aca="false">F974-G974</f>
        <v>-0.047576926929735</v>
      </c>
      <c r="M974" s="46" t="n">
        <v>0.2757348</v>
      </c>
      <c r="N974" s="46" t="n">
        <v>0.1280859</v>
      </c>
      <c r="O974" s="46" t="n">
        <v>0.3043345</v>
      </c>
      <c r="P974" s="46" t="n">
        <v>0.519964</v>
      </c>
      <c r="Q974" s="46" t="n">
        <v>5.8572535</v>
      </c>
      <c r="R974" s="46" t="n">
        <v>3.2673785</v>
      </c>
      <c r="S974" s="47" t="n">
        <f aca="false">M974+N974+O974</f>
        <v>0.7081552</v>
      </c>
      <c r="T974" s="47" t="n">
        <f aca="false">M974+P974</f>
        <v>0.7956988</v>
      </c>
    </row>
    <row r="975" customFormat="false" ht="15" hidden="false" customHeight="false" outlineLevel="0" collapsed="false">
      <c r="A975" s="42" t="s">
        <v>45</v>
      </c>
      <c r="B975" s="42" t="n">
        <v>-16</v>
      </c>
      <c r="C975" s="42" t="n">
        <v>74</v>
      </c>
      <c r="D975" s="42" t="n">
        <v>74290989</v>
      </c>
      <c r="E975" s="43" t="n">
        <v>0.536222212402191</v>
      </c>
      <c r="F975" s="43" t="n">
        <v>0.750500283185239</v>
      </c>
      <c r="G975" s="43" t="n">
        <v>0.770839146776804</v>
      </c>
      <c r="H975" s="43" t="n">
        <v>0.758677955601715</v>
      </c>
      <c r="I975" s="42" t="n">
        <v>1</v>
      </c>
      <c r="J975" s="42" t="n">
        <v>1</v>
      </c>
      <c r="K975" s="44" t="str">
        <f aca="false">IF(AND(I975=1,J975=1),"两者都跟住",IF(AND(I975=0,J975=1),"仅 PC-TBD 跟住",IF(AND(I975=1,J975=0),"仅 VIT-LPS 跟住","都没跟住")))</f>
        <v>两者都跟住</v>
      </c>
      <c r="L975" s="45" t="n">
        <f aca="false">F975-G975</f>
        <v>-0.020338863591565</v>
      </c>
      <c r="M975" s="46" t="n">
        <v>0.2601283</v>
      </c>
      <c r="N975" s="46" t="n">
        <v>0.1456412</v>
      </c>
      <c r="O975" s="46" t="n">
        <v>0.2572848</v>
      </c>
      <c r="P975" s="46" t="n">
        <v>0.6271725</v>
      </c>
      <c r="Q975" s="46" t="n">
        <v>2.3442255</v>
      </c>
      <c r="R975" s="46" t="n">
        <v>2.9744252</v>
      </c>
      <c r="S975" s="47" t="n">
        <f aca="false">M975+N975+O975</f>
        <v>0.6630543</v>
      </c>
      <c r="T975" s="47" t="n">
        <f aca="false">M975+P975</f>
        <v>0.8873008</v>
      </c>
    </row>
    <row r="976" customFormat="false" ht="15" hidden="false" customHeight="false" outlineLevel="0" collapsed="false">
      <c r="A976" s="42" t="s">
        <v>45</v>
      </c>
      <c r="B976" s="42" t="n">
        <v>-16</v>
      </c>
      <c r="C976" s="42" t="n">
        <v>75</v>
      </c>
      <c r="D976" s="42" t="n">
        <v>74290990</v>
      </c>
      <c r="E976" s="43" t="n">
        <v>0.184631813021085</v>
      </c>
      <c r="F976" s="43" t="n">
        <v>0.584733733812695</v>
      </c>
      <c r="G976" s="43" t="n">
        <v>0.651816581601405</v>
      </c>
      <c r="H976" s="43" t="n">
        <v>0.616448869152126</v>
      </c>
      <c r="I976" s="42" t="n">
        <v>1</v>
      </c>
      <c r="J976" s="42" t="n">
        <v>1</v>
      </c>
      <c r="K976" s="44" t="str">
        <f aca="false">IF(AND(I976=1,J976=1),"两者都跟住",IF(AND(I976=0,J976=1),"仅 PC-TBD 跟住",IF(AND(I976=1,J976=0),"仅 VIT-LPS 跟住","都没跟住")))</f>
        <v>两者都跟住</v>
      </c>
      <c r="L976" s="45" t="n">
        <f aca="false">F976-G976</f>
        <v>-0.06708284778871</v>
      </c>
      <c r="M976" s="46" t="n">
        <v>0.2627411</v>
      </c>
      <c r="N976" s="46" t="n">
        <v>0.1313353</v>
      </c>
      <c r="O976" s="46" t="n">
        <v>0.2786743</v>
      </c>
      <c r="P976" s="46" t="n">
        <v>0.5904974</v>
      </c>
      <c r="Q976" s="46" t="n">
        <v>5.9900695</v>
      </c>
      <c r="R976" s="46" t="n">
        <v>2.2338466</v>
      </c>
      <c r="S976" s="47" t="n">
        <f aca="false">M976+N976+O976</f>
        <v>0.6727507</v>
      </c>
      <c r="T976" s="47" t="n">
        <f aca="false">M976+P976</f>
        <v>0.8532385</v>
      </c>
    </row>
    <row r="977" customFormat="false" ht="15" hidden="false" customHeight="false" outlineLevel="0" collapsed="false">
      <c r="A977" s="42" t="s">
        <v>45</v>
      </c>
      <c r="B977" s="42" t="n">
        <v>-16</v>
      </c>
      <c r="C977" s="42" t="n">
        <v>76</v>
      </c>
      <c r="D977" s="42" t="n">
        <v>74290991</v>
      </c>
      <c r="E977" s="43" t="n">
        <v>0.517217319857067</v>
      </c>
      <c r="F977" s="43" t="n">
        <v>0.607700559818478</v>
      </c>
      <c r="G977" s="43" t="n">
        <v>0.773757416078326</v>
      </c>
      <c r="H977" s="43" t="n">
        <v>0.742440572833657</v>
      </c>
      <c r="I977" s="42" t="n">
        <v>1</v>
      </c>
      <c r="J977" s="42" t="n">
        <v>1</v>
      </c>
      <c r="K977" s="44" t="str">
        <f aca="false">IF(AND(I977=1,J977=1),"两者都跟住",IF(AND(I977=0,J977=1),"仅 PC-TBD 跟住",IF(AND(I977=1,J977=0),"仅 VIT-LPS 跟住","都没跟住")))</f>
        <v>两者都跟住</v>
      </c>
      <c r="L977" s="45" t="n">
        <f aca="false">F977-G977</f>
        <v>-0.166056856259848</v>
      </c>
      <c r="M977" s="46" t="n">
        <v>0.2805973</v>
      </c>
      <c r="N977" s="46" t="n">
        <v>0.1259055</v>
      </c>
      <c r="O977" s="46" t="n">
        <v>0.2546232</v>
      </c>
      <c r="P977" s="46" t="n">
        <v>0.6150854</v>
      </c>
      <c r="Q977" s="46" t="n">
        <v>2.3979126</v>
      </c>
      <c r="R977" s="46" t="n">
        <v>2.8551299</v>
      </c>
      <c r="S977" s="47" t="n">
        <f aca="false">M977+N977+O977</f>
        <v>0.661126</v>
      </c>
      <c r="T977" s="47" t="n">
        <f aca="false">M977+P977</f>
        <v>0.8956827</v>
      </c>
    </row>
    <row r="978" customFormat="false" ht="15" hidden="false" customHeight="false" outlineLevel="0" collapsed="false">
      <c r="A978" s="42" t="s">
        <v>45</v>
      </c>
      <c r="B978" s="42" t="n">
        <v>-16</v>
      </c>
      <c r="C978" s="42" t="n">
        <v>77</v>
      </c>
      <c r="D978" s="42" t="n">
        <v>74290992</v>
      </c>
      <c r="E978" s="43" t="n">
        <v>0.443015419165403</v>
      </c>
      <c r="F978" s="43" t="n">
        <v>0.652864587001187</v>
      </c>
      <c r="G978" s="43" t="n">
        <v>0.708945827354639</v>
      </c>
      <c r="H978" s="43" t="n">
        <v>0.710412612386903</v>
      </c>
      <c r="I978" s="42" t="n">
        <v>1</v>
      </c>
      <c r="J978" s="42" t="n">
        <v>1</v>
      </c>
      <c r="K978" s="44" t="str">
        <f aca="false">IF(AND(I978=1,J978=1),"两者都跟住",IF(AND(I978=0,J978=1),"仅 PC-TBD 跟住",IF(AND(I978=1,J978=0),"仅 VIT-LPS 跟住","都没跟住")))</f>
        <v>两者都跟住</v>
      </c>
      <c r="L978" s="45" t="n">
        <f aca="false">F978-G978</f>
        <v>-0.056081240353452</v>
      </c>
      <c r="M978" s="46" t="n">
        <v>0.1786865</v>
      </c>
      <c r="N978" s="46" t="n">
        <v>0.1213006</v>
      </c>
      <c r="O978" s="46" t="n">
        <v>0.2775609</v>
      </c>
      <c r="P978" s="46" t="n">
        <v>0.7471311</v>
      </c>
      <c r="Q978" s="46" t="n">
        <v>2.853581</v>
      </c>
      <c r="R978" s="46" t="n">
        <v>1.8921026</v>
      </c>
      <c r="S978" s="47" t="n">
        <f aca="false">M978+N978+O978</f>
        <v>0.577548</v>
      </c>
      <c r="T978" s="47" t="n">
        <f aca="false">M978+P978</f>
        <v>0.9258176</v>
      </c>
    </row>
    <row r="979" customFormat="false" ht="15" hidden="false" customHeight="false" outlineLevel="0" collapsed="false">
      <c r="A979" s="42" t="s">
        <v>45</v>
      </c>
      <c r="B979" s="42" t="n">
        <v>-16</v>
      </c>
      <c r="C979" s="42" t="n">
        <v>78</v>
      </c>
      <c r="D979" s="42" t="n">
        <v>74290993</v>
      </c>
      <c r="E979" s="43" t="n">
        <v>0.539408208914914</v>
      </c>
      <c r="F979" s="43" t="n">
        <v>0.732224762301567</v>
      </c>
      <c r="G979" s="43" t="n">
        <v>0.725062281357251</v>
      </c>
      <c r="H979" s="43" t="n">
        <v>0.718635074345794</v>
      </c>
      <c r="I979" s="42" t="n">
        <v>1</v>
      </c>
      <c r="J979" s="42" t="n">
        <v>1</v>
      </c>
      <c r="K979" s="44" t="str">
        <f aca="false">IF(AND(I979=1,J979=1),"两者都跟住",IF(AND(I979=0,J979=1),"仅 PC-TBD 跟住",IF(AND(I979=1,J979=0),"仅 VIT-LPS 跟住","都没跟住")))</f>
        <v>两者都跟住</v>
      </c>
      <c r="L979" s="45" t="n">
        <f aca="false">F979-G979</f>
        <v>0.00716248094431593</v>
      </c>
      <c r="M979" s="46" t="n">
        <v>0.1721262</v>
      </c>
      <c r="N979" s="46" t="n">
        <v>0.0953986</v>
      </c>
      <c r="O979" s="46" t="n">
        <v>0.1931304</v>
      </c>
      <c r="P979" s="46" t="n">
        <v>0.5062744</v>
      </c>
      <c r="Q979" s="46" t="n">
        <v>1.7411663</v>
      </c>
      <c r="R979" s="46" t="n">
        <v>1.013176</v>
      </c>
      <c r="S979" s="47" t="n">
        <f aca="false">M979+N979+O979</f>
        <v>0.4606552</v>
      </c>
      <c r="T979" s="47" t="n">
        <f aca="false">M979+P979</f>
        <v>0.6784006</v>
      </c>
    </row>
    <row r="980" customFormat="false" ht="15" hidden="false" customHeight="false" outlineLevel="0" collapsed="false">
      <c r="A980" s="42" t="s">
        <v>45</v>
      </c>
      <c r="B980" s="42" t="n">
        <v>-16</v>
      </c>
      <c r="C980" s="42" t="n">
        <v>79</v>
      </c>
      <c r="D980" s="42" t="n">
        <v>74290994</v>
      </c>
      <c r="E980" s="43" t="n">
        <v>0.666275688049357</v>
      </c>
      <c r="F980" s="43" t="n">
        <v>0.727739801066468</v>
      </c>
      <c r="G980" s="43" t="n">
        <v>0.748406078013231</v>
      </c>
      <c r="H980" s="43" t="n">
        <v>0.743881861246117</v>
      </c>
      <c r="I980" s="42" t="n">
        <v>1</v>
      </c>
      <c r="J980" s="42" t="n">
        <v>1</v>
      </c>
      <c r="K980" s="44" t="str">
        <f aca="false">IF(AND(I980=1,J980=1),"两者都跟住",IF(AND(I980=0,J980=1),"仅 PC-TBD 跟住",IF(AND(I980=1,J980=0),"仅 VIT-LPS 跟住","都没跟住")))</f>
        <v>两者都跟住</v>
      </c>
      <c r="L980" s="45" t="n">
        <f aca="false">F980-G980</f>
        <v>-0.020666276946763</v>
      </c>
      <c r="M980" s="46" t="n">
        <v>0.2044872</v>
      </c>
      <c r="N980" s="46" t="n">
        <v>0.0924068</v>
      </c>
      <c r="O980" s="46" t="n">
        <v>0.1418251</v>
      </c>
      <c r="P980" s="46" t="n">
        <v>0.5428078</v>
      </c>
      <c r="Q980" s="46" t="n">
        <v>2.390991</v>
      </c>
      <c r="R980" s="46" t="n">
        <v>1.8161836</v>
      </c>
      <c r="S980" s="47" t="n">
        <f aca="false">M980+N980+O980</f>
        <v>0.4387191</v>
      </c>
      <c r="T980" s="47" t="n">
        <f aca="false">M980+P980</f>
        <v>0.747295</v>
      </c>
    </row>
    <row r="981" customFormat="false" ht="15" hidden="false" customHeight="false" outlineLevel="0" collapsed="false">
      <c r="A981" s="42" t="s">
        <v>45</v>
      </c>
      <c r="B981" s="42" t="n">
        <v>-16</v>
      </c>
      <c r="C981" s="42" t="n">
        <v>80</v>
      </c>
      <c r="D981" s="42" t="n">
        <v>74290995</v>
      </c>
      <c r="E981" s="43" t="n">
        <v>0.580614544101067</v>
      </c>
      <c r="F981" s="43" t="n">
        <v>0.700611315650018</v>
      </c>
      <c r="G981" s="43" t="n">
        <v>0.709982840748158</v>
      </c>
      <c r="H981" s="43" t="n">
        <v>0.722618419135118</v>
      </c>
      <c r="I981" s="42" t="n">
        <v>1</v>
      </c>
      <c r="J981" s="42" t="n">
        <v>1</v>
      </c>
      <c r="K981" s="44" t="str">
        <f aca="false">IF(AND(I981=1,J981=1),"两者都跟住",IF(AND(I981=0,J981=1),"仅 PC-TBD 跟住",IF(AND(I981=1,J981=0),"仅 VIT-LPS 跟住","都没跟住")))</f>
        <v>两者都跟住</v>
      </c>
      <c r="L981" s="45" t="n">
        <f aca="false">F981-G981</f>
        <v>-0.00937152509813999</v>
      </c>
      <c r="M981" s="46" t="n">
        <v>0.1721242</v>
      </c>
      <c r="N981" s="46" t="n">
        <v>0.1244899</v>
      </c>
      <c r="O981" s="46" t="n">
        <v>0.1948972</v>
      </c>
      <c r="P981" s="46" t="n">
        <v>0.5624957</v>
      </c>
      <c r="Q981" s="46" t="n">
        <v>2.1643505</v>
      </c>
      <c r="R981" s="46" t="n">
        <v>1.6948509</v>
      </c>
      <c r="S981" s="47" t="n">
        <f aca="false">M981+N981+O981</f>
        <v>0.4915113</v>
      </c>
      <c r="T981" s="47" t="n">
        <f aca="false">M981+P981</f>
        <v>0.7346199</v>
      </c>
    </row>
    <row r="982" customFormat="false" ht="15" hidden="false" customHeight="false" outlineLevel="0" collapsed="false">
      <c r="A982" s="42" t="s">
        <v>45</v>
      </c>
      <c r="B982" s="42" t="n">
        <v>-16</v>
      </c>
      <c r="C982" s="42" t="n">
        <v>81</v>
      </c>
      <c r="D982" s="42" t="n">
        <v>74290996</v>
      </c>
      <c r="E982" s="43" t="n">
        <v>0.360969737183935</v>
      </c>
      <c r="F982" s="43" t="n">
        <v>0.614544297179204</v>
      </c>
      <c r="G982" s="43" t="n">
        <v>0.742991983796764</v>
      </c>
      <c r="H982" s="43" t="n">
        <v>0.750962179383446</v>
      </c>
      <c r="I982" s="42" t="n">
        <v>1</v>
      </c>
      <c r="J982" s="42" t="n">
        <v>1</v>
      </c>
      <c r="K982" s="44" t="str">
        <f aca="false">IF(AND(I982=1,J982=1),"两者都跟住",IF(AND(I982=0,J982=1),"仅 PC-TBD 跟住",IF(AND(I982=1,J982=0),"仅 VIT-LPS 跟住","都没跟住")))</f>
        <v>两者都跟住</v>
      </c>
      <c r="L982" s="45" t="n">
        <f aca="false">F982-G982</f>
        <v>-0.12844768661756</v>
      </c>
      <c r="M982" s="46" t="n">
        <v>0.2565754</v>
      </c>
      <c r="N982" s="46" t="n">
        <v>0.116245</v>
      </c>
      <c r="O982" s="46" t="n">
        <v>0.2095893</v>
      </c>
      <c r="P982" s="46" t="n">
        <v>0.5091893</v>
      </c>
      <c r="Q982" s="46" t="n">
        <v>2.805555</v>
      </c>
      <c r="R982" s="46" t="n">
        <v>2.4876205</v>
      </c>
      <c r="S982" s="47" t="n">
        <f aca="false">M982+N982+O982</f>
        <v>0.5824097</v>
      </c>
      <c r="T982" s="47" t="n">
        <f aca="false">M982+P982</f>
        <v>0.7657647</v>
      </c>
    </row>
    <row r="983" customFormat="false" ht="15" hidden="false" customHeight="false" outlineLevel="0" collapsed="false">
      <c r="A983" s="42" t="s">
        <v>45</v>
      </c>
      <c r="B983" s="42" t="n">
        <v>-16</v>
      </c>
      <c r="C983" s="42" t="n">
        <v>82</v>
      </c>
      <c r="D983" s="42" t="n">
        <v>74290997</v>
      </c>
      <c r="E983" s="43" t="n">
        <v>0.719680242932137</v>
      </c>
      <c r="F983" s="43" t="n">
        <v>0.742371613640493</v>
      </c>
      <c r="G983" s="43" t="n">
        <v>0.749126531205696</v>
      </c>
      <c r="H983" s="43" t="n">
        <v>0.756084781684525</v>
      </c>
      <c r="I983" s="42" t="n">
        <v>1</v>
      </c>
      <c r="J983" s="42" t="n">
        <v>1</v>
      </c>
      <c r="K983" s="44" t="str">
        <f aca="false">IF(AND(I983=1,J983=1),"两者都跟住",IF(AND(I983=0,J983=1),"仅 PC-TBD 跟住",IF(AND(I983=1,J983=0),"仅 VIT-LPS 跟住","都没跟住")))</f>
        <v>两者都跟住</v>
      </c>
      <c r="L983" s="45" t="n">
        <f aca="false">F983-G983</f>
        <v>-0.00675491756520297</v>
      </c>
      <c r="M983" s="46" t="n">
        <v>0.2799099</v>
      </c>
      <c r="N983" s="46" t="n">
        <v>0.134931</v>
      </c>
      <c r="O983" s="46" t="n">
        <v>0.2277717</v>
      </c>
      <c r="P983" s="46" t="n">
        <v>0.5140519</v>
      </c>
      <c r="Q983" s="46" t="n">
        <v>2.5972942</v>
      </c>
      <c r="R983" s="46" t="n">
        <v>2.3284637</v>
      </c>
      <c r="S983" s="47" t="n">
        <f aca="false">M983+N983+O983</f>
        <v>0.6426126</v>
      </c>
      <c r="T983" s="47" t="n">
        <f aca="false">M983+P983</f>
        <v>0.7939618</v>
      </c>
    </row>
    <row r="984" customFormat="false" ht="15" hidden="false" customHeight="false" outlineLevel="0" collapsed="false">
      <c r="A984" s="42" t="s">
        <v>45</v>
      </c>
      <c r="B984" s="42" t="n">
        <v>-16</v>
      </c>
      <c r="C984" s="42" t="n">
        <v>83</v>
      </c>
      <c r="D984" s="42" t="n">
        <v>74290998</v>
      </c>
      <c r="E984" s="43" t="n">
        <v>0.30972592387806</v>
      </c>
      <c r="F984" s="43" t="n">
        <v>0.706130890080943</v>
      </c>
      <c r="G984" s="43" t="n">
        <v>0.730396179337897</v>
      </c>
      <c r="H984" s="43" t="n">
        <v>0.738529304889022</v>
      </c>
      <c r="I984" s="42" t="n">
        <v>1</v>
      </c>
      <c r="J984" s="42" t="n">
        <v>1</v>
      </c>
      <c r="K984" s="44" t="str">
        <f aca="false">IF(AND(I984=1,J984=1),"两者都跟住",IF(AND(I984=0,J984=1),"仅 PC-TBD 跟住",IF(AND(I984=1,J984=0),"仅 VIT-LPS 跟住","都没跟住")))</f>
        <v>两者都跟住</v>
      </c>
      <c r="L984" s="45" t="n">
        <f aca="false">F984-G984</f>
        <v>-0.024265289256954</v>
      </c>
      <c r="M984" s="46" t="n">
        <v>0.2382542</v>
      </c>
      <c r="N984" s="46" t="n">
        <v>0.1341928</v>
      </c>
      <c r="O984" s="46" t="n">
        <v>0.2140458</v>
      </c>
      <c r="P984" s="46" t="n">
        <v>0.5432588</v>
      </c>
      <c r="Q984" s="46" t="n">
        <v>3.0545928</v>
      </c>
      <c r="R984" s="46" t="n">
        <v>2.9900106</v>
      </c>
      <c r="S984" s="47" t="n">
        <f aca="false">M984+N984+O984</f>
        <v>0.5864928</v>
      </c>
      <c r="T984" s="47" t="n">
        <f aca="false">M984+P984</f>
        <v>0.781513</v>
      </c>
    </row>
    <row r="985" customFormat="false" ht="15" hidden="false" customHeight="false" outlineLevel="0" collapsed="false">
      <c r="A985" s="42" t="s">
        <v>45</v>
      </c>
      <c r="B985" s="42" t="n">
        <v>-16</v>
      </c>
      <c r="C985" s="42" t="n">
        <v>84</v>
      </c>
      <c r="D985" s="42" t="n">
        <v>74290999</v>
      </c>
      <c r="E985" s="43" t="n">
        <v>0.576530610791671</v>
      </c>
      <c r="F985" s="43" t="n">
        <v>0.747796424428825</v>
      </c>
      <c r="G985" s="43" t="n">
        <v>0.750281163319657</v>
      </c>
      <c r="H985" s="43" t="n">
        <v>0.736779718287168</v>
      </c>
      <c r="I985" s="42" t="n">
        <v>1</v>
      </c>
      <c r="J985" s="42" t="n">
        <v>1</v>
      </c>
      <c r="K985" s="44" t="str">
        <f aca="false">IF(AND(I985=1,J985=1),"两者都跟住",IF(AND(I985=0,J985=1),"仅 PC-TBD 跟住",IF(AND(I985=1,J985=0),"仅 VIT-LPS 跟住","都没跟住")))</f>
        <v>两者都跟住</v>
      </c>
      <c r="L985" s="45" t="n">
        <f aca="false">F985-G985</f>
        <v>-0.00248473889083201</v>
      </c>
      <c r="M985" s="46" t="n">
        <v>0.2634839</v>
      </c>
      <c r="N985" s="46" t="n">
        <v>0.1313851</v>
      </c>
      <c r="O985" s="46" t="n">
        <v>0.2089655</v>
      </c>
      <c r="P985" s="46" t="n">
        <v>0.5131948</v>
      </c>
      <c r="Q985" s="46" t="n">
        <v>3.0274788</v>
      </c>
      <c r="R985" s="46" t="n">
        <v>2.3161713</v>
      </c>
      <c r="S985" s="47" t="n">
        <f aca="false">M985+N985+O985</f>
        <v>0.6038345</v>
      </c>
      <c r="T985" s="47" t="n">
        <f aca="false">M985+P985</f>
        <v>0.7766787</v>
      </c>
    </row>
    <row r="986" customFormat="false" ht="15" hidden="false" customHeight="false" outlineLevel="0" collapsed="false">
      <c r="A986" s="42" t="s">
        <v>45</v>
      </c>
      <c r="B986" s="42" t="n">
        <v>-16</v>
      </c>
      <c r="C986" s="42" t="n">
        <v>85</v>
      </c>
      <c r="D986" s="42" t="n">
        <v>74291000</v>
      </c>
      <c r="E986" s="43" t="n">
        <v>0.44866304081716</v>
      </c>
      <c r="F986" s="43" t="n">
        <v>0.647445633992653</v>
      </c>
      <c r="G986" s="43" t="n">
        <v>0.589908778905488</v>
      </c>
      <c r="H986" s="43" t="n">
        <v>0.598109844127128</v>
      </c>
      <c r="I986" s="42" t="n">
        <v>1</v>
      </c>
      <c r="J986" s="42" t="n">
        <v>1</v>
      </c>
      <c r="K986" s="44" t="str">
        <f aca="false">IF(AND(I986=1,J986=1),"两者都跟住",IF(AND(I986=0,J986=1),"仅 PC-TBD 跟住",IF(AND(I986=1,J986=0),"仅 VIT-LPS 跟住","都没跟住")))</f>
        <v>两者都跟住</v>
      </c>
      <c r="L986" s="45" t="n">
        <f aca="false">F986-G986</f>
        <v>0.057536855087165</v>
      </c>
      <c r="M986" s="46" t="n">
        <v>0.2531965</v>
      </c>
      <c r="N986" s="46" t="n">
        <v>0.124999</v>
      </c>
      <c r="O986" s="46" t="n">
        <v>0.2055369</v>
      </c>
      <c r="P986" s="46" t="n">
        <v>0.5450852</v>
      </c>
      <c r="Q986" s="46" t="n">
        <v>2.8665598</v>
      </c>
      <c r="R986" s="46" t="n">
        <v>2.5213486</v>
      </c>
      <c r="S986" s="47" t="n">
        <f aca="false">M986+N986+O986</f>
        <v>0.5837324</v>
      </c>
      <c r="T986" s="47" t="n">
        <f aca="false">M986+P986</f>
        <v>0.7982817</v>
      </c>
    </row>
    <row r="987" customFormat="false" ht="15" hidden="false" customHeight="false" outlineLevel="0" collapsed="false">
      <c r="A987" s="42" t="s">
        <v>45</v>
      </c>
      <c r="B987" s="42" t="n">
        <v>-16</v>
      </c>
      <c r="C987" s="42" t="n">
        <v>86</v>
      </c>
      <c r="D987" s="42" t="n">
        <v>74291001</v>
      </c>
      <c r="E987" s="43" t="n">
        <v>0.419990219953438</v>
      </c>
      <c r="F987" s="43" t="n">
        <v>0.664716516390046</v>
      </c>
      <c r="G987" s="43" t="n">
        <v>0.632836359117903</v>
      </c>
      <c r="H987" s="43" t="n">
        <v>0.638797724363597</v>
      </c>
      <c r="I987" s="42" t="n">
        <v>1</v>
      </c>
      <c r="J987" s="42" t="n">
        <v>0</v>
      </c>
      <c r="K987" s="44" t="str">
        <f aca="false">IF(AND(I987=1,J987=1),"两者都跟住",IF(AND(I987=0,J987=1),"仅 PC-TBD 跟住",IF(AND(I987=1,J987=0),"仅 VIT-LPS 跟住","都没跟住")))</f>
        <v>仅 VIT-LPS 跟住</v>
      </c>
      <c r="L987" s="45" t="n">
        <f aca="false">F987-G987</f>
        <v>0.031880157272143</v>
      </c>
      <c r="M987" s="46" t="n">
        <v>0.2550129</v>
      </c>
      <c r="N987" s="46" t="n">
        <v>0.1187602</v>
      </c>
      <c r="O987" s="46" t="n">
        <v>0.1957348</v>
      </c>
      <c r="P987" s="46" t="n">
        <v>0.4687517</v>
      </c>
      <c r="Q987" s="46" t="n">
        <v>2.6440025</v>
      </c>
      <c r="R987" s="46" t="n">
        <v>2.8619813</v>
      </c>
      <c r="S987" s="47" t="n">
        <f aca="false">M987+N987+O987</f>
        <v>0.5695079</v>
      </c>
      <c r="T987" s="47" t="n">
        <f aca="false">M987+P987</f>
        <v>0.7237646</v>
      </c>
    </row>
    <row r="988" customFormat="false" ht="15" hidden="false" customHeight="false" outlineLevel="0" collapsed="false">
      <c r="A988" s="42" t="s">
        <v>45</v>
      </c>
      <c r="B988" s="42" t="n">
        <v>-16</v>
      </c>
      <c r="C988" s="42" t="n">
        <v>87</v>
      </c>
      <c r="D988" s="42" t="n">
        <v>74291002</v>
      </c>
      <c r="E988" s="43" t="n">
        <v>0.300397373687037</v>
      </c>
      <c r="F988" s="43" t="n">
        <v>0.749663062333055</v>
      </c>
      <c r="G988" s="43" t="n">
        <v>0.774692947410279</v>
      </c>
      <c r="H988" s="43" t="n">
        <v>0.774895998095416</v>
      </c>
      <c r="I988" s="42" t="n">
        <v>1</v>
      </c>
      <c r="J988" s="42" t="n">
        <v>1</v>
      </c>
      <c r="K988" s="44" t="str">
        <f aca="false">IF(AND(I988=1,J988=1),"两者都跟住",IF(AND(I988=0,J988=1),"仅 PC-TBD 跟住",IF(AND(I988=1,J988=0),"仅 VIT-LPS 跟住","都没跟住")))</f>
        <v>两者都跟住</v>
      </c>
      <c r="L988" s="45" t="n">
        <f aca="false">F988-G988</f>
        <v>-0.025029885077224</v>
      </c>
      <c r="M988" s="46" t="n">
        <v>0.1617735</v>
      </c>
      <c r="N988" s="46" t="n">
        <v>0.0790601</v>
      </c>
      <c r="O988" s="46" t="n">
        <v>0.1987786</v>
      </c>
      <c r="P988" s="46" t="n">
        <v>0.4325265</v>
      </c>
      <c r="Q988" s="46" t="n">
        <v>1.8105853</v>
      </c>
      <c r="R988" s="46" t="n">
        <v>1.8745341</v>
      </c>
      <c r="S988" s="47" t="n">
        <f aca="false">M988+N988+O988</f>
        <v>0.4396122</v>
      </c>
      <c r="T988" s="47" t="n">
        <f aca="false">M988+P988</f>
        <v>0.5943</v>
      </c>
    </row>
    <row r="989" customFormat="false" ht="15" hidden="false" customHeight="false" outlineLevel="0" collapsed="false">
      <c r="A989" s="42" t="s">
        <v>45</v>
      </c>
      <c r="B989" s="42" t="n">
        <v>-16</v>
      </c>
      <c r="C989" s="42" t="n">
        <v>88</v>
      </c>
      <c r="D989" s="42" t="n">
        <v>74291003</v>
      </c>
      <c r="E989" s="43" t="n">
        <v>0.426889005563744</v>
      </c>
      <c r="F989" s="43" t="n">
        <v>0.594314792803276</v>
      </c>
      <c r="G989" s="43" t="n">
        <v>0.535341123430456</v>
      </c>
      <c r="H989" s="43" t="n">
        <v>0.540692382886187</v>
      </c>
      <c r="I989" s="42" t="n">
        <v>1</v>
      </c>
      <c r="J989" s="42" t="n">
        <v>0</v>
      </c>
      <c r="K989" s="44" t="str">
        <f aca="false">IF(AND(I989=1,J989=1),"两者都跟住",IF(AND(I989=0,J989=1),"仅 PC-TBD 跟住",IF(AND(I989=1,J989=0),"仅 VIT-LPS 跟住","都没跟住")))</f>
        <v>仅 VIT-LPS 跟住</v>
      </c>
      <c r="L989" s="45" t="n">
        <f aca="false">F989-G989</f>
        <v>0.05897366937282</v>
      </c>
      <c r="M989" s="46" t="n">
        <v>0.1205093</v>
      </c>
      <c r="N989" s="46" t="n">
        <v>0.0889481</v>
      </c>
      <c r="O989" s="46" t="n">
        <v>0.1337407</v>
      </c>
      <c r="P989" s="46" t="n">
        <v>0.3722901</v>
      </c>
      <c r="Q989" s="46" t="n">
        <v>3.2256128</v>
      </c>
      <c r="R989" s="46" t="n">
        <v>1.8879392</v>
      </c>
      <c r="S989" s="47" t="n">
        <f aca="false">M989+N989+O989</f>
        <v>0.3431981</v>
      </c>
      <c r="T989" s="47" t="n">
        <f aca="false">M989+P989</f>
        <v>0.4927994</v>
      </c>
    </row>
    <row r="990" customFormat="false" ht="15" hidden="false" customHeight="false" outlineLevel="0" collapsed="false">
      <c r="A990" s="42" t="s">
        <v>45</v>
      </c>
      <c r="B990" s="42" t="n">
        <v>-16</v>
      </c>
      <c r="C990" s="42" t="n">
        <v>89</v>
      </c>
      <c r="D990" s="42" t="n">
        <v>74291004</v>
      </c>
      <c r="E990" s="43" t="n">
        <v>0.266223169708638</v>
      </c>
      <c r="F990" s="43" t="n">
        <v>0.744294291894538</v>
      </c>
      <c r="G990" s="43" t="n">
        <v>0.637748890209973</v>
      </c>
      <c r="H990" s="43" t="n">
        <v>0.669271459617412</v>
      </c>
      <c r="I990" s="42" t="n">
        <v>1</v>
      </c>
      <c r="J990" s="42" t="n">
        <v>0</v>
      </c>
      <c r="K990" s="44" t="str">
        <f aca="false">IF(AND(I990=1,J990=1),"两者都跟住",IF(AND(I990=0,J990=1),"仅 PC-TBD 跟住",IF(AND(I990=1,J990=0),"仅 VIT-LPS 跟住","都没跟住")))</f>
        <v>仅 VIT-LPS 跟住</v>
      </c>
      <c r="L990" s="45" t="n">
        <f aca="false">F990-G990</f>
        <v>0.106545401684565</v>
      </c>
      <c r="M990" s="46" t="n">
        <v>0.1186052</v>
      </c>
      <c r="N990" s="46" t="n">
        <v>0.0824046</v>
      </c>
      <c r="O990" s="46" t="n">
        <v>0.1799495</v>
      </c>
      <c r="P990" s="46" t="n">
        <v>0.4181581</v>
      </c>
      <c r="Q990" s="46" t="n">
        <v>1.8811594</v>
      </c>
      <c r="R990" s="46" t="n">
        <v>1.9488285</v>
      </c>
      <c r="S990" s="47" t="n">
        <f aca="false">M990+N990+O990</f>
        <v>0.3809593</v>
      </c>
      <c r="T990" s="47" t="n">
        <f aca="false">M990+P990</f>
        <v>0.5367633</v>
      </c>
    </row>
    <row r="991" customFormat="false" ht="15" hidden="false" customHeight="false" outlineLevel="0" collapsed="false">
      <c r="A991" s="42" t="s">
        <v>45</v>
      </c>
      <c r="B991" s="42" t="n">
        <v>-16</v>
      </c>
      <c r="C991" s="42" t="n">
        <v>90</v>
      </c>
      <c r="D991" s="42" t="n">
        <v>74291005</v>
      </c>
      <c r="E991" s="43" t="n">
        <v>0.592584888766904</v>
      </c>
      <c r="F991" s="43" t="n">
        <v>0.757637867362325</v>
      </c>
      <c r="G991" s="43" t="n">
        <v>0.764258536643141</v>
      </c>
      <c r="H991" s="43" t="n">
        <v>0.765907227804331</v>
      </c>
      <c r="I991" s="42" t="n">
        <v>1</v>
      </c>
      <c r="J991" s="42" t="n">
        <v>1</v>
      </c>
      <c r="K991" s="44" t="str">
        <f aca="false">IF(AND(I991=1,J991=1),"两者都跟住",IF(AND(I991=0,J991=1),"仅 PC-TBD 跟住",IF(AND(I991=1,J991=0),"仅 VIT-LPS 跟住","都没跟住")))</f>
        <v>两者都跟住</v>
      </c>
      <c r="L991" s="45" t="n">
        <f aca="false">F991-G991</f>
        <v>-0.00662066928081606</v>
      </c>
      <c r="M991" s="46" t="n">
        <v>0.1205557</v>
      </c>
      <c r="N991" s="46" t="n">
        <v>0.0865858</v>
      </c>
      <c r="O991" s="46" t="n">
        <v>0.1536692</v>
      </c>
      <c r="P991" s="46" t="n">
        <v>0.4133534</v>
      </c>
      <c r="Q991" s="46" t="n">
        <v>1.7389647</v>
      </c>
      <c r="R991" s="46" t="n">
        <v>2.2570454</v>
      </c>
      <c r="S991" s="47" t="n">
        <f aca="false">M991+N991+O991</f>
        <v>0.3608107</v>
      </c>
      <c r="T991" s="47" t="n">
        <f aca="false">M991+P991</f>
        <v>0.5339091</v>
      </c>
    </row>
    <row r="992" customFormat="false" ht="15" hidden="false" customHeight="false" outlineLevel="0" collapsed="false">
      <c r="A992" s="42" t="s">
        <v>45</v>
      </c>
      <c r="B992" s="42" t="n">
        <v>-16</v>
      </c>
      <c r="C992" s="42" t="n">
        <v>91</v>
      </c>
      <c r="D992" s="42" t="n">
        <v>74291006</v>
      </c>
      <c r="E992" s="43" t="n">
        <v>0.502212316338644</v>
      </c>
      <c r="F992" s="43" t="n">
        <v>0.664435792078276</v>
      </c>
      <c r="G992" s="43" t="n">
        <v>0.752924405828767</v>
      </c>
      <c r="H992" s="43" t="n">
        <v>0.768638939856671</v>
      </c>
      <c r="I992" s="42" t="n">
        <v>1</v>
      </c>
      <c r="J992" s="42" t="n">
        <v>1</v>
      </c>
      <c r="K992" s="44" t="str">
        <f aca="false">IF(AND(I992=1,J992=1),"两者都跟住",IF(AND(I992=0,J992=1),"仅 PC-TBD 跟住",IF(AND(I992=1,J992=0),"仅 VIT-LPS 跟住","都没跟住")))</f>
        <v>两者都跟住</v>
      </c>
      <c r="L992" s="45" t="n">
        <f aca="false">F992-G992</f>
        <v>-0.088488613750491</v>
      </c>
      <c r="M992" s="46" t="n">
        <v>0.2257878</v>
      </c>
      <c r="N992" s="46" t="n">
        <v>0.1051444</v>
      </c>
      <c r="O992" s="46" t="n">
        <v>0.1880741</v>
      </c>
      <c r="P992" s="46" t="n">
        <v>0.6029335</v>
      </c>
      <c r="Q992" s="46" t="n">
        <v>1.8488184</v>
      </c>
      <c r="R992" s="46" t="n">
        <v>2.1133516</v>
      </c>
      <c r="S992" s="47" t="n">
        <f aca="false">M992+N992+O992</f>
        <v>0.5190063</v>
      </c>
      <c r="T992" s="47" t="n">
        <f aca="false">M992+P992</f>
        <v>0.8287213</v>
      </c>
    </row>
    <row r="993" customFormat="false" ht="15" hidden="false" customHeight="false" outlineLevel="0" collapsed="false">
      <c r="A993" s="42" t="s">
        <v>45</v>
      </c>
      <c r="B993" s="42" t="n">
        <v>-16</v>
      </c>
      <c r="C993" s="42" t="n">
        <v>92</v>
      </c>
      <c r="D993" s="42" t="n">
        <v>74291007</v>
      </c>
      <c r="E993" s="43" t="n">
        <v>0.508641199698575</v>
      </c>
      <c r="F993" s="43" t="n">
        <v>0.431062977238241</v>
      </c>
      <c r="G993" s="43" t="n">
        <v>0.627522485143283</v>
      </c>
      <c r="H993" s="43" t="n">
        <v>0.66275431322481</v>
      </c>
      <c r="I993" s="42" t="n">
        <v>1</v>
      </c>
      <c r="J993" s="42" t="n">
        <v>1</v>
      </c>
      <c r="K993" s="44" t="str">
        <f aca="false">IF(AND(I993=1,J993=1),"两者都跟住",IF(AND(I993=0,J993=1),"仅 PC-TBD 跟住",IF(AND(I993=1,J993=0),"仅 VIT-LPS 跟住","都没跟住")))</f>
        <v>两者都跟住</v>
      </c>
      <c r="L993" s="45" t="n">
        <f aca="false">F993-G993</f>
        <v>-0.196459507905042</v>
      </c>
      <c r="M993" s="46" t="n">
        <v>0.2292398</v>
      </c>
      <c r="N993" s="46" t="n">
        <v>0.1313354</v>
      </c>
      <c r="O993" s="46" t="n">
        <v>0.196986</v>
      </c>
      <c r="P993" s="46" t="n">
        <v>0.5555562</v>
      </c>
      <c r="Q993" s="46" t="n">
        <v>3.374811</v>
      </c>
      <c r="R993" s="46" t="n">
        <v>3.2230863</v>
      </c>
      <c r="S993" s="47" t="n">
        <f aca="false">M993+N993+O993</f>
        <v>0.5575612</v>
      </c>
      <c r="T993" s="47" t="n">
        <f aca="false">M993+P993</f>
        <v>0.784796</v>
      </c>
    </row>
    <row r="994" customFormat="false" ht="15" hidden="false" customHeight="false" outlineLevel="0" collapsed="false">
      <c r="A994" s="42" t="s">
        <v>45</v>
      </c>
      <c r="B994" s="42" t="n">
        <v>-16</v>
      </c>
      <c r="C994" s="42" t="n">
        <v>93</v>
      </c>
      <c r="D994" s="42" t="n">
        <v>74291008</v>
      </c>
      <c r="E994" s="43" t="n">
        <v>0.35142877575578</v>
      </c>
      <c r="F994" s="43" t="n">
        <v>0.548767840023971</v>
      </c>
      <c r="G994" s="43" t="n">
        <v>0.533913148407214</v>
      </c>
      <c r="H994" s="43" t="n">
        <v>0.574528208045377</v>
      </c>
      <c r="I994" s="42" t="n">
        <v>1</v>
      </c>
      <c r="J994" s="42" t="n">
        <v>1</v>
      </c>
      <c r="K994" s="44" t="str">
        <f aca="false">IF(AND(I994=1,J994=1),"两者都跟住",IF(AND(I994=0,J994=1),"仅 PC-TBD 跟住",IF(AND(I994=1,J994=0),"仅 VIT-LPS 跟住","都没跟住")))</f>
        <v>两者都跟住</v>
      </c>
      <c r="L994" s="45" t="n">
        <f aca="false">F994-G994</f>
        <v>0.014854691616757</v>
      </c>
      <c r="M994" s="46" t="n">
        <v>0.2470903</v>
      </c>
      <c r="N994" s="46" t="n">
        <v>0.1374145</v>
      </c>
      <c r="O994" s="46" t="n">
        <v>0.2112331</v>
      </c>
      <c r="P994" s="46" t="n">
        <v>0.531688</v>
      </c>
      <c r="Q994" s="46" t="n">
        <v>6.4342285</v>
      </c>
      <c r="R994" s="46" t="n">
        <v>2.4216017</v>
      </c>
      <c r="S994" s="47" t="n">
        <f aca="false">M994+N994+O994</f>
        <v>0.5957379</v>
      </c>
      <c r="T994" s="47" t="n">
        <f aca="false">M994+P994</f>
        <v>0.7787783</v>
      </c>
    </row>
    <row r="995" customFormat="false" ht="15" hidden="false" customHeight="false" outlineLevel="0" collapsed="false">
      <c r="A995" s="42" t="s">
        <v>45</v>
      </c>
      <c r="B995" s="42" t="n">
        <v>-16</v>
      </c>
      <c r="C995" s="42" t="n">
        <v>94</v>
      </c>
      <c r="D995" s="42" t="n">
        <v>74291009</v>
      </c>
      <c r="E995" s="43" t="n">
        <v>0.43549996280305</v>
      </c>
      <c r="F995" s="43" t="n">
        <v>0.630562307467941</v>
      </c>
      <c r="G995" s="43" t="n">
        <v>0.674289964206955</v>
      </c>
      <c r="H995" s="43" t="n">
        <v>0.674525996316052</v>
      </c>
      <c r="I995" s="42" t="n">
        <v>1</v>
      </c>
      <c r="J995" s="42" t="n">
        <v>0</v>
      </c>
      <c r="K995" s="44" t="str">
        <f aca="false">IF(AND(I995=1,J995=1),"两者都跟住",IF(AND(I995=0,J995=1),"仅 PC-TBD 跟住",IF(AND(I995=1,J995=0),"仅 VIT-LPS 跟住","都没跟住")))</f>
        <v>仅 VIT-LPS 跟住</v>
      </c>
      <c r="L995" s="45" t="n">
        <f aca="false">F995-G995</f>
        <v>-0.043727656739014</v>
      </c>
      <c r="M995" s="46" t="n">
        <v>0.2563914</v>
      </c>
      <c r="N995" s="46" t="n">
        <v>0.1302595</v>
      </c>
      <c r="O995" s="46" t="n">
        <v>0.1916904</v>
      </c>
      <c r="P995" s="46" t="n">
        <v>0.4717784</v>
      </c>
      <c r="Q995" s="46" t="n">
        <v>2.6802115</v>
      </c>
      <c r="R995" s="46" t="n">
        <v>3.0000073</v>
      </c>
      <c r="S995" s="47" t="n">
        <f aca="false">M995+N995+O995</f>
        <v>0.5783413</v>
      </c>
      <c r="T995" s="47" t="n">
        <f aca="false">M995+P995</f>
        <v>0.7281698</v>
      </c>
    </row>
    <row r="996" customFormat="false" ht="15" hidden="false" customHeight="false" outlineLevel="0" collapsed="false">
      <c r="A996" s="42" t="s">
        <v>45</v>
      </c>
      <c r="B996" s="42" t="n">
        <v>-16</v>
      </c>
      <c r="C996" s="42" t="n">
        <v>95</v>
      </c>
      <c r="D996" s="42" t="n">
        <v>74291010</v>
      </c>
      <c r="E996" s="43" t="n">
        <v>0.388766098577651</v>
      </c>
      <c r="F996" s="43" t="n">
        <v>0.720955853027182</v>
      </c>
      <c r="G996" s="43" t="n">
        <v>0.681119778243976</v>
      </c>
      <c r="H996" s="43" t="n">
        <v>0.670866878867672</v>
      </c>
      <c r="I996" s="42" t="n">
        <v>1</v>
      </c>
      <c r="J996" s="42" t="n">
        <v>1</v>
      </c>
      <c r="K996" s="44" t="str">
        <f aca="false">IF(AND(I996=1,J996=1),"两者都跟住",IF(AND(I996=0,J996=1),"仅 PC-TBD 跟住",IF(AND(I996=1,J996=0),"仅 VIT-LPS 跟住","都没跟住")))</f>
        <v>两者都跟住</v>
      </c>
      <c r="L996" s="45" t="n">
        <f aca="false">F996-G996</f>
        <v>0.0398360747832061</v>
      </c>
      <c r="M996" s="46" t="n">
        <v>0.2338671</v>
      </c>
      <c r="N996" s="46" t="n">
        <v>0.1056853</v>
      </c>
      <c r="O996" s="46" t="n">
        <v>0.1798777</v>
      </c>
      <c r="P996" s="46" t="n">
        <v>0.4482676</v>
      </c>
      <c r="Q996" s="46" t="n">
        <v>2.9744748</v>
      </c>
      <c r="R996" s="46" t="n">
        <v>2.2750397</v>
      </c>
      <c r="S996" s="47" t="n">
        <f aca="false">M996+N996+O996</f>
        <v>0.5194301</v>
      </c>
      <c r="T996" s="47" t="n">
        <f aca="false">M996+P996</f>
        <v>0.6821347</v>
      </c>
    </row>
    <row r="997" customFormat="false" ht="15" hidden="false" customHeight="false" outlineLevel="0" collapsed="false">
      <c r="A997" s="42" t="s">
        <v>45</v>
      </c>
      <c r="B997" s="42" t="n">
        <v>-16</v>
      </c>
      <c r="C997" s="42" t="n">
        <v>96</v>
      </c>
      <c r="D997" s="42" t="n">
        <v>74291011</v>
      </c>
      <c r="E997" s="43" t="n">
        <v>0.604506480554563</v>
      </c>
      <c r="F997" s="43" t="n">
        <v>0.69528217467806</v>
      </c>
      <c r="G997" s="43" t="n">
        <v>0.748309256117387</v>
      </c>
      <c r="H997" s="43" t="n">
        <v>0.737827935740783</v>
      </c>
      <c r="I997" s="42" t="n">
        <v>1</v>
      </c>
      <c r="J997" s="42" t="n">
        <v>1</v>
      </c>
      <c r="K997" s="44" t="str">
        <f aca="false">IF(AND(I997=1,J997=1),"两者都跟住",IF(AND(I997=0,J997=1),"仅 PC-TBD 跟住",IF(AND(I997=1,J997=0),"仅 VIT-LPS 跟住","都没跟住")))</f>
        <v>两者都跟住</v>
      </c>
      <c r="L997" s="45" t="n">
        <f aca="false">F997-G997</f>
        <v>-0.053027081439327</v>
      </c>
      <c r="M997" s="46" t="n">
        <v>0.2625176</v>
      </c>
      <c r="N997" s="46" t="n">
        <v>0.111174</v>
      </c>
      <c r="O997" s="46" t="n">
        <v>0.1919416</v>
      </c>
      <c r="P997" s="46" t="n">
        <v>0.5114213</v>
      </c>
      <c r="Q997" s="46" t="n">
        <v>2.7060407</v>
      </c>
      <c r="R997" s="46" t="n">
        <v>3.2071343</v>
      </c>
      <c r="S997" s="47" t="n">
        <f aca="false">M997+N997+O997</f>
        <v>0.5656332</v>
      </c>
      <c r="T997" s="47" t="n">
        <f aca="false">M997+P997</f>
        <v>0.7739389</v>
      </c>
    </row>
    <row r="998" customFormat="false" ht="15" hidden="false" customHeight="false" outlineLevel="0" collapsed="false">
      <c r="A998" s="42" t="s">
        <v>45</v>
      </c>
      <c r="B998" s="42" t="n">
        <v>-16</v>
      </c>
      <c r="C998" s="42" t="n">
        <v>97</v>
      </c>
      <c r="D998" s="42" t="n">
        <v>74291012</v>
      </c>
      <c r="E998" s="43" t="n">
        <v>0.282335434760729</v>
      </c>
      <c r="F998" s="43" t="n">
        <v>0.732845643928351</v>
      </c>
      <c r="G998" s="43" t="n">
        <v>0.77584729903698</v>
      </c>
      <c r="H998" s="43" t="n">
        <v>0.734646616290036</v>
      </c>
      <c r="I998" s="42" t="n">
        <v>1</v>
      </c>
      <c r="J998" s="42" t="n">
        <v>1</v>
      </c>
      <c r="K998" s="44" t="str">
        <f aca="false">IF(AND(I998=1,J998=1),"两者都跟住",IF(AND(I998=0,J998=1),"仅 PC-TBD 跟住",IF(AND(I998=1,J998=0),"仅 VIT-LPS 跟住","都没跟住")))</f>
        <v>两者都跟住</v>
      </c>
      <c r="L998" s="45" t="n">
        <f aca="false">F998-G998</f>
        <v>-0.043001655108629</v>
      </c>
      <c r="M998" s="46" t="n">
        <v>0.128454</v>
      </c>
      <c r="N998" s="46" t="n">
        <v>0.0978122</v>
      </c>
      <c r="O998" s="46" t="n">
        <v>0.1355471</v>
      </c>
      <c r="P998" s="46" t="n">
        <v>0.4598148</v>
      </c>
      <c r="Q998" s="46" t="n">
        <v>2.0946479</v>
      </c>
      <c r="R998" s="46" t="n">
        <v>1.9583304</v>
      </c>
      <c r="S998" s="47" t="n">
        <f aca="false">M998+N998+O998</f>
        <v>0.3618133</v>
      </c>
      <c r="T998" s="47" t="n">
        <f aca="false">M998+P998</f>
        <v>0.5882688</v>
      </c>
    </row>
    <row r="999" customFormat="false" ht="15" hidden="false" customHeight="false" outlineLevel="0" collapsed="false">
      <c r="A999" s="42" t="s">
        <v>45</v>
      </c>
      <c r="B999" s="42" t="n">
        <v>-16</v>
      </c>
      <c r="C999" s="42" t="n">
        <v>98</v>
      </c>
      <c r="D999" s="42" t="n">
        <v>74291013</v>
      </c>
      <c r="E999" s="43" t="n">
        <v>0.310631905563424</v>
      </c>
      <c r="F999" s="43" t="n">
        <v>0.691516546048418</v>
      </c>
      <c r="G999" s="43" t="n">
        <v>0.706008968738221</v>
      </c>
      <c r="H999" s="43" t="n">
        <v>0.70283119033374</v>
      </c>
      <c r="I999" s="42" t="n">
        <v>1</v>
      </c>
      <c r="J999" s="42" t="n">
        <v>1</v>
      </c>
      <c r="K999" s="44" t="str">
        <f aca="false">IF(AND(I999=1,J999=1),"两者都跟住",IF(AND(I999=0,J999=1),"仅 PC-TBD 跟住",IF(AND(I999=1,J999=0),"仅 VIT-LPS 跟住","都没跟住")))</f>
        <v>两者都跟住</v>
      </c>
      <c r="L999" s="45" t="n">
        <f aca="false">F999-G999</f>
        <v>-0.0144924226898031</v>
      </c>
      <c r="M999" s="46" t="n">
        <v>0.1603878</v>
      </c>
      <c r="N999" s="46" t="n">
        <v>0.0642953</v>
      </c>
      <c r="O999" s="46" t="n">
        <v>0.1740093</v>
      </c>
      <c r="P999" s="46" t="n">
        <v>0.4309369</v>
      </c>
      <c r="Q999" s="46" t="n">
        <v>2.0172032</v>
      </c>
      <c r="R999" s="46" t="n">
        <v>1.7114259</v>
      </c>
      <c r="S999" s="47" t="n">
        <f aca="false">M999+N999+O999</f>
        <v>0.3986924</v>
      </c>
      <c r="T999" s="47" t="n">
        <f aca="false">M999+P999</f>
        <v>0.5913247</v>
      </c>
    </row>
    <row r="1000" customFormat="false" ht="15" hidden="false" customHeight="false" outlineLevel="0" collapsed="false">
      <c r="A1000" s="42" t="s">
        <v>45</v>
      </c>
      <c r="B1000" s="42" t="n">
        <v>-16</v>
      </c>
      <c r="C1000" s="42" t="n">
        <v>99</v>
      </c>
      <c r="D1000" s="42" t="n">
        <v>74291014</v>
      </c>
      <c r="E1000" s="43" t="n">
        <v>0.290771359385931</v>
      </c>
      <c r="F1000" s="43" t="n">
        <v>0.643269262615925</v>
      </c>
      <c r="G1000" s="43" t="n">
        <v>0.710534002246529</v>
      </c>
      <c r="H1000" s="43" t="n">
        <v>0.713150764806532</v>
      </c>
      <c r="I1000" s="42" t="n">
        <v>1</v>
      </c>
      <c r="J1000" s="42" t="n">
        <v>1</v>
      </c>
      <c r="K1000" s="44" t="str">
        <f aca="false">IF(AND(I1000=1,J1000=1),"两者都跟住",IF(AND(I1000=0,J1000=1),"仅 PC-TBD 跟住",IF(AND(I1000=1,J1000=0),"仅 VIT-LPS 跟住","都没跟住")))</f>
        <v>两者都跟住</v>
      </c>
      <c r="L1000" s="45" t="n">
        <f aca="false">F1000-G1000</f>
        <v>-0.067264739630604</v>
      </c>
      <c r="M1000" s="46" t="n">
        <v>0.154643</v>
      </c>
      <c r="N1000" s="46" t="n">
        <v>0.0906233</v>
      </c>
      <c r="O1000" s="46" t="n">
        <v>0.1492227</v>
      </c>
      <c r="P1000" s="46" t="n">
        <v>0.4850769</v>
      </c>
      <c r="Q1000" s="46" t="n">
        <v>1.8356494</v>
      </c>
      <c r="R1000" s="46" t="n">
        <v>1.2101763</v>
      </c>
      <c r="S1000" s="47" t="n">
        <f aca="false">M1000+N1000+O1000</f>
        <v>0.394489</v>
      </c>
      <c r="T1000" s="47" t="n">
        <f aca="false">M1000+P1000</f>
        <v>0.6397199</v>
      </c>
    </row>
    <row r="1001" customFormat="false" ht="15" hidden="false" customHeight="false" outlineLevel="0" collapsed="false">
      <c r="A1001" s="42" t="s">
        <v>45</v>
      </c>
      <c r="B1001" s="42" t="n">
        <v>-16</v>
      </c>
      <c r="C1001" s="42" t="n">
        <v>100</v>
      </c>
      <c r="D1001" s="42" t="n">
        <v>74291015</v>
      </c>
      <c r="E1001" s="43" t="n">
        <v>0.462479018521338</v>
      </c>
      <c r="F1001" s="43" t="n">
        <v>0.524190855568204</v>
      </c>
      <c r="G1001" s="43" t="n">
        <v>0.556228684588869</v>
      </c>
      <c r="H1001" s="43" t="n">
        <v>0.55667751503722</v>
      </c>
      <c r="I1001" s="42" t="n">
        <v>1</v>
      </c>
      <c r="J1001" s="42" t="n">
        <v>0</v>
      </c>
      <c r="K1001" s="44" t="str">
        <f aca="false">IF(AND(I1001=1,J1001=1),"两者都跟住",IF(AND(I1001=0,J1001=1),"仅 PC-TBD 跟住",IF(AND(I1001=1,J1001=0),"仅 VIT-LPS 跟住","都没跟住")))</f>
        <v>仅 VIT-LPS 跟住</v>
      </c>
      <c r="L1001" s="45" t="n">
        <f aca="false">F1001-G1001</f>
        <v>-0.032037829020665</v>
      </c>
      <c r="M1001" s="46" t="n">
        <v>0.1331182</v>
      </c>
      <c r="N1001" s="46" t="n">
        <v>0.0681043</v>
      </c>
      <c r="O1001" s="46" t="n">
        <v>0.1697674</v>
      </c>
      <c r="P1001" s="46" t="n">
        <v>0.3787491</v>
      </c>
      <c r="Q1001" s="46" t="n">
        <v>2.2227369</v>
      </c>
      <c r="R1001" s="46" t="n">
        <v>1.8325293</v>
      </c>
      <c r="S1001" s="47" t="n">
        <f aca="false">M1001+N1001+O1001</f>
        <v>0.3709899</v>
      </c>
      <c r="T1001" s="47" t="n">
        <f aca="false">M1001+P1001</f>
        <v>0.5118673</v>
      </c>
    </row>
    <row r="1002" customFormat="false" ht="15" hidden="false" customHeight="false" outlineLevel="0" collapsed="false">
      <c r="A1002" s="42" t="s">
        <v>45</v>
      </c>
      <c r="B1002" s="42" t="n">
        <v>-14</v>
      </c>
      <c r="C1002" s="42" t="n">
        <v>1</v>
      </c>
      <c r="D1002" s="42" t="n">
        <v>74290916</v>
      </c>
      <c r="E1002" s="43" t="n">
        <v>0.670022422877113</v>
      </c>
      <c r="F1002" s="43" t="n">
        <v>0.789574556249897</v>
      </c>
      <c r="G1002" s="43" t="n">
        <v>0.806719603065919</v>
      </c>
      <c r="H1002" s="43" t="n">
        <v>0.808140837248763</v>
      </c>
      <c r="I1002" s="42" t="n">
        <v>1</v>
      </c>
      <c r="J1002" s="42" t="n">
        <v>1</v>
      </c>
      <c r="K1002" s="44" t="str">
        <f aca="false">IF(AND(I1002=1,J1002=1),"两者都跟住",IF(AND(I1002=0,J1002=1),"仅 PC-TBD 跟住",IF(AND(I1002=1,J1002=0),"仅 VIT-LPS 跟住","都没跟住")))</f>
        <v>两者都跟住</v>
      </c>
      <c r="L1002" s="45" t="n">
        <f aca="false">F1002-G1002</f>
        <v>-0.017145046816022</v>
      </c>
      <c r="M1002" s="46" t="n">
        <v>1.0845996</v>
      </c>
      <c r="N1002" s="46" t="n">
        <v>0.5730471</v>
      </c>
      <c r="O1002" s="46" t="n">
        <v>5.3287883</v>
      </c>
      <c r="P1002" s="46" t="n">
        <v>1.5898718</v>
      </c>
      <c r="Q1002" s="46" t="n">
        <v>6.1925999</v>
      </c>
      <c r="R1002" s="46" t="n">
        <v>3.3562073</v>
      </c>
      <c r="S1002" s="47" t="n">
        <f aca="false">M1002+N1002+O1002</f>
        <v>6.986435</v>
      </c>
      <c r="T1002" s="47" t="n">
        <f aca="false">M1002+P1002</f>
        <v>2.6744714</v>
      </c>
    </row>
    <row r="1003" customFormat="false" ht="15" hidden="false" customHeight="false" outlineLevel="0" collapsed="false">
      <c r="A1003" s="42" t="s">
        <v>45</v>
      </c>
      <c r="B1003" s="42" t="n">
        <v>-14</v>
      </c>
      <c r="C1003" s="42" t="n">
        <v>2</v>
      </c>
      <c r="D1003" s="42" t="n">
        <v>74290917</v>
      </c>
      <c r="E1003" s="43" t="n">
        <v>0.733793436520461</v>
      </c>
      <c r="F1003" s="43" t="n">
        <v>0.769113969137183</v>
      </c>
      <c r="G1003" s="43" t="n">
        <v>0.801598849172532</v>
      </c>
      <c r="H1003" s="43" t="n">
        <v>0.785728723449881</v>
      </c>
      <c r="I1003" s="42" t="n">
        <v>1</v>
      </c>
      <c r="J1003" s="42" t="n">
        <v>1</v>
      </c>
      <c r="K1003" s="44" t="str">
        <f aca="false">IF(AND(I1003=1,J1003=1),"两者都跟住",IF(AND(I1003=0,J1003=1),"仅 PC-TBD 跟住",IF(AND(I1003=1,J1003=0),"仅 VIT-LPS 跟住","都没跟住")))</f>
        <v>两者都跟住</v>
      </c>
      <c r="L1003" s="45" t="n">
        <f aca="false">F1003-G1003</f>
        <v>-0.032484880035349</v>
      </c>
      <c r="M1003" s="46" t="n">
        <v>1.0602258</v>
      </c>
      <c r="N1003" s="46" t="n">
        <v>0.5759661</v>
      </c>
      <c r="O1003" s="46" t="n">
        <v>5.6349476</v>
      </c>
      <c r="P1003" s="46" t="n">
        <v>1.9048725</v>
      </c>
      <c r="Q1003" s="46" t="n">
        <v>5.5065141</v>
      </c>
      <c r="R1003" s="46" t="n">
        <v>2.4865453</v>
      </c>
      <c r="S1003" s="47" t="n">
        <f aca="false">M1003+N1003+O1003</f>
        <v>7.2711395</v>
      </c>
      <c r="T1003" s="47" t="n">
        <f aca="false">M1003+P1003</f>
        <v>2.9650983</v>
      </c>
    </row>
    <row r="1004" customFormat="false" ht="15" hidden="false" customHeight="false" outlineLevel="0" collapsed="false">
      <c r="A1004" s="42" t="s">
        <v>45</v>
      </c>
      <c r="B1004" s="42" t="n">
        <v>-14</v>
      </c>
      <c r="C1004" s="42" t="n">
        <v>3</v>
      </c>
      <c r="D1004" s="42" t="n">
        <v>74290918</v>
      </c>
      <c r="E1004" s="43" t="n">
        <v>0.565775489658397</v>
      </c>
      <c r="F1004" s="43" t="n">
        <v>0.720705208692724</v>
      </c>
      <c r="G1004" s="43" t="n">
        <v>0.591829740328134</v>
      </c>
      <c r="H1004" s="43" t="n">
        <v>0.626687458776482</v>
      </c>
      <c r="I1004" s="42" t="n">
        <v>1</v>
      </c>
      <c r="J1004" s="42" t="n">
        <v>1</v>
      </c>
      <c r="K1004" s="44" t="str">
        <f aca="false">IF(AND(I1004=1,J1004=1),"两者都跟住",IF(AND(I1004=0,J1004=1),"仅 PC-TBD 跟住",IF(AND(I1004=1,J1004=0),"仅 VIT-LPS 跟住","都没跟住")))</f>
        <v>两者都跟住</v>
      </c>
      <c r="L1004" s="45" t="n">
        <f aca="false">F1004-G1004</f>
        <v>0.12887546836459</v>
      </c>
      <c r="M1004" s="46" t="n">
        <v>1.0512136</v>
      </c>
      <c r="N1004" s="46" t="n">
        <v>0.5838592</v>
      </c>
      <c r="O1004" s="46" t="n">
        <v>5.4952202</v>
      </c>
      <c r="P1004" s="46" t="n">
        <v>1.5224421</v>
      </c>
      <c r="Q1004" s="46" t="n">
        <v>5.3716293</v>
      </c>
      <c r="R1004" s="46" t="n">
        <v>3.8292203</v>
      </c>
      <c r="S1004" s="47" t="n">
        <f aca="false">M1004+N1004+O1004</f>
        <v>7.130293</v>
      </c>
      <c r="T1004" s="47" t="n">
        <f aca="false">M1004+P1004</f>
        <v>2.5736557</v>
      </c>
    </row>
    <row r="1005" customFormat="false" ht="15" hidden="false" customHeight="false" outlineLevel="0" collapsed="false">
      <c r="A1005" s="42" t="s">
        <v>45</v>
      </c>
      <c r="B1005" s="42" t="n">
        <v>-14</v>
      </c>
      <c r="C1005" s="42" t="n">
        <v>4</v>
      </c>
      <c r="D1005" s="42" t="n">
        <v>74290919</v>
      </c>
      <c r="E1005" s="43" t="n">
        <v>0.512647902733682</v>
      </c>
      <c r="F1005" s="43" t="n">
        <v>0.713471256228517</v>
      </c>
      <c r="G1005" s="43" t="n">
        <v>0.782211853680666</v>
      </c>
      <c r="H1005" s="43" t="n">
        <v>0.752765053805541</v>
      </c>
      <c r="I1005" s="42" t="n">
        <v>1</v>
      </c>
      <c r="J1005" s="42" t="n">
        <v>1</v>
      </c>
      <c r="K1005" s="44" t="str">
        <f aca="false">IF(AND(I1005=1,J1005=1),"两者都跟住",IF(AND(I1005=0,J1005=1),"仅 PC-TBD 跟住",IF(AND(I1005=1,J1005=0),"仅 VIT-LPS 跟住","都没跟住")))</f>
        <v>两者都跟住</v>
      </c>
      <c r="L1005" s="45" t="n">
        <f aca="false">F1005-G1005</f>
        <v>-0.068740597452149</v>
      </c>
      <c r="M1005" s="46" t="n">
        <v>1.1492753</v>
      </c>
      <c r="N1005" s="46" t="n">
        <v>0.5299035</v>
      </c>
      <c r="O1005" s="46" t="n">
        <v>5.297963</v>
      </c>
      <c r="P1005" s="46" t="n">
        <v>1.9622157</v>
      </c>
      <c r="Q1005" s="46" t="n">
        <v>4.7384131</v>
      </c>
      <c r="R1005" s="46" t="n">
        <v>3.464633</v>
      </c>
      <c r="S1005" s="47" t="n">
        <f aca="false">M1005+N1005+O1005</f>
        <v>6.9771418</v>
      </c>
      <c r="T1005" s="47" t="n">
        <f aca="false">M1005+P1005</f>
        <v>3.111491</v>
      </c>
    </row>
    <row r="1006" customFormat="false" ht="15" hidden="false" customHeight="false" outlineLevel="0" collapsed="false">
      <c r="A1006" s="42" t="s">
        <v>45</v>
      </c>
      <c r="B1006" s="42" t="n">
        <v>-14</v>
      </c>
      <c r="C1006" s="42" t="n">
        <v>5</v>
      </c>
      <c r="D1006" s="42" t="n">
        <v>74290920</v>
      </c>
      <c r="E1006" s="43" t="n">
        <v>0.699878216610206</v>
      </c>
      <c r="F1006" s="43" t="n">
        <v>0.75186082882639</v>
      </c>
      <c r="G1006" s="43" t="n">
        <v>0.781391855624126</v>
      </c>
      <c r="H1006" s="43" t="n">
        <v>0.778863699391188</v>
      </c>
      <c r="I1006" s="42" t="n">
        <v>1</v>
      </c>
      <c r="J1006" s="42" t="n">
        <v>1</v>
      </c>
      <c r="K1006" s="44" t="str">
        <f aca="false">IF(AND(I1006=1,J1006=1),"两者都跟住",IF(AND(I1006=0,J1006=1),"仅 PC-TBD 跟住",IF(AND(I1006=1,J1006=0),"仅 VIT-LPS 跟住","都没跟住")))</f>
        <v>两者都跟住</v>
      </c>
      <c r="L1006" s="45" t="n">
        <f aca="false">F1006-G1006</f>
        <v>-0.029531026797736</v>
      </c>
      <c r="M1006" s="46" t="n">
        <v>1.1078309</v>
      </c>
      <c r="N1006" s="46" t="n">
        <v>0.5569661</v>
      </c>
      <c r="O1006" s="46" t="n">
        <v>5.5744245</v>
      </c>
      <c r="P1006" s="46" t="n">
        <v>1.4234899</v>
      </c>
      <c r="Q1006" s="46" t="n">
        <v>5.5647877</v>
      </c>
      <c r="R1006" s="46" t="n">
        <v>2.2984324</v>
      </c>
      <c r="S1006" s="47" t="n">
        <f aca="false">M1006+N1006+O1006</f>
        <v>7.2392215</v>
      </c>
      <c r="T1006" s="47" t="n">
        <f aca="false">M1006+P1006</f>
        <v>2.5313208</v>
      </c>
    </row>
    <row r="1007" customFormat="false" ht="15" hidden="false" customHeight="false" outlineLevel="0" collapsed="false">
      <c r="A1007" s="42" t="s">
        <v>45</v>
      </c>
      <c r="B1007" s="42" t="n">
        <v>-14</v>
      </c>
      <c r="C1007" s="42" t="n">
        <v>6</v>
      </c>
      <c r="D1007" s="42" t="n">
        <v>74290921</v>
      </c>
      <c r="E1007" s="43" t="n">
        <v>0.74130590042499</v>
      </c>
      <c r="F1007" s="43" t="n">
        <v>0.793587321769963</v>
      </c>
      <c r="G1007" s="43" t="n">
        <v>0.803175791910923</v>
      </c>
      <c r="H1007" s="43" t="n">
        <v>0.799283026598198</v>
      </c>
      <c r="I1007" s="42" t="n">
        <v>1</v>
      </c>
      <c r="J1007" s="42" t="n">
        <v>1</v>
      </c>
      <c r="K1007" s="44" t="str">
        <f aca="false">IF(AND(I1007=1,J1007=1),"两者都跟住",IF(AND(I1007=0,J1007=1),"仅 PC-TBD 跟住",IF(AND(I1007=1,J1007=0),"仅 VIT-LPS 跟住","都没跟住")))</f>
        <v>两者都跟住</v>
      </c>
      <c r="L1007" s="45" t="n">
        <f aca="false">F1007-G1007</f>
        <v>-0.00958847014095998</v>
      </c>
      <c r="M1007" s="46" t="n">
        <v>1.1080168</v>
      </c>
      <c r="N1007" s="46" t="n">
        <v>0.5412256</v>
      </c>
      <c r="O1007" s="46" t="n">
        <v>5.3485549</v>
      </c>
      <c r="P1007" s="46" t="n">
        <v>1.2285736</v>
      </c>
      <c r="Q1007" s="46" t="n">
        <v>5.2551654</v>
      </c>
      <c r="R1007" s="46" t="n">
        <v>2.4004783</v>
      </c>
      <c r="S1007" s="47" t="n">
        <f aca="false">M1007+N1007+O1007</f>
        <v>6.9977973</v>
      </c>
      <c r="T1007" s="47" t="n">
        <f aca="false">M1007+P1007</f>
        <v>2.3365904</v>
      </c>
    </row>
    <row r="1008" customFormat="false" ht="15" hidden="false" customHeight="false" outlineLevel="0" collapsed="false">
      <c r="A1008" s="42" t="s">
        <v>45</v>
      </c>
      <c r="B1008" s="42" t="n">
        <v>-14</v>
      </c>
      <c r="C1008" s="42" t="n">
        <v>7</v>
      </c>
      <c r="D1008" s="42" t="n">
        <v>74290922</v>
      </c>
      <c r="E1008" s="43" t="n">
        <v>0.469869997615322</v>
      </c>
      <c r="F1008" s="43" t="n">
        <v>0.709963077003595</v>
      </c>
      <c r="G1008" s="43" t="n">
        <v>0.652747038091696</v>
      </c>
      <c r="H1008" s="43" t="n">
        <v>0.648225268887893</v>
      </c>
      <c r="I1008" s="42" t="n">
        <v>1</v>
      </c>
      <c r="J1008" s="42" t="n">
        <v>0</v>
      </c>
      <c r="K1008" s="44" t="str">
        <f aca="false">IF(AND(I1008=1,J1008=1),"两者都跟住",IF(AND(I1008=0,J1008=1),"仅 PC-TBD 跟住",IF(AND(I1008=1,J1008=0),"仅 VIT-LPS 跟住","都没跟住")))</f>
        <v>仅 VIT-LPS 跟住</v>
      </c>
      <c r="L1008" s="45" t="n">
        <f aca="false">F1008-G1008</f>
        <v>0.057216038911899</v>
      </c>
      <c r="M1008" s="46" t="n">
        <v>0.3096579</v>
      </c>
      <c r="N1008" s="46" t="n">
        <v>0.1997354</v>
      </c>
      <c r="O1008" s="46" t="n">
        <v>0.3847632</v>
      </c>
      <c r="P1008" s="46" t="n">
        <v>0.6683181</v>
      </c>
      <c r="Q1008" s="46" t="n">
        <v>4.2473651</v>
      </c>
      <c r="R1008" s="46" t="n">
        <v>1.1209472</v>
      </c>
      <c r="S1008" s="47" t="n">
        <f aca="false">M1008+N1008+O1008</f>
        <v>0.8941565</v>
      </c>
      <c r="T1008" s="47" t="n">
        <f aca="false">M1008+P1008</f>
        <v>0.977976</v>
      </c>
    </row>
    <row r="1009" customFormat="false" ht="15" hidden="false" customHeight="false" outlineLevel="0" collapsed="false">
      <c r="A1009" s="42" t="s">
        <v>45</v>
      </c>
      <c r="B1009" s="42" t="n">
        <v>-14</v>
      </c>
      <c r="C1009" s="42" t="n">
        <v>8</v>
      </c>
      <c r="D1009" s="42" t="n">
        <v>74290923</v>
      </c>
      <c r="E1009" s="43" t="n">
        <v>0.622519941093913</v>
      </c>
      <c r="F1009" s="43" t="n">
        <v>0.665840356232465</v>
      </c>
      <c r="G1009" s="43" t="n">
        <v>0.717578933734009</v>
      </c>
      <c r="H1009" s="43" t="n">
        <v>0.719576482124842</v>
      </c>
      <c r="I1009" s="42" t="n">
        <v>1</v>
      </c>
      <c r="J1009" s="42" t="n">
        <v>1</v>
      </c>
      <c r="K1009" s="44" t="str">
        <f aca="false">IF(AND(I1009=1,J1009=1),"两者都跟住",IF(AND(I1009=0,J1009=1),"仅 PC-TBD 跟住",IF(AND(I1009=1,J1009=0),"仅 VIT-LPS 跟住","都没跟住")))</f>
        <v>两者都跟住</v>
      </c>
      <c r="L1009" s="45" t="n">
        <f aca="false">F1009-G1009</f>
        <v>-0.0517385775015441</v>
      </c>
      <c r="M1009" s="46" t="n">
        <v>0.173843</v>
      </c>
      <c r="N1009" s="46" t="n">
        <v>0.1183022</v>
      </c>
      <c r="O1009" s="46" t="n">
        <v>0.3289974</v>
      </c>
      <c r="P1009" s="46" t="n">
        <v>0.5376679</v>
      </c>
      <c r="Q1009" s="46" t="n">
        <v>1.5865881</v>
      </c>
      <c r="R1009" s="46" t="n">
        <v>1.1176671</v>
      </c>
      <c r="S1009" s="47" t="n">
        <f aca="false">M1009+N1009+O1009</f>
        <v>0.6211426</v>
      </c>
      <c r="T1009" s="47" t="n">
        <f aca="false">M1009+P1009</f>
        <v>0.7115109</v>
      </c>
    </row>
    <row r="1010" customFormat="false" ht="15" hidden="false" customHeight="false" outlineLevel="0" collapsed="false">
      <c r="A1010" s="42" t="s">
        <v>45</v>
      </c>
      <c r="B1010" s="42" t="n">
        <v>-14</v>
      </c>
      <c r="C1010" s="42" t="n">
        <v>9</v>
      </c>
      <c r="D1010" s="42" t="n">
        <v>74290924</v>
      </c>
      <c r="E1010" s="43" t="n">
        <v>0.670045786819977</v>
      </c>
      <c r="F1010" s="43" t="n">
        <v>0.792957070308205</v>
      </c>
      <c r="G1010" s="43" t="n">
        <v>0.811945750003255</v>
      </c>
      <c r="H1010" s="43" t="n">
        <v>0.80058799794831</v>
      </c>
      <c r="I1010" s="42" t="n">
        <v>1</v>
      </c>
      <c r="J1010" s="42" t="n">
        <v>1</v>
      </c>
      <c r="K1010" s="44" t="str">
        <f aca="false">IF(AND(I1010=1,J1010=1),"两者都跟住",IF(AND(I1010=0,J1010=1),"仅 PC-TBD 跟住",IF(AND(I1010=1,J1010=0),"仅 VIT-LPS 跟住","都没跟住")))</f>
        <v>两者都跟住</v>
      </c>
      <c r="L1010" s="45" t="n">
        <f aca="false">F1010-G1010</f>
        <v>-0.01898867969505</v>
      </c>
      <c r="M1010" s="46" t="n">
        <v>0.305819</v>
      </c>
      <c r="N1010" s="46" t="n">
        <v>0.1599732</v>
      </c>
      <c r="O1010" s="46" t="n">
        <v>0.429303</v>
      </c>
      <c r="P1010" s="46" t="n">
        <v>0.8278883</v>
      </c>
      <c r="Q1010" s="46" t="n">
        <v>1.866048</v>
      </c>
      <c r="R1010" s="46" t="n">
        <v>1.4339063</v>
      </c>
      <c r="S1010" s="47" t="n">
        <f aca="false">M1010+N1010+O1010</f>
        <v>0.8950952</v>
      </c>
      <c r="T1010" s="47" t="n">
        <f aca="false">M1010+P1010</f>
        <v>1.1337073</v>
      </c>
    </row>
    <row r="1011" customFormat="false" ht="15" hidden="false" customHeight="false" outlineLevel="0" collapsed="false">
      <c r="A1011" s="42" t="s">
        <v>45</v>
      </c>
      <c r="B1011" s="42" t="n">
        <v>-14</v>
      </c>
      <c r="C1011" s="42" t="n">
        <v>10</v>
      </c>
      <c r="D1011" s="42" t="n">
        <v>74290925</v>
      </c>
      <c r="E1011" s="43" t="n">
        <v>0.540425349703802</v>
      </c>
      <c r="F1011" s="43" t="n">
        <v>0.763966171390691</v>
      </c>
      <c r="G1011" s="43" t="n">
        <v>0.748217534498693</v>
      </c>
      <c r="H1011" s="43" t="n">
        <v>0.737394759865282</v>
      </c>
      <c r="I1011" s="42" t="n">
        <v>1</v>
      </c>
      <c r="J1011" s="42" t="n">
        <v>1</v>
      </c>
      <c r="K1011" s="44" t="str">
        <f aca="false">IF(AND(I1011=1,J1011=1),"两者都跟住",IF(AND(I1011=0,J1011=1),"仅 PC-TBD 跟住",IF(AND(I1011=1,J1011=0),"仅 VIT-LPS 跟住","都没跟住")))</f>
        <v>两者都跟住</v>
      </c>
      <c r="L1011" s="45" t="n">
        <f aca="false">F1011-G1011</f>
        <v>0.015748636891998</v>
      </c>
      <c r="M1011" s="46" t="n">
        <v>0.2646046</v>
      </c>
      <c r="N1011" s="46" t="n">
        <v>0.1495575</v>
      </c>
      <c r="O1011" s="46" t="n">
        <v>0.4353691</v>
      </c>
      <c r="P1011" s="46" t="n">
        <v>0.7031173</v>
      </c>
      <c r="Q1011" s="46" t="n">
        <v>2.3089381</v>
      </c>
      <c r="R1011" s="46" t="n">
        <v>1.5597748</v>
      </c>
      <c r="S1011" s="47" t="n">
        <f aca="false">M1011+N1011+O1011</f>
        <v>0.8495312</v>
      </c>
      <c r="T1011" s="47" t="n">
        <f aca="false">M1011+P1011</f>
        <v>0.9677219</v>
      </c>
    </row>
    <row r="1012" customFormat="false" ht="15" hidden="false" customHeight="false" outlineLevel="0" collapsed="false">
      <c r="A1012" s="42" t="s">
        <v>45</v>
      </c>
      <c r="B1012" s="42" t="n">
        <v>-14</v>
      </c>
      <c r="C1012" s="42" t="n">
        <v>11</v>
      </c>
      <c r="D1012" s="42" t="n">
        <v>74290926</v>
      </c>
      <c r="E1012" s="43" t="n">
        <v>0.481776662008809</v>
      </c>
      <c r="F1012" s="43" t="n">
        <v>0.713425661682619</v>
      </c>
      <c r="G1012" s="43" t="n">
        <v>0.800856156674115</v>
      </c>
      <c r="H1012" s="43" t="n">
        <v>0.8246293292087</v>
      </c>
      <c r="I1012" s="42" t="n">
        <v>1</v>
      </c>
      <c r="J1012" s="42" t="n">
        <v>1</v>
      </c>
      <c r="K1012" s="44" t="str">
        <f aca="false">IF(AND(I1012=1,J1012=1),"两者都跟住",IF(AND(I1012=0,J1012=1),"仅 PC-TBD 跟住",IF(AND(I1012=1,J1012=0),"仅 VIT-LPS 跟住","都没跟住")))</f>
        <v>两者都跟住</v>
      </c>
      <c r="L1012" s="45" t="n">
        <f aca="false">F1012-G1012</f>
        <v>-0.087430494991496</v>
      </c>
      <c r="M1012" s="46" t="n">
        <v>0.3708936</v>
      </c>
      <c r="N1012" s="46" t="n">
        <v>0.1717438</v>
      </c>
      <c r="O1012" s="46" t="n">
        <v>0.3854584</v>
      </c>
      <c r="P1012" s="46" t="n">
        <v>1.2213988</v>
      </c>
      <c r="Q1012" s="46" t="n">
        <v>3.6804419</v>
      </c>
      <c r="R1012" s="46" t="n">
        <v>2.4094699</v>
      </c>
      <c r="S1012" s="47" t="n">
        <f aca="false">M1012+N1012+O1012</f>
        <v>0.9280958</v>
      </c>
      <c r="T1012" s="47" t="n">
        <f aca="false">M1012+P1012</f>
        <v>1.5922924</v>
      </c>
    </row>
    <row r="1013" customFormat="false" ht="15" hidden="false" customHeight="false" outlineLevel="0" collapsed="false">
      <c r="A1013" s="42" t="s">
        <v>45</v>
      </c>
      <c r="B1013" s="42" t="n">
        <v>-14</v>
      </c>
      <c r="C1013" s="42" t="n">
        <v>12</v>
      </c>
      <c r="D1013" s="42" t="n">
        <v>74290927</v>
      </c>
      <c r="E1013" s="43" t="n">
        <v>0.650063494884426</v>
      </c>
      <c r="F1013" s="43" t="n">
        <v>0.757006061556128</v>
      </c>
      <c r="G1013" s="43" t="n">
        <v>0.79708799008055</v>
      </c>
      <c r="H1013" s="43" t="n">
        <v>0.780447394533802</v>
      </c>
      <c r="I1013" s="42" t="n">
        <v>1</v>
      </c>
      <c r="J1013" s="42" t="n">
        <v>1</v>
      </c>
      <c r="K1013" s="44" t="str">
        <f aca="false">IF(AND(I1013=1,J1013=1),"两者都跟住",IF(AND(I1013=0,J1013=1),"仅 PC-TBD 跟住",IF(AND(I1013=1,J1013=0),"仅 VIT-LPS 跟住","都没跟住")))</f>
        <v>两者都跟住</v>
      </c>
      <c r="L1013" s="45" t="n">
        <f aca="false">F1013-G1013</f>
        <v>-0.0400819285244219</v>
      </c>
      <c r="M1013" s="46" t="n">
        <v>0.4031462</v>
      </c>
      <c r="N1013" s="46" t="n">
        <v>0.1662033</v>
      </c>
      <c r="O1013" s="46" t="n">
        <v>0.3874454</v>
      </c>
      <c r="P1013" s="46" t="n">
        <v>0.8195363</v>
      </c>
      <c r="Q1013" s="46" t="n">
        <v>2.8438406</v>
      </c>
      <c r="R1013" s="46" t="n">
        <v>2.4580615</v>
      </c>
      <c r="S1013" s="47" t="n">
        <f aca="false">M1013+N1013+O1013</f>
        <v>0.9567949</v>
      </c>
      <c r="T1013" s="47" t="n">
        <f aca="false">M1013+P1013</f>
        <v>1.2226825</v>
      </c>
    </row>
    <row r="1014" customFormat="false" ht="15" hidden="false" customHeight="false" outlineLevel="0" collapsed="false">
      <c r="A1014" s="42" t="s">
        <v>45</v>
      </c>
      <c r="B1014" s="42" t="n">
        <v>-14</v>
      </c>
      <c r="C1014" s="42" t="n">
        <v>13</v>
      </c>
      <c r="D1014" s="42" t="n">
        <v>74290928</v>
      </c>
      <c r="E1014" s="43" t="n">
        <v>0.62191325877934</v>
      </c>
      <c r="F1014" s="43" t="n">
        <v>0.751733243205789</v>
      </c>
      <c r="G1014" s="43" t="n">
        <v>0.796033958717307</v>
      </c>
      <c r="H1014" s="43" t="n">
        <v>0.808833406820613</v>
      </c>
      <c r="I1014" s="42" t="n">
        <v>1</v>
      </c>
      <c r="J1014" s="42" t="n">
        <v>1</v>
      </c>
      <c r="K1014" s="44" t="str">
        <f aca="false">IF(AND(I1014=1,J1014=1),"两者都跟住",IF(AND(I1014=0,J1014=1),"仅 PC-TBD 跟住",IF(AND(I1014=1,J1014=0),"仅 VIT-LPS 跟住","都没跟住")))</f>
        <v>两者都跟住</v>
      </c>
      <c r="L1014" s="45" t="n">
        <f aca="false">F1014-G1014</f>
        <v>-0.0443007155115179</v>
      </c>
      <c r="M1014" s="46" t="n">
        <v>0.3755117</v>
      </c>
      <c r="N1014" s="46" t="n">
        <v>0.1710656</v>
      </c>
      <c r="O1014" s="46" t="n">
        <v>0.3458232</v>
      </c>
      <c r="P1014" s="46" t="n">
        <v>1.2387777</v>
      </c>
      <c r="Q1014" s="46" t="n">
        <v>3.0407902</v>
      </c>
      <c r="R1014" s="46" t="n">
        <v>2.1500164</v>
      </c>
      <c r="S1014" s="47" t="n">
        <f aca="false">M1014+N1014+O1014</f>
        <v>0.8924005</v>
      </c>
      <c r="T1014" s="47" t="n">
        <f aca="false">M1014+P1014</f>
        <v>1.6142894</v>
      </c>
    </row>
    <row r="1015" customFormat="false" ht="15" hidden="false" customHeight="false" outlineLevel="0" collapsed="false">
      <c r="A1015" s="42" t="s">
        <v>45</v>
      </c>
      <c r="B1015" s="42" t="n">
        <v>-14</v>
      </c>
      <c r="C1015" s="42" t="n">
        <v>14</v>
      </c>
      <c r="D1015" s="42" t="n">
        <v>74290929</v>
      </c>
      <c r="E1015" s="43" t="n">
        <v>0.702154670543069</v>
      </c>
      <c r="F1015" s="43" t="n">
        <v>0.792657849380128</v>
      </c>
      <c r="G1015" s="43" t="n">
        <v>0.809392394836711</v>
      </c>
      <c r="H1015" s="43" t="n">
        <v>0.820461019530097</v>
      </c>
      <c r="I1015" s="42" t="n">
        <v>1</v>
      </c>
      <c r="J1015" s="42" t="n">
        <v>1</v>
      </c>
      <c r="K1015" s="44" t="str">
        <f aca="false">IF(AND(I1015=1,J1015=1),"两者都跟住",IF(AND(I1015=0,J1015=1),"仅 PC-TBD 跟住",IF(AND(I1015=1,J1015=0),"仅 VIT-LPS 跟住","都没跟住")))</f>
        <v>两者都跟住</v>
      </c>
      <c r="L1015" s="45" t="n">
        <f aca="false">F1015-G1015</f>
        <v>-0.016734545456583</v>
      </c>
      <c r="M1015" s="46" t="n">
        <v>0.4250929</v>
      </c>
      <c r="N1015" s="46" t="n">
        <v>0.1692383</v>
      </c>
      <c r="O1015" s="46" t="n">
        <v>0.3393899</v>
      </c>
      <c r="P1015" s="46" t="n">
        <v>0.807029</v>
      </c>
      <c r="Q1015" s="46" t="n">
        <v>2.6062623</v>
      </c>
      <c r="R1015" s="46" t="n">
        <v>1.9401325</v>
      </c>
      <c r="S1015" s="47" t="n">
        <f aca="false">M1015+N1015+O1015</f>
        <v>0.9337211</v>
      </c>
      <c r="T1015" s="47" t="n">
        <f aca="false">M1015+P1015</f>
        <v>1.2321219</v>
      </c>
    </row>
    <row r="1016" customFormat="false" ht="15" hidden="false" customHeight="false" outlineLevel="0" collapsed="false">
      <c r="A1016" s="42" t="s">
        <v>45</v>
      </c>
      <c r="B1016" s="42" t="n">
        <v>-14</v>
      </c>
      <c r="C1016" s="42" t="n">
        <v>15</v>
      </c>
      <c r="D1016" s="42" t="n">
        <v>74290930</v>
      </c>
      <c r="E1016" s="43" t="n">
        <v>0.665604651868362</v>
      </c>
      <c r="F1016" s="43" t="n">
        <v>0.681141161945598</v>
      </c>
      <c r="G1016" s="43" t="n">
        <v>0.665179009294346</v>
      </c>
      <c r="H1016" s="43" t="n">
        <v>0.65923357038156</v>
      </c>
      <c r="I1016" s="42" t="n">
        <v>1</v>
      </c>
      <c r="J1016" s="42" t="n">
        <v>1</v>
      </c>
      <c r="K1016" s="44" t="str">
        <f aca="false">IF(AND(I1016=1,J1016=1),"两者都跟住",IF(AND(I1016=0,J1016=1),"仅 PC-TBD 跟住",IF(AND(I1016=1,J1016=0),"仅 VIT-LPS 跟住","都没跟住")))</f>
        <v>两者都跟住</v>
      </c>
      <c r="L1016" s="45" t="n">
        <f aca="false">F1016-G1016</f>
        <v>0.015962152651252</v>
      </c>
      <c r="M1016" s="46" t="n">
        <v>0.3792137</v>
      </c>
      <c r="N1016" s="46" t="n">
        <v>0.1658694</v>
      </c>
      <c r="O1016" s="46" t="n">
        <v>0.4478675</v>
      </c>
      <c r="P1016" s="46" t="n">
        <v>0.8146008</v>
      </c>
      <c r="Q1016" s="46" t="n">
        <v>6.5865309</v>
      </c>
      <c r="R1016" s="46" t="n">
        <v>2.702966</v>
      </c>
      <c r="S1016" s="47" t="n">
        <f aca="false">M1016+N1016+O1016</f>
        <v>0.9929506</v>
      </c>
      <c r="T1016" s="47" t="n">
        <f aca="false">M1016+P1016</f>
        <v>1.1938145</v>
      </c>
    </row>
    <row r="1017" customFormat="false" ht="15" hidden="false" customHeight="false" outlineLevel="0" collapsed="false">
      <c r="A1017" s="42" t="s">
        <v>45</v>
      </c>
      <c r="B1017" s="42" t="n">
        <v>-14</v>
      </c>
      <c r="C1017" s="42" t="n">
        <v>16</v>
      </c>
      <c r="D1017" s="42" t="n">
        <v>74290931</v>
      </c>
      <c r="E1017" s="43" t="n">
        <v>0.600979378834509</v>
      </c>
      <c r="F1017" s="43" t="n">
        <v>0.788329501312384</v>
      </c>
      <c r="G1017" s="43" t="n">
        <v>0.810221802682976</v>
      </c>
      <c r="H1017" s="43" t="n">
        <v>0.810745637622163</v>
      </c>
      <c r="I1017" s="42" t="n">
        <v>1</v>
      </c>
      <c r="J1017" s="42" t="n">
        <v>1</v>
      </c>
      <c r="K1017" s="44" t="str">
        <f aca="false">IF(AND(I1017=1,J1017=1),"两者都跟住",IF(AND(I1017=0,J1017=1),"仅 PC-TBD 跟住",IF(AND(I1017=1,J1017=0),"仅 VIT-LPS 跟住","都没跟住")))</f>
        <v>两者都跟住</v>
      </c>
      <c r="L1017" s="45" t="n">
        <f aca="false">F1017-G1017</f>
        <v>-0.021892301370592</v>
      </c>
      <c r="M1017" s="46" t="n">
        <v>0.4032784</v>
      </c>
      <c r="N1017" s="46" t="n">
        <v>0.1706628</v>
      </c>
      <c r="O1017" s="46" t="n">
        <v>0.4330501</v>
      </c>
      <c r="P1017" s="46" t="n">
        <v>0.8566265</v>
      </c>
      <c r="Q1017" s="46" t="n">
        <v>2.7013729</v>
      </c>
      <c r="R1017" s="46" t="n">
        <v>2.4682898</v>
      </c>
      <c r="S1017" s="47" t="n">
        <f aca="false">M1017+N1017+O1017</f>
        <v>1.0069913</v>
      </c>
      <c r="T1017" s="47" t="n">
        <f aca="false">M1017+P1017</f>
        <v>1.2599049</v>
      </c>
    </row>
    <row r="1018" customFormat="false" ht="15" hidden="false" customHeight="false" outlineLevel="0" collapsed="false">
      <c r="A1018" s="42" t="s">
        <v>45</v>
      </c>
      <c r="B1018" s="42" t="n">
        <v>-14</v>
      </c>
      <c r="C1018" s="42" t="n">
        <v>17</v>
      </c>
      <c r="D1018" s="42" t="n">
        <v>74290932</v>
      </c>
      <c r="E1018" s="43" t="n">
        <v>0.727612405612353</v>
      </c>
      <c r="F1018" s="43" t="n">
        <v>0.765579348754589</v>
      </c>
      <c r="G1018" s="43" t="n">
        <v>0.762721314115528</v>
      </c>
      <c r="H1018" s="43" t="n">
        <v>0.784247511784957</v>
      </c>
      <c r="I1018" s="42" t="n">
        <v>1</v>
      </c>
      <c r="J1018" s="42" t="n">
        <v>1</v>
      </c>
      <c r="K1018" s="44" t="str">
        <f aca="false">IF(AND(I1018=1,J1018=1),"两者都跟住",IF(AND(I1018=0,J1018=1),"仅 PC-TBD 跟住",IF(AND(I1018=1,J1018=0),"仅 VIT-LPS 跟住","都没跟住")))</f>
        <v>两者都跟住</v>
      </c>
      <c r="L1018" s="45" t="n">
        <f aca="false">F1018-G1018</f>
        <v>0.00285803463906098</v>
      </c>
      <c r="M1018" s="46" t="n">
        <v>0.2134712</v>
      </c>
      <c r="N1018" s="46" t="n">
        <v>0.0909783</v>
      </c>
      <c r="O1018" s="46" t="n">
        <v>0.2776692</v>
      </c>
      <c r="P1018" s="46" t="n">
        <v>0.7801689</v>
      </c>
      <c r="Q1018" s="46" t="n">
        <v>1.8081522</v>
      </c>
      <c r="R1018" s="46" t="n">
        <v>1.7386599</v>
      </c>
      <c r="S1018" s="47" t="n">
        <f aca="false">M1018+N1018+O1018</f>
        <v>0.5821187</v>
      </c>
      <c r="T1018" s="47" t="n">
        <f aca="false">M1018+P1018</f>
        <v>0.9936401</v>
      </c>
    </row>
    <row r="1019" customFormat="false" ht="15" hidden="false" customHeight="false" outlineLevel="0" collapsed="false">
      <c r="A1019" s="42" t="s">
        <v>45</v>
      </c>
      <c r="B1019" s="42" t="n">
        <v>-14</v>
      </c>
      <c r="C1019" s="42" t="n">
        <v>18</v>
      </c>
      <c r="D1019" s="42" t="n">
        <v>74290933</v>
      </c>
      <c r="E1019" s="43" t="n">
        <v>0.389336204100272</v>
      </c>
      <c r="F1019" s="43" t="n">
        <v>0.673551340956997</v>
      </c>
      <c r="G1019" s="43" t="n">
        <v>0.688584052453918</v>
      </c>
      <c r="H1019" s="43" t="n">
        <v>0.725748420596765</v>
      </c>
      <c r="I1019" s="42" t="n">
        <v>1</v>
      </c>
      <c r="J1019" s="42" t="n">
        <v>1</v>
      </c>
      <c r="K1019" s="44" t="str">
        <f aca="false">IF(AND(I1019=1,J1019=1),"两者都跟住",IF(AND(I1019=0,J1019=1),"仅 PC-TBD 跟住",IF(AND(I1019=1,J1019=0),"仅 VIT-LPS 跟住","都没跟住")))</f>
        <v>两者都跟住</v>
      </c>
      <c r="L1019" s="45" t="n">
        <f aca="false">F1019-G1019</f>
        <v>-0.015032711496921</v>
      </c>
      <c r="M1019" s="46" t="n">
        <v>0.2120651</v>
      </c>
      <c r="N1019" s="46" t="n">
        <v>0.1396518</v>
      </c>
      <c r="O1019" s="46" t="n">
        <v>0.3113934</v>
      </c>
      <c r="P1019" s="46" t="n">
        <v>0.4985052</v>
      </c>
      <c r="Q1019" s="46" t="n">
        <v>1.8323886</v>
      </c>
      <c r="R1019" s="46" t="n">
        <v>1.9004521</v>
      </c>
      <c r="S1019" s="47" t="n">
        <f aca="false">M1019+N1019+O1019</f>
        <v>0.6631103</v>
      </c>
      <c r="T1019" s="47" t="n">
        <f aca="false">M1019+P1019</f>
        <v>0.7105703</v>
      </c>
    </row>
    <row r="1020" customFormat="false" ht="15" hidden="false" customHeight="false" outlineLevel="0" collapsed="false">
      <c r="A1020" s="42" t="s">
        <v>45</v>
      </c>
      <c r="B1020" s="42" t="n">
        <v>-14</v>
      </c>
      <c r="C1020" s="42" t="n">
        <v>19</v>
      </c>
      <c r="D1020" s="42" t="n">
        <v>74290934</v>
      </c>
      <c r="E1020" s="43" t="n">
        <v>0.575172740243394</v>
      </c>
      <c r="F1020" s="43" t="n">
        <v>0.757641934365879</v>
      </c>
      <c r="G1020" s="43" t="n">
        <v>0.736878261319963</v>
      </c>
      <c r="H1020" s="43" t="n">
        <v>0.75095262250588</v>
      </c>
      <c r="I1020" s="42" t="n">
        <v>1</v>
      </c>
      <c r="J1020" s="42" t="n">
        <v>1</v>
      </c>
      <c r="K1020" s="44" t="str">
        <f aca="false">IF(AND(I1020=1,J1020=1),"两者都跟住",IF(AND(I1020=0,J1020=1),"仅 PC-TBD 跟住",IF(AND(I1020=1,J1020=0),"仅 VIT-LPS 跟住","都没跟住")))</f>
        <v>两者都跟住</v>
      </c>
      <c r="L1020" s="45" t="n">
        <f aca="false">F1020-G1020</f>
        <v>0.020763673045916</v>
      </c>
      <c r="M1020" s="46" t="n">
        <v>0.2093785</v>
      </c>
      <c r="N1020" s="46" t="n">
        <v>0.1280291</v>
      </c>
      <c r="O1020" s="46" t="n">
        <v>0.3460941</v>
      </c>
      <c r="P1020" s="46" t="n">
        <v>0.6832503</v>
      </c>
      <c r="Q1020" s="46" t="n">
        <v>1.6723633</v>
      </c>
      <c r="R1020" s="46" t="n">
        <v>1.973516</v>
      </c>
      <c r="S1020" s="47" t="n">
        <f aca="false">M1020+N1020+O1020</f>
        <v>0.6835017</v>
      </c>
      <c r="T1020" s="47" t="n">
        <f aca="false">M1020+P1020</f>
        <v>0.8926288</v>
      </c>
    </row>
    <row r="1021" customFormat="false" ht="15" hidden="false" customHeight="false" outlineLevel="0" collapsed="false">
      <c r="A1021" s="42" t="s">
        <v>45</v>
      </c>
      <c r="B1021" s="42" t="n">
        <v>-14</v>
      </c>
      <c r="C1021" s="42" t="n">
        <v>20</v>
      </c>
      <c r="D1021" s="42" t="n">
        <v>74290935</v>
      </c>
      <c r="E1021" s="43" t="n">
        <v>0.720167320284312</v>
      </c>
      <c r="F1021" s="43" t="n">
        <v>0.754669594158632</v>
      </c>
      <c r="G1021" s="43" t="n">
        <v>0.757350034576558</v>
      </c>
      <c r="H1021" s="43" t="n">
        <v>0.775186243274157</v>
      </c>
      <c r="I1021" s="42" t="n">
        <v>1</v>
      </c>
      <c r="J1021" s="42" t="n">
        <v>1</v>
      </c>
      <c r="K1021" s="44" t="str">
        <f aca="false">IF(AND(I1021=1,J1021=1),"两者都跟住",IF(AND(I1021=0,J1021=1),"仅 PC-TBD 跟住",IF(AND(I1021=1,J1021=0),"仅 VIT-LPS 跟住","都没跟住")))</f>
        <v>两者都跟住</v>
      </c>
      <c r="L1021" s="45" t="n">
        <f aca="false">F1021-G1021</f>
        <v>-0.00268044041792603</v>
      </c>
      <c r="M1021" s="46" t="n">
        <v>0.1867422</v>
      </c>
      <c r="N1021" s="46" t="n">
        <v>0.1517488</v>
      </c>
      <c r="O1021" s="46" t="n">
        <v>0.2394282</v>
      </c>
      <c r="P1021" s="46" t="n">
        <v>0.6980006</v>
      </c>
      <c r="Q1021" s="46" t="n">
        <v>1.9617986</v>
      </c>
      <c r="R1021" s="46" t="n">
        <v>2.0152026</v>
      </c>
      <c r="S1021" s="47" t="n">
        <f aca="false">M1021+N1021+O1021</f>
        <v>0.5779192</v>
      </c>
      <c r="T1021" s="47" t="n">
        <f aca="false">M1021+P1021</f>
        <v>0.8847428</v>
      </c>
    </row>
    <row r="1022" customFormat="false" ht="15" hidden="false" customHeight="false" outlineLevel="0" collapsed="false">
      <c r="A1022" s="42" t="s">
        <v>45</v>
      </c>
      <c r="B1022" s="42" t="n">
        <v>-14</v>
      </c>
      <c r="C1022" s="42" t="n">
        <v>21</v>
      </c>
      <c r="D1022" s="42" t="n">
        <v>74290936</v>
      </c>
      <c r="E1022" s="43" t="n">
        <v>0.559440706252662</v>
      </c>
      <c r="F1022" s="43" t="n">
        <v>0.65907893899834</v>
      </c>
      <c r="G1022" s="43" t="n">
        <v>0.752037929620376</v>
      </c>
      <c r="H1022" s="43" t="n">
        <v>0.766773575339344</v>
      </c>
      <c r="I1022" s="42" t="n">
        <v>1</v>
      </c>
      <c r="J1022" s="42" t="n">
        <v>1</v>
      </c>
      <c r="K1022" s="44" t="str">
        <f aca="false">IF(AND(I1022=1,J1022=1),"两者都跟住",IF(AND(I1022=0,J1022=1),"仅 PC-TBD 跟住",IF(AND(I1022=1,J1022=0),"仅 VIT-LPS 跟住","都没跟住")))</f>
        <v>两者都跟住</v>
      </c>
      <c r="L1022" s="45" t="n">
        <f aca="false">F1022-G1022</f>
        <v>-0.0929589906220359</v>
      </c>
      <c r="M1022" s="46" t="n">
        <v>0.3240584</v>
      </c>
      <c r="N1022" s="46" t="n">
        <v>0.1344394</v>
      </c>
      <c r="O1022" s="46" t="n">
        <v>0.4232219</v>
      </c>
      <c r="P1022" s="46" t="n">
        <v>0.9429685</v>
      </c>
      <c r="Q1022" s="46" t="n">
        <v>2.1754332</v>
      </c>
      <c r="R1022" s="46" t="n">
        <v>2.3170228</v>
      </c>
      <c r="S1022" s="47" t="n">
        <f aca="false">M1022+N1022+O1022</f>
        <v>0.8817197</v>
      </c>
      <c r="T1022" s="47" t="n">
        <f aca="false">M1022+P1022</f>
        <v>1.2670269</v>
      </c>
    </row>
    <row r="1023" customFormat="false" ht="15" hidden="false" customHeight="false" outlineLevel="0" collapsed="false">
      <c r="A1023" s="42" t="s">
        <v>45</v>
      </c>
      <c r="B1023" s="42" t="n">
        <v>-14</v>
      </c>
      <c r="C1023" s="42" t="n">
        <v>22</v>
      </c>
      <c r="D1023" s="42" t="n">
        <v>74290937</v>
      </c>
      <c r="E1023" s="43" t="n">
        <v>0.721942629146621</v>
      </c>
      <c r="F1023" s="43" t="n">
        <v>0.758894879835529</v>
      </c>
      <c r="G1023" s="43" t="n">
        <v>0.815862621562615</v>
      </c>
      <c r="H1023" s="43" t="n">
        <v>0.803156553759556</v>
      </c>
      <c r="I1023" s="42" t="n">
        <v>1</v>
      </c>
      <c r="J1023" s="42" t="n">
        <v>1</v>
      </c>
      <c r="K1023" s="44" t="str">
        <f aca="false">IF(AND(I1023=1,J1023=1),"两者都跟住",IF(AND(I1023=0,J1023=1),"仅 PC-TBD 跟住",IF(AND(I1023=1,J1023=0),"仅 VIT-LPS 跟住","都没跟住")))</f>
        <v>两者都跟住</v>
      </c>
      <c r="L1023" s="45" t="n">
        <f aca="false">F1023-G1023</f>
        <v>-0.0569677417270861</v>
      </c>
      <c r="M1023" s="46" t="n">
        <v>0.3387018</v>
      </c>
      <c r="N1023" s="46" t="n">
        <v>0.1360012</v>
      </c>
      <c r="O1023" s="46" t="n">
        <v>0.4790419</v>
      </c>
      <c r="P1023" s="46" t="n">
        <v>0.8326248</v>
      </c>
      <c r="Q1023" s="46" t="n">
        <v>2.5837479</v>
      </c>
      <c r="R1023" s="46" t="n">
        <v>1.9953851</v>
      </c>
      <c r="S1023" s="47" t="n">
        <f aca="false">M1023+N1023+O1023</f>
        <v>0.9537449</v>
      </c>
      <c r="T1023" s="47" t="n">
        <f aca="false">M1023+P1023</f>
        <v>1.1713266</v>
      </c>
    </row>
    <row r="1024" customFormat="false" ht="15" hidden="false" customHeight="false" outlineLevel="0" collapsed="false">
      <c r="A1024" s="42" t="s">
        <v>45</v>
      </c>
      <c r="B1024" s="42" t="n">
        <v>-14</v>
      </c>
      <c r="C1024" s="42" t="n">
        <v>23</v>
      </c>
      <c r="D1024" s="42" t="n">
        <v>74290938</v>
      </c>
      <c r="E1024" s="43" t="n">
        <v>0.770892505925771</v>
      </c>
      <c r="F1024" s="43" t="n">
        <v>0.796776605019023</v>
      </c>
      <c r="G1024" s="43" t="n">
        <v>0.810304043367112</v>
      </c>
      <c r="H1024" s="43" t="n">
        <v>0.801369805386874</v>
      </c>
      <c r="I1024" s="42" t="n">
        <v>1</v>
      </c>
      <c r="J1024" s="42" t="n">
        <v>1</v>
      </c>
      <c r="K1024" s="44" t="str">
        <f aca="false">IF(AND(I1024=1,J1024=1),"两者都跟住",IF(AND(I1024=0,J1024=1),"仅 PC-TBD 跟住",IF(AND(I1024=1,J1024=0),"仅 VIT-LPS 跟住","都没跟住")))</f>
        <v>两者都跟住</v>
      </c>
      <c r="L1024" s="45" t="n">
        <f aca="false">F1024-G1024</f>
        <v>-0.013527438348089</v>
      </c>
      <c r="M1024" s="46" t="n">
        <v>0.3227826</v>
      </c>
      <c r="N1024" s="46" t="n">
        <v>0.14567</v>
      </c>
      <c r="O1024" s="46" t="n">
        <v>0.5641355</v>
      </c>
      <c r="P1024" s="46" t="n">
        <v>0.9349129</v>
      </c>
      <c r="Q1024" s="46" t="n">
        <v>2.3799823</v>
      </c>
      <c r="R1024" s="46" t="n">
        <v>2.3292333</v>
      </c>
      <c r="S1024" s="47" t="n">
        <f aca="false">M1024+N1024+O1024</f>
        <v>1.0325881</v>
      </c>
      <c r="T1024" s="47" t="n">
        <f aca="false">M1024+P1024</f>
        <v>1.2576955</v>
      </c>
    </row>
    <row r="1025" customFormat="false" ht="15" hidden="false" customHeight="false" outlineLevel="0" collapsed="false">
      <c r="A1025" s="42" t="s">
        <v>45</v>
      </c>
      <c r="B1025" s="42" t="n">
        <v>-14</v>
      </c>
      <c r="C1025" s="42" t="n">
        <v>24</v>
      </c>
      <c r="D1025" s="42" t="n">
        <v>74290939</v>
      </c>
      <c r="E1025" s="43" t="n">
        <v>0.637892547648469</v>
      </c>
      <c r="F1025" s="43" t="n">
        <v>0.700400996636769</v>
      </c>
      <c r="G1025" s="43" t="n">
        <v>0.788413204807318</v>
      </c>
      <c r="H1025" s="43" t="n">
        <v>0.790913128107108</v>
      </c>
      <c r="I1025" s="42" t="n">
        <v>1</v>
      </c>
      <c r="J1025" s="42" t="n">
        <v>1</v>
      </c>
      <c r="K1025" s="44" t="str">
        <f aca="false">IF(AND(I1025=1,J1025=1),"两者都跟住",IF(AND(I1025=0,J1025=1),"仅 PC-TBD 跟住",IF(AND(I1025=1,J1025=0),"仅 VIT-LPS 跟住","都没跟住")))</f>
        <v>两者都跟住</v>
      </c>
      <c r="L1025" s="45" t="n">
        <f aca="false">F1025-G1025</f>
        <v>-0.088012208170549</v>
      </c>
      <c r="M1025" s="46" t="n">
        <v>0.330843</v>
      </c>
      <c r="N1025" s="46" t="n">
        <v>0.1292004</v>
      </c>
      <c r="O1025" s="46" t="n">
        <v>0.5307898</v>
      </c>
      <c r="P1025" s="46" t="n">
        <v>0.8757659</v>
      </c>
      <c r="Q1025" s="46" t="n">
        <v>4.9515322</v>
      </c>
      <c r="R1025" s="46" t="n">
        <v>2.3199269</v>
      </c>
      <c r="S1025" s="47" t="n">
        <f aca="false">M1025+N1025+O1025</f>
        <v>0.9908332</v>
      </c>
      <c r="T1025" s="47" t="n">
        <f aca="false">M1025+P1025</f>
        <v>1.2066089</v>
      </c>
    </row>
    <row r="1026" customFormat="false" ht="15" hidden="false" customHeight="false" outlineLevel="0" collapsed="false">
      <c r="A1026" s="42" t="s">
        <v>45</v>
      </c>
      <c r="B1026" s="42" t="n">
        <v>-14</v>
      </c>
      <c r="C1026" s="42" t="n">
        <v>25</v>
      </c>
      <c r="D1026" s="42" t="n">
        <v>74290940</v>
      </c>
      <c r="E1026" s="43" t="n">
        <v>0.46414484842767</v>
      </c>
      <c r="F1026" s="43" t="n">
        <v>0.708813146536525</v>
      </c>
      <c r="G1026" s="43" t="n">
        <v>0.707437060102198</v>
      </c>
      <c r="H1026" s="43" t="n">
        <v>0.739972959664539</v>
      </c>
      <c r="I1026" s="42" t="n">
        <v>1</v>
      </c>
      <c r="J1026" s="42" t="n">
        <v>1</v>
      </c>
      <c r="K1026" s="44" t="str">
        <f aca="false">IF(AND(I1026=1,J1026=1),"两者都跟住",IF(AND(I1026=0,J1026=1),"仅 PC-TBD 跟住",IF(AND(I1026=1,J1026=0),"仅 VIT-LPS 跟住","都没跟住")))</f>
        <v>两者都跟住</v>
      </c>
      <c r="L1026" s="45" t="n">
        <f aca="false">F1026-G1026</f>
        <v>0.00137608643432707</v>
      </c>
      <c r="M1026" s="46" t="n">
        <v>0.3100766</v>
      </c>
      <c r="N1026" s="46" t="n">
        <v>0.1305388</v>
      </c>
      <c r="O1026" s="46" t="n">
        <v>0.2329617</v>
      </c>
      <c r="P1026" s="46" t="n">
        <v>1.0131625</v>
      </c>
      <c r="Q1026" s="46" t="n">
        <v>4.8399786</v>
      </c>
      <c r="R1026" s="46" t="n">
        <v>1.9538817</v>
      </c>
      <c r="S1026" s="47" t="n">
        <f aca="false">M1026+N1026+O1026</f>
        <v>0.6735771</v>
      </c>
      <c r="T1026" s="47" t="n">
        <f aca="false">M1026+P1026</f>
        <v>1.3232391</v>
      </c>
    </row>
    <row r="1027" customFormat="false" ht="15" hidden="false" customHeight="false" outlineLevel="0" collapsed="false">
      <c r="A1027" s="42" t="s">
        <v>45</v>
      </c>
      <c r="B1027" s="42" t="n">
        <v>-14</v>
      </c>
      <c r="C1027" s="42" t="n">
        <v>26</v>
      </c>
      <c r="D1027" s="42" t="n">
        <v>74290941</v>
      </c>
      <c r="E1027" s="43" t="n">
        <v>0.649110052772218</v>
      </c>
      <c r="F1027" s="43" t="n">
        <v>0.760078798767259</v>
      </c>
      <c r="G1027" s="43" t="n">
        <v>0.680239630886839</v>
      </c>
      <c r="H1027" s="43" t="n">
        <v>0.711834197649621</v>
      </c>
      <c r="I1027" s="42" t="n">
        <v>1</v>
      </c>
      <c r="J1027" s="42" t="n">
        <v>0</v>
      </c>
      <c r="K1027" s="44" t="str">
        <f aca="false">IF(AND(I1027=1,J1027=1),"两者都跟住",IF(AND(I1027=0,J1027=1),"仅 PC-TBD 跟住",IF(AND(I1027=1,J1027=0),"仅 VIT-LPS 跟住","都没跟住")))</f>
        <v>仅 VIT-LPS 跟住</v>
      </c>
      <c r="L1027" s="45" t="n">
        <f aca="false">F1027-G1027</f>
        <v>0.07983916788042</v>
      </c>
      <c r="M1027" s="46" t="n">
        <v>0.33115</v>
      </c>
      <c r="N1027" s="46" t="n">
        <v>0.129188</v>
      </c>
      <c r="O1027" s="46" t="n">
        <v>0.4954789</v>
      </c>
      <c r="P1027" s="46" t="n">
        <v>0.8671031</v>
      </c>
      <c r="Q1027" s="46" t="n">
        <v>2.8731584</v>
      </c>
      <c r="R1027" s="46" t="n">
        <v>2.865651</v>
      </c>
      <c r="S1027" s="47" t="n">
        <f aca="false">M1027+N1027+O1027</f>
        <v>0.9558169</v>
      </c>
      <c r="T1027" s="47" t="n">
        <f aca="false">M1027+P1027</f>
        <v>1.1982531</v>
      </c>
    </row>
    <row r="1028" customFormat="false" ht="15" hidden="false" customHeight="false" outlineLevel="0" collapsed="false">
      <c r="A1028" s="42" t="s">
        <v>45</v>
      </c>
      <c r="B1028" s="42" t="n">
        <v>-14</v>
      </c>
      <c r="C1028" s="42" t="n">
        <v>27</v>
      </c>
      <c r="D1028" s="42" t="n">
        <v>74290942</v>
      </c>
      <c r="E1028" s="43" t="n">
        <v>0.630749345633426</v>
      </c>
      <c r="F1028" s="43" t="n">
        <v>0.775250003477888</v>
      </c>
      <c r="G1028" s="43" t="n">
        <v>0.805539044015193</v>
      </c>
      <c r="H1028" s="43" t="n">
        <v>0.784135817201495</v>
      </c>
      <c r="I1028" s="42" t="n">
        <v>1</v>
      </c>
      <c r="J1028" s="42" t="n">
        <v>1</v>
      </c>
      <c r="K1028" s="44" t="str">
        <f aca="false">IF(AND(I1028=1,J1028=1),"两者都跟住",IF(AND(I1028=0,J1028=1),"仅 PC-TBD 跟住",IF(AND(I1028=1,J1028=0),"仅 VIT-LPS 跟住","都没跟住")))</f>
        <v>两者都跟住</v>
      </c>
      <c r="L1028" s="45" t="n">
        <f aca="false">F1028-G1028</f>
        <v>-0.0302890405373051</v>
      </c>
      <c r="M1028" s="46" t="n">
        <v>0.1914482</v>
      </c>
      <c r="N1028" s="46" t="n">
        <v>0.118141</v>
      </c>
      <c r="O1028" s="46" t="n">
        <v>0.2350261</v>
      </c>
      <c r="P1028" s="46" t="n">
        <v>0.5619613</v>
      </c>
      <c r="Q1028" s="46" t="n">
        <v>2.0796806</v>
      </c>
      <c r="R1028" s="46" t="n">
        <v>1.7843423</v>
      </c>
      <c r="S1028" s="47" t="n">
        <f aca="false">M1028+N1028+O1028</f>
        <v>0.5446153</v>
      </c>
      <c r="T1028" s="47" t="n">
        <f aca="false">M1028+P1028</f>
        <v>0.7534095</v>
      </c>
    </row>
    <row r="1029" customFormat="false" ht="15" hidden="false" customHeight="false" outlineLevel="0" collapsed="false">
      <c r="A1029" s="42" t="s">
        <v>45</v>
      </c>
      <c r="B1029" s="42" t="n">
        <v>-14</v>
      </c>
      <c r="C1029" s="42" t="n">
        <v>28</v>
      </c>
      <c r="D1029" s="42" t="n">
        <v>74290943</v>
      </c>
      <c r="E1029" s="43" t="n">
        <v>0.716193515384519</v>
      </c>
      <c r="F1029" s="43" t="n">
        <v>0.709162863848449</v>
      </c>
      <c r="G1029" s="43" t="n">
        <v>0.789019110348226</v>
      </c>
      <c r="H1029" s="43" t="n">
        <v>0.806989409667595</v>
      </c>
      <c r="I1029" s="42" t="n">
        <v>1</v>
      </c>
      <c r="J1029" s="42" t="n">
        <v>1</v>
      </c>
      <c r="K1029" s="44" t="str">
        <f aca="false">IF(AND(I1029=1,J1029=1),"两者都跟住",IF(AND(I1029=0,J1029=1),"仅 PC-TBD 跟住",IF(AND(I1029=1,J1029=0),"仅 VIT-LPS 跟住","都没跟住")))</f>
        <v>两者都跟住</v>
      </c>
      <c r="L1029" s="45" t="n">
        <f aca="false">F1029-G1029</f>
        <v>-0.0798562464997771</v>
      </c>
      <c r="M1029" s="46" t="n">
        <v>0.1624253</v>
      </c>
      <c r="N1029" s="46" t="n">
        <v>0.0955213</v>
      </c>
      <c r="O1029" s="46" t="n">
        <v>0.25043</v>
      </c>
      <c r="P1029" s="46" t="n">
        <v>0.5412457</v>
      </c>
      <c r="Q1029" s="46" t="n">
        <v>3.8528358</v>
      </c>
      <c r="R1029" s="46" t="n">
        <v>1.4866262</v>
      </c>
      <c r="S1029" s="47" t="n">
        <f aca="false">M1029+N1029+O1029</f>
        <v>0.5083766</v>
      </c>
      <c r="T1029" s="47" t="n">
        <f aca="false">M1029+P1029</f>
        <v>0.703671</v>
      </c>
    </row>
    <row r="1030" customFormat="false" ht="15" hidden="false" customHeight="false" outlineLevel="0" collapsed="false">
      <c r="A1030" s="42" t="s">
        <v>45</v>
      </c>
      <c r="B1030" s="42" t="n">
        <v>-14</v>
      </c>
      <c r="C1030" s="42" t="n">
        <v>29</v>
      </c>
      <c r="D1030" s="42" t="n">
        <v>74290944</v>
      </c>
      <c r="E1030" s="43" t="n">
        <v>0.739551437470874</v>
      </c>
      <c r="F1030" s="43" t="n">
        <v>0.76054562217076</v>
      </c>
      <c r="G1030" s="43" t="n">
        <v>0.787752659668466</v>
      </c>
      <c r="H1030" s="43" t="n">
        <v>0.778794589966263</v>
      </c>
      <c r="I1030" s="42" t="n">
        <v>1</v>
      </c>
      <c r="J1030" s="42" t="n">
        <v>1</v>
      </c>
      <c r="K1030" s="44" t="str">
        <f aca="false">IF(AND(I1030=1,J1030=1),"两者都跟住",IF(AND(I1030=0,J1030=1),"仅 PC-TBD 跟住",IF(AND(I1030=1,J1030=0),"仅 VIT-LPS 跟住","都没跟住")))</f>
        <v>两者都跟住</v>
      </c>
      <c r="L1030" s="45" t="n">
        <f aca="false">F1030-G1030</f>
        <v>-0.0272070374977059</v>
      </c>
      <c r="M1030" s="46" t="n">
        <v>0.2077822</v>
      </c>
      <c r="N1030" s="46" t="n">
        <v>0.1144631</v>
      </c>
      <c r="O1030" s="46" t="n">
        <v>0.2458803</v>
      </c>
      <c r="P1030" s="46" t="n">
        <v>0.4457082</v>
      </c>
      <c r="Q1030" s="46" t="n">
        <v>1.8379405</v>
      </c>
      <c r="R1030" s="46" t="n">
        <v>1.8766623</v>
      </c>
      <c r="S1030" s="47" t="n">
        <f aca="false">M1030+N1030+O1030</f>
        <v>0.5681256</v>
      </c>
      <c r="T1030" s="47" t="n">
        <f aca="false">M1030+P1030</f>
        <v>0.6534904</v>
      </c>
    </row>
    <row r="1031" customFormat="false" ht="15" hidden="false" customHeight="false" outlineLevel="0" collapsed="false">
      <c r="A1031" s="42" t="s">
        <v>45</v>
      </c>
      <c r="B1031" s="42" t="n">
        <v>-14</v>
      </c>
      <c r="C1031" s="42" t="n">
        <v>30</v>
      </c>
      <c r="D1031" s="42" t="n">
        <v>74290945</v>
      </c>
      <c r="E1031" s="43" t="n">
        <v>0.686246273850556</v>
      </c>
      <c r="F1031" s="43" t="n">
        <v>0.738742699050408</v>
      </c>
      <c r="G1031" s="43" t="n">
        <v>0.670514014725811</v>
      </c>
      <c r="H1031" s="43" t="n">
        <v>0.689148978125497</v>
      </c>
      <c r="I1031" s="42" t="n">
        <v>1</v>
      </c>
      <c r="J1031" s="42" t="n">
        <v>0</v>
      </c>
      <c r="K1031" s="44" t="str">
        <f aca="false">IF(AND(I1031=1,J1031=1),"两者都跟住",IF(AND(I1031=0,J1031=1),"仅 PC-TBD 跟住",IF(AND(I1031=1,J1031=0),"仅 VIT-LPS 跟住","都没跟住")))</f>
        <v>仅 VIT-LPS 跟住</v>
      </c>
      <c r="L1031" s="45" t="n">
        <f aca="false">F1031-G1031</f>
        <v>0.0682286843245971</v>
      </c>
      <c r="M1031" s="46" t="n">
        <v>0.1709697</v>
      </c>
      <c r="N1031" s="46" t="n">
        <v>0.0873097</v>
      </c>
      <c r="O1031" s="46" t="n">
        <v>0.2193537</v>
      </c>
      <c r="P1031" s="46" t="n">
        <v>0.5083974</v>
      </c>
      <c r="Q1031" s="46" t="n">
        <v>1.7473049</v>
      </c>
      <c r="R1031" s="46" t="n">
        <v>1.2136908</v>
      </c>
      <c r="S1031" s="47" t="n">
        <f aca="false">M1031+N1031+O1031</f>
        <v>0.4776331</v>
      </c>
      <c r="T1031" s="47" t="n">
        <f aca="false">M1031+P1031</f>
        <v>0.6793671</v>
      </c>
    </row>
    <row r="1032" customFormat="false" ht="15" hidden="false" customHeight="false" outlineLevel="0" collapsed="false">
      <c r="A1032" s="42" t="s">
        <v>45</v>
      </c>
      <c r="B1032" s="42" t="n">
        <v>-14</v>
      </c>
      <c r="C1032" s="42" t="n">
        <v>31</v>
      </c>
      <c r="D1032" s="42" t="n">
        <v>74290946</v>
      </c>
      <c r="E1032" s="43" t="n">
        <v>0.693737075075665</v>
      </c>
      <c r="F1032" s="43" t="n">
        <v>0.728523691517127</v>
      </c>
      <c r="G1032" s="43" t="n">
        <v>0.713763405611542</v>
      </c>
      <c r="H1032" s="43" t="n">
        <v>0.716373812604146</v>
      </c>
      <c r="I1032" s="42" t="n">
        <v>1</v>
      </c>
      <c r="J1032" s="42" t="n">
        <v>0</v>
      </c>
      <c r="K1032" s="44" t="str">
        <f aca="false">IF(AND(I1032=1,J1032=1),"两者都跟住",IF(AND(I1032=0,J1032=1),"仅 PC-TBD 跟住",IF(AND(I1032=1,J1032=0),"仅 VIT-LPS 跟住","都没跟住")))</f>
        <v>仅 VIT-LPS 跟住</v>
      </c>
      <c r="L1032" s="45" t="n">
        <f aca="false">F1032-G1032</f>
        <v>0.0147602859055851</v>
      </c>
      <c r="M1032" s="46" t="n">
        <v>0.265576</v>
      </c>
      <c r="N1032" s="46" t="n">
        <v>0.1584667</v>
      </c>
      <c r="O1032" s="46" t="n">
        <v>0.3117156</v>
      </c>
      <c r="P1032" s="46" t="n">
        <v>0.7452792</v>
      </c>
      <c r="Q1032" s="46" t="n">
        <v>2.5286614</v>
      </c>
      <c r="R1032" s="46" t="n">
        <v>2.5711982</v>
      </c>
      <c r="S1032" s="47" t="n">
        <f aca="false">M1032+N1032+O1032</f>
        <v>0.7357583</v>
      </c>
      <c r="T1032" s="47" t="n">
        <f aca="false">M1032+P1032</f>
        <v>1.0108552</v>
      </c>
    </row>
    <row r="1033" customFormat="false" ht="15" hidden="false" customHeight="false" outlineLevel="0" collapsed="false">
      <c r="A1033" s="42" t="s">
        <v>45</v>
      </c>
      <c r="B1033" s="42" t="n">
        <v>-14</v>
      </c>
      <c r="C1033" s="42" t="n">
        <v>32</v>
      </c>
      <c r="D1033" s="42" t="n">
        <v>74290947</v>
      </c>
      <c r="E1033" s="43" t="n">
        <v>0.554724049610646</v>
      </c>
      <c r="F1033" s="43" t="n">
        <v>0.729925178708678</v>
      </c>
      <c r="G1033" s="43" t="n">
        <v>0.725004061874014</v>
      </c>
      <c r="H1033" s="43" t="n">
        <v>0.742941773949953</v>
      </c>
      <c r="I1033" s="42" t="n">
        <v>1</v>
      </c>
      <c r="J1033" s="42" t="n">
        <v>1</v>
      </c>
      <c r="K1033" s="44" t="str">
        <f aca="false">IF(AND(I1033=1,J1033=1),"两者都跟住",IF(AND(I1033=0,J1033=1),"仅 PC-TBD 跟住",IF(AND(I1033=1,J1033=0),"仅 VIT-LPS 跟住","都没跟住")))</f>
        <v>两者都跟住</v>
      </c>
      <c r="L1033" s="45" t="n">
        <f aca="false">F1033-G1033</f>
        <v>0.00492111683466401</v>
      </c>
      <c r="M1033" s="46" t="n">
        <v>0.2381346</v>
      </c>
      <c r="N1033" s="46" t="n">
        <v>0.1457158</v>
      </c>
      <c r="O1033" s="46" t="n">
        <v>0.4354678</v>
      </c>
      <c r="P1033" s="46" t="n">
        <v>0.6966382</v>
      </c>
      <c r="Q1033" s="46" t="n">
        <v>2.4115235</v>
      </c>
      <c r="R1033" s="46" t="n">
        <v>2.8524114</v>
      </c>
      <c r="S1033" s="47" t="n">
        <f aca="false">M1033+N1033+O1033</f>
        <v>0.8193182</v>
      </c>
      <c r="T1033" s="47" t="n">
        <f aca="false">M1033+P1033</f>
        <v>0.9347728</v>
      </c>
    </row>
    <row r="1034" customFormat="false" ht="15" hidden="false" customHeight="false" outlineLevel="0" collapsed="false">
      <c r="A1034" s="42" t="s">
        <v>45</v>
      </c>
      <c r="B1034" s="42" t="n">
        <v>-14</v>
      </c>
      <c r="C1034" s="42" t="n">
        <v>33</v>
      </c>
      <c r="D1034" s="42" t="n">
        <v>74290948</v>
      </c>
      <c r="E1034" s="43" t="n">
        <v>0.69254064449145</v>
      </c>
      <c r="F1034" s="43" t="n">
        <v>0.679969414614721</v>
      </c>
      <c r="G1034" s="43" t="n">
        <v>0.752202843313936</v>
      </c>
      <c r="H1034" s="43" t="n">
        <v>0.779413186234697</v>
      </c>
      <c r="I1034" s="42" t="n">
        <v>1</v>
      </c>
      <c r="J1034" s="42" t="n">
        <v>1</v>
      </c>
      <c r="K1034" s="44" t="str">
        <f aca="false">IF(AND(I1034=1,J1034=1),"两者都跟住",IF(AND(I1034=0,J1034=1),"仅 PC-TBD 跟住",IF(AND(I1034=1,J1034=0),"仅 VIT-LPS 跟住","都没跟住")))</f>
        <v>两者都跟住</v>
      </c>
      <c r="L1034" s="45" t="n">
        <f aca="false">F1034-G1034</f>
        <v>-0.072233428699215</v>
      </c>
      <c r="M1034" s="46" t="n">
        <v>0.2272536</v>
      </c>
      <c r="N1034" s="46" t="n">
        <v>0.1351783</v>
      </c>
      <c r="O1034" s="46" t="n">
        <v>0.4091437</v>
      </c>
      <c r="P1034" s="46" t="n">
        <v>0.7529743</v>
      </c>
      <c r="Q1034" s="46" t="n">
        <v>2.4147948</v>
      </c>
      <c r="R1034" s="46" t="n">
        <v>2.2931668</v>
      </c>
      <c r="S1034" s="47" t="n">
        <f aca="false">M1034+N1034+O1034</f>
        <v>0.7715756</v>
      </c>
      <c r="T1034" s="47" t="n">
        <f aca="false">M1034+P1034</f>
        <v>0.9802279</v>
      </c>
    </row>
    <row r="1035" customFormat="false" ht="15" hidden="false" customHeight="false" outlineLevel="0" collapsed="false">
      <c r="A1035" s="42" t="s">
        <v>45</v>
      </c>
      <c r="B1035" s="42" t="n">
        <v>-14</v>
      </c>
      <c r="C1035" s="42" t="n">
        <v>34</v>
      </c>
      <c r="D1035" s="42" t="n">
        <v>74290949</v>
      </c>
      <c r="E1035" s="43" t="n">
        <v>0.691386954841607</v>
      </c>
      <c r="F1035" s="43" t="n">
        <v>0.751443919922524</v>
      </c>
      <c r="G1035" s="43" t="n">
        <v>0.763588537762533</v>
      </c>
      <c r="H1035" s="43" t="n">
        <v>0.783656307086149</v>
      </c>
      <c r="I1035" s="42" t="n">
        <v>1</v>
      </c>
      <c r="J1035" s="42" t="n">
        <v>1</v>
      </c>
      <c r="K1035" s="44" t="str">
        <f aca="false">IF(AND(I1035=1,J1035=1),"两者都跟住",IF(AND(I1035=0,J1035=1),"仅 PC-TBD 跟住",IF(AND(I1035=1,J1035=0),"仅 VIT-LPS 跟住","都没跟住")))</f>
        <v>两者都跟住</v>
      </c>
      <c r="L1035" s="45" t="n">
        <f aca="false">F1035-G1035</f>
        <v>-0.012144617840009</v>
      </c>
      <c r="M1035" s="46" t="n">
        <v>0.2324038</v>
      </c>
      <c r="N1035" s="46" t="n">
        <v>0.126418</v>
      </c>
      <c r="O1035" s="46" t="n">
        <v>0.3942067</v>
      </c>
      <c r="P1035" s="46" t="n">
        <v>0.756605</v>
      </c>
      <c r="Q1035" s="46" t="n">
        <v>2.3564372</v>
      </c>
      <c r="R1035" s="46" t="n">
        <v>2.7111643</v>
      </c>
      <c r="S1035" s="47" t="n">
        <f aca="false">M1035+N1035+O1035</f>
        <v>0.7530285</v>
      </c>
      <c r="T1035" s="47" t="n">
        <f aca="false">M1035+P1035</f>
        <v>0.9890088</v>
      </c>
    </row>
    <row r="1036" customFormat="false" ht="15" hidden="false" customHeight="false" outlineLevel="0" collapsed="false">
      <c r="A1036" s="42" t="s">
        <v>45</v>
      </c>
      <c r="B1036" s="42" t="n">
        <v>-14</v>
      </c>
      <c r="C1036" s="42" t="n">
        <v>35</v>
      </c>
      <c r="D1036" s="42" t="n">
        <v>74290950</v>
      </c>
      <c r="E1036" s="43" t="n">
        <v>0.737161820999848</v>
      </c>
      <c r="F1036" s="43" t="n">
        <v>0.798476296019762</v>
      </c>
      <c r="G1036" s="43" t="n">
        <v>0.782480313285857</v>
      </c>
      <c r="H1036" s="43" t="n">
        <v>0.809496422113849</v>
      </c>
      <c r="I1036" s="42" t="n">
        <v>1</v>
      </c>
      <c r="J1036" s="42" t="n">
        <v>1</v>
      </c>
      <c r="K1036" s="44" t="str">
        <f aca="false">IF(AND(I1036=1,J1036=1),"两者都跟住",IF(AND(I1036=0,J1036=1),"仅 PC-TBD 跟住",IF(AND(I1036=1,J1036=0),"仅 VIT-LPS 跟住","都没跟住")))</f>
        <v>两者都跟住</v>
      </c>
      <c r="L1036" s="45" t="n">
        <f aca="false">F1036-G1036</f>
        <v>0.015995982733905</v>
      </c>
      <c r="M1036" s="46" t="n">
        <v>0.2520778</v>
      </c>
      <c r="N1036" s="46" t="n">
        <v>0.1778993</v>
      </c>
      <c r="O1036" s="46" t="n">
        <v>0.4849159</v>
      </c>
      <c r="P1036" s="46" t="n">
        <v>0.6336802</v>
      </c>
      <c r="Q1036" s="46" t="n">
        <v>2.2170096</v>
      </c>
      <c r="R1036" s="46" t="n">
        <v>2.4821385</v>
      </c>
      <c r="S1036" s="47" t="n">
        <f aca="false">M1036+N1036+O1036</f>
        <v>0.914893</v>
      </c>
      <c r="T1036" s="47" t="n">
        <f aca="false">M1036+P1036</f>
        <v>0.885758</v>
      </c>
    </row>
    <row r="1037" customFormat="false" ht="15" hidden="false" customHeight="false" outlineLevel="0" collapsed="false">
      <c r="A1037" s="42" t="s">
        <v>45</v>
      </c>
      <c r="B1037" s="42" t="n">
        <v>-14</v>
      </c>
      <c r="C1037" s="42" t="n">
        <v>36</v>
      </c>
      <c r="D1037" s="42" t="n">
        <v>74290951</v>
      </c>
      <c r="E1037" s="43" t="n">
        <v>0.540208591742006</v>
      </c>
      <c r="F1037" s="43" t="n">
        <v>0.747050012679476</v>
      </c>
      <c r="G1037" s="43" t="n">
        <v>0.724095536786439</v>
      </c>
      <c r="H1037" s="43" t="n">
        <v>0.741052143531489</v>
      </c>
      <c r="I1037" s="42" t="n">
        <v>1</v>
      </c>
      <c r="J1037" s="42" t="n">
        <v>1</v>
      </c>
      <c r="K1037" s="44" t="str">
        <f aca="false">IF(AND(I1037=1,J1037=1),"两者都跟住",IF(AND(I1037=0,J1037=1),"仅 PC-TBD 跟住",IF(AND(I1037=1,J1037=0),"仅 VIT-LPS 跟住","都没跟住")))</f>
        <v>两者都跟住</v>
      </c>
      <c r="L1037" s="45" t="n">
        <f aca="false">F1037-G1037</f>
        <v>0.022954475893037</v>
      </c>
      <c r="M1037" s="46" t="n">
        <v>0.2463398</v>
      </c>
      <c r="N1037" s="46" t="n">
        <v>0.1347206</v>
      </c>
      <c r="O1037" s="46" t="n">
        <v>0.4573235</v>
      </c>
      <c r="P1037" s="46" t="n">
        <v>0.6925435</v>
      </c>
      <c r="Q1037" s="46" t="n">
        <v>2.4565277</v>
      </c>
      <c r="R1037" s="46" t="n">
        <v>2.8700595</v>
      </c>
      <c r="S1037" s="47" t="n">
        <f aca="false">M1037+N1037+O1037</f>
        <v>0.8383839</v>
      </c>
      <c r="T1037" s="47" t="n">
        <f aca="false">M1037+P1037</f>
        <v>0.9388833</v>
      </c>
    </row>
    <row r="1038" customFormat="false" ht="15" hidden="false" customHeight="false" outlineLevel="0" collapsed="false">
      <c r="A1038" s="42" t="s">
        <v>45</v>
      </c>
      <c r="B1038" s="42" t="n">
        <v>-14</v>
      </c>
      <c r="C1038" s="42" t="n">
        <v>37</v>
      </c>
      <c r="D1038" s="42" t="n">
        <v>74290952</v>
      </c>
      <c r="E1038" s="43" t="n">
        <v>0.653957309625832</v>
      </c>
      <c r="F1038" s="43" t="n">
        <v>0.750859836206794</v>
      </c>
      <c r="G1038" s="43" t="n">
        <v>0.760356253394342</v>
      </c>
      <c r="H1038" s="43" t="n">
        <v>0.767180433091062</v>
      </c>
      <c r="I1038" s="42" t="n">
        <v>1</v>
      </c>
      <c r="J1038" s="42" t="n">
        <v>1</v>
      </c>
      <c r="K1038" s="44" t="str">
        <f aca="false">IF(AND(I1038=1,J1038=1),"两者都跟住",IF(AND(I1038=0,J1038=1),"仅 PC-TBD 跟住",IF(AND(I1038=1,J1038=0),"仅 VIT-LPS 跟住","都没跟住")))</f>
        <v>两者都跟住</v>
      </c>
      <c r="L1038" s="45" t="n">
        <f aca="false">F1038-G1038</f>
        <v>-0.00949641718754801</v>
      </c>
      <c r="M1038" s="46" t="n">
        <v>0.169742</v>
      </c>
      <c r="N1038" s="46" t="n">
        <v>0.0725231</v>
      </c>
      <c r="O1038" s="46" t="n">
        <v>0.1785316</v>
      </c>
      <c r="P1038" s="46" t="n">
        <v>0.4660372</v>
      </c>
      <c r="Q1038" s="46" t="n">
        <v>1.5899411</v>
      </c>
      <c r="R1038" s="46" t="n">
        <v>1.555721</v>
      </c>
      <c r="S1038" s="47" t="n">
        <f aca="false">M1038+N1038+O1038</f>
        <v>0.4207967</v>
      </c>
      <c r="T1038" s="47" t="n">
        <f aca="false">M1038+P1038</f>
        <v>0.6357792</v>
      </c>
    </row>
    <row r="1039" customFormat="false" ht="15" hidden="false" customHeight="false" outlineLevel="0" collapsed="false">
      <c r="A1039" s="42" t="s">
        <v>45</v>
      </c>
      <c r="B1039" s="42" t="n">
        <v>-14</v>
      </c>
      <c r="C1039" s="42" t="n">
        <v>38</v>
      </c>
      <c r="D1039" s="42" t="n">
        <v>74290953</v>
      </c>
      <c r="E1039" s="43" t="n">
        <v>0.61097411865197</v>
      </c>
      <c r="F1039" s="43" t="n">
        <v>0.714858017736905</v>
      </c>
      <c r="G1039" s="43" t="n">
        <v>0.76316695693515</v>
      </c>
      <c r="H1039" s="43" t="n">
        <v>0.776402714264185</v>
      </c>
      <c r="I1039" s="42" t="n">
        <v>1</v>
      </c>
      <c r="J1039" s="42" t="n">
        <v>1</v>
      </c>
      <c r="K1039" s="44" t="str">
        <f aca="false">IF(AND(I1039=1,J1039=1),"两者都跟住",IF(AND(I1039=0,J1039=1),"仅 PC-TBD 跟住",IF(AND(I1039=1,J1039=0),"仅 VIT-LPS 跟住","都没跟住")))</f>
        <v>两者都跟住</v>
      </c>
      <c r="L1039" s="45" t="n">
        <f aca="false">F1039-G1039</f>
        <v>-0.048308939198245</v>
      </c>
      <c r="M1039" s="46" t="n">
        <v>0.1606365</v>
      </c>
      <c r="N1039" s="46" t="n">
        <v>0.0785757</v>
      </c>
      <c r="O1039" s="46" t="n">
        <v>0.133044</v>
      </c>
      <c r="P1039" s="46" t="n">
        <v>0.5431922</v>
      </c>
      <c r="Q1039" s="46" t="n">
        <v>3.5956429</v>
      </c>
      <c r="R1039" s="46" t="n">
        <v>0.8104787</v>
      </c>
      <c r="S1039" s="47" t="n">
        <f aca="false">M1039+N1039+O1039</f>
        <v>0.3722562</v>
      </c>
      <c r="T1039" s="47" t="n">
        <f aca="false">M1039+P1039</f>
        <v>0.7038287</v>
      </c>
    </row>
    <row r="1040" customFormat="false" ht="15" hidden="false" customHeight="false" outlineLevel="0" collapsed="false">
      <c r="A1040" s="42" t="s">
        <v>45</v>
      </c>
      <c r="B1040" s="42" t="n">
        <v>-14</v>
      </c>
      <c r="C1040" s="42" t="n">
        <v>39</v>
      </c>
      <c r="D1040" s="42" t="n">
        <v>74290954</v>
      </c>
      <c r="E1040" s="43" t="n">
        <v>0.740262097301052</v>
      </c>
      <c r="F1040" s="43" t="n">
        <v>0.778850743850867</v>
      </c>
      <c r="G1040" s="43" t="n">
        <v>0.801152640675951</v>
      </c>
      <c r="H1040" s="43" t="n">
        <v>0.790814711713032</v>
      </c>
      <c r="I1040" s="42" t="n">
        <v>1</v>
      </c>
      <c r="J1040" s="42" t="n">
        <v>1</v>
      </c>
      <c r="K1040" s="44" t="str">
        <f aca="false">IF(AND(I1040=1,J1040=1),"两者都跟住",IF(AND(I1040=0,J1040=1),"仅 PC-TBD 跟住",IF(AND(I1040=1,J1040=0),"仅 VIT-LPS 跟住","都没跟住")))</f>
        <v>两者都跟住</v>
      </c>
      <c r="L1040" s="45" t="n">
        <f aca="false">F1040-G1040</f>
        <v>-0.022301896825084</v>
      </c>
      <c r="M1040" s="46" t="n">
        <v>0.2389592</v>
      </c>
      <c r="N1040" s="46" t="n">
        <v>0.1201574</v>
      </c>
      <c r="O1040" s="46" t="n">
        <v>0.2915955</v>
      </c>
      <c r="P1040" s="46" t="n">
        <v>0.7011737</v>
      </c>
      <c r="Q1040" s="46" t="n">
        <v>1.9251488</v>
      </c>
      <c r="R1040" s="46" t="n">
        <v>1.75364</v>
      </c>
      <c r="S1040" s="47" t="n">
        <f aca="false">M1040+N1040+O1040</f>
        <v>0.6507121</v>
      </c>
      <c r="T1040" s="47" t="n">
        <f aca="false">M1040+P1040</f>
        <v>0.9401329</v>
      </c>
    </row>
    <row r="1041" customFormat="false" ht="15" hidden="false" customHeight="false" outlineLevel="0" collapsed="false">
      <c r="A1041" s="42" t="s">
        <v>45</v>
      </c>
      <c r="B1041" s="42" t="n">
        <v>-14</v>
      </c>
      <c r="C1041" s="42" t="n">
        <v>40</v>
      </c>
      <c r="D1041" s="42" t="n">
        <v>74290955</v>
      </c>
      <c r="E1041" s="43" t="n">
        <v>0.65256892147932</v>
      </c>
      <c r="F1041" s="43" t="n">
        <v>0.79056481538705</v>
      </c>
      <c r="G1041" s="43" t="n">
        <v>0.8173519718234</v>
      </c>
      <c r="H1041" s="43" t="n">
        <v>0.803059203214963</v>
      </c>
      <c r="I1041" s="42" t="n">
        <v>1</v>
      </c>
      <c r="J1041" s="42" t="n">
        <v>1</v>
      </c>
      <c r="K1041" s="44" t="str">
        <f aca="false">IF(AND(I1041=1,J1041=1),"两者都跟住",IF(AND(I1041=0,J1041=1),"仅 PC-TBD 跟住",IF(AND(I1041=1,J1041=0),"仅 VIT-LPS 跟住","都没跟住")))</f>
        <v>两者都跟住</v>
      </c>
      <c r="L1041" s="45" t="n">
        <f aca="false">F1041-G1041</f>
        <v>-0.02678715643635</v>
      </c>
      <c r="M1041" s="46" t="n">
        <v>0.2002715</v>
      </c>
      <c r="N1041" s="46" t="n">
        <v>0.150901</v>
      </c>
      <c r="O1041" s="46" t="n">
        <v>0.236515</v>
      </c>
      <c r="P1041" s="46" t="n">
        <v>0.5283612</v>
      </c>
      <c r="Q1041" s="46" t="n">
        <v>1.7044952</v>
      </c>
      <c r="R1041" s="46" t="n">
        <v>1.6437146</v>
      </c>
      <c r="S1041" s="47" t="n">
        <f aca="false">M1041+N1041+O1041</f>
        <v>0.5876875</v>
      </c>
      <c r="T1041" s="47" t="n">
        <f aca="false">M1041+P1041</f>
        <v>0.7286327</v>
      </c>
    </row>
    <row r="1042" customFormat="false" ht="15" hidden="false" customHeight="false" outlineLevel="0" collapsed="false">
      <c r="A1042" s="42" t="s">
        <v>45</v>
      </c>
      <c r="B1042" s="42" t="n">
        <v>-14</v>
      </c>
      <c r="C1042" s="42" t="n">
        <v>41</v>
      </c>
      <c r="D1042" s="42" t="n">
        <v>74290956</v>
      </c>
      <c r="E1042" s="43" t="n">
        <v>0.611000455890611</v>
      </c>
      <c r="F1042" s="43" t="n">
        <v>0.736977738455582</v>
      </c>
      <c r="G1042" s="43" t="n">
        <v>0.724285786319869</v>
      </c>
      <c r="H1042" s="43" t="n">
        <v>0.770943238555272</v>
      </c>
      <c r="I1042" s="42" t="n">
        <v>1</v>
      </c>
      <c r="J1042" s="42" t="n">
        <v>1</v>
      </c>
      <c r="K1042" s="44" t="str">
        <f aca="false">IF(AND(I1042=1,J1042=1),"两者都跟住",IF(AND(I1042=0,J1042=1),"仅 PC-TBD 跟住",IF(AND(I1042=1,J1042=0),"仅 VIT-LPS 跟住","都没跟住")))</f>
        <v>两者都跟住</v>
      </c>
      <c r="L1042" s="45" t="n">
        <f aca="false">F1042-G1042</f>
        <v>0.0126919521357131</v>
      </c>
      <c r="M1042" s="46" t="n">
        <v>0.2106059</v>
      </c>
      <c r="N1042" s="46" t="n">
        <v>0.1239816</v>
      </c>
      <c r="O1042" s="46" t="n">
        <v>0.2563687</v>
      </c>
      <c r="P1042" s="46" t="n">
        <v>0.6448854</v>
      </c>
      <c r="Q1042" s="46" t="n">
        <v>2.3632231</v>
      </c>
      <c r="R1042" s="46" t="n">
        <v>2.5412768</v>
      </c>
      <c r="S1042" s="47" t="n">
        <f aca="false">M1042+N1042+O1042</f>
        <v>0.5909562</v>
      </c>
      <c r="T1042" s="47" t="n">
        <f aca="false">M1042+P1042</f>
        <v>0.8554913</v>
      </c>
    </row>
    <row r="1043" customFormat="false" ht="15" hidden="false" customHeight="false" outlineLevel="0" collapsed="false">
      <c r="A1043" s="42" t="s">
        <v>45</v>
      </c>
      <c r="B1043" s="42" t="n">
        <v>-14</v>
      </c>
      <c r="C1043" s="42" t="n">
        <v>42</v>
      </c>
      <c r="D1043" s="42" t="n">
        <v>74290957</v>
      </c>
      <c r="E1043" s="43" t="n">
        <v>0.732823618746261</v>
      </c>
      <c r="F1043" s="43" t="n">
        <v>0.673386878875183</v>
      </c>
      <c r="G1043" s="43" t="n">
        <v>0.766791128422551</v>
      </c>
      <c r="H1043" s="43" t="n">
        <v>0.793353287080178</v>
      </c>
      <c r="I1043" s="42" t="n">
        <v>1</v>
      </c>
      <c r="J1043" s="42" t="n">
        <v>1</v>
      </c>
      <c r="K1043" s="44" t="str">
        <f aca="false">IF(AND(I1043=1,J1043=1),"两者都跟住",IF(AND(I1043=0,J1043=1),"仅 PC-TBD 跟住",IF(AND(I1043=1,J1043=0),"仅 VIT-LPS 跟住","都没跟住")))</f>
        <v>两者都跟住</v>
      </c>
      <c r="L1043" s="45" t="n">
        <f aca="false">F1043-G1043</f>
        <v>-0.093404249547368</v>
      </c>
      <c r="M1043" s="46" t="n">
        <v>0.2322344</v>
      </c>
      <c r="N1043" s="46" t="n">
        <v>0.1471064</v>
      </c>
      <c r="O1043" s="46" t="n">
        <v>0.21523</v>
      </c>
      <c r="P1043" s="46" t="n">
        <v>0.669885</v>
      </c>
      <c r="Q1043" s="46" t="n">
        <v>2.4632731</v>
      </c>
      <c r="R1043" s="46" t="n">
        <v>2.5294352</v>
      </c>
      <c r="S1043" s="47" t="n">
        <f aca="false">M1043+N1043+O1043</f>
        <v>0.5945708</v>
      </c>
      <c r="T1043" s="47" t="n">
        <f aca="false">M1043+P1043</f>
        <v>0.9021194</v>
      </c>
    </row>
    <row r="1044" customFormat="false" ht="15" hidden="false" customHeight="false" outlineLevel="0" collapsed="false">
      <c r="A1044" s="42" t="s">
        <v>45</v>
      </c>
      <c r="B1044" s="42" t="n">
        <v>-14</v>
      </c>
      <c r="C1044" s="42" t="n">
        <v>43</v>
      </c>
      <c r="D1044" s="42" t="n">
        <v>74290958</v>
      </c>
      <c r="E1044" s="43" t="n">
        <v>0.639630961435235</v>
      </c>
      <c r="F1044" s="43" t="n">
        <v>0.781553888779889</v>
      </c>
      <c r="G1044" s="43" t="n">
        <v>0.747410451740873</v>
      </c>
      <c r="H1044" s="43" t="n">
        <v>0.769879108515304</v>
      </c>
      <c r="I1044" s="42" t="n">
        <v>1</v>
      </c>
      <c r="J1044" s="42" t="n">
        <v>1</v>
      </c>
      <c r="K1044" s="44" t="str">
        <f aca="false">IF(AND(I1044=1,J1044=1),"两者都跟住",IF(AND(I1044=0,J1044=1),"仅 PC-TBD 跟住",IF(AND(I1044=1,J1044=0),"仅 VIT-LPS 跟住","都没跟住")))</f>
        <v>两者都跟住</v>
      </c>
      <c r="L1044" s="45" t="n">
        <f aca="false">F1044-G1044</f>
        <v>0.034143437039016</v>
      </c>
      <c r="M1044" s="46" t="n">
        <v>0.2189139</v>
      </c>
      <c r="N1044" s="46" t="n">
        <v>0.1334237</v>
      </c>
      <c r="O1044" s="46" t="n">
        <v>0.1871043</v>
      </c>
      <c r="P1044" s="46" t="n">
        <v>0.7142789</v>
      </c>
      <c r="Q1044" s="46" t="n">
        <v>2.1111975</v>
      </c>
      <c r="R1044" s="46" t="n">
        <v>2.3568056</v>
      </c>
      <c r="S1044" s="47" t="n">
        <f aca="false">M1044+N1044+O1044</f>
        <v>0.5394419</v>
      </c>
      <c r="T1044" s="47" t="n">
        <f aca="false">M1044+P1044</f>
        <v>0.9331928</v>
      </c>
    </row>
    <row r="1045" customFormat="false" ht="15" hidden="false" customHeight="false" outlineLevel="0" collapsed="false">
      <c r="A1045" s="42" t="s">
        <v>45</v>
      </c>
      <c r="B1045" s="42" t="n">
        <v>-14</v>
      </c>
      <c r="C1045" s="42" t="n">
        <v>44</v>
      </c>
      <c r="D1045" s="42" t="n">
        <v>74290959</v>
      </c>
      <c r="E1045" s="43" t="n">
        <v>0.665037322112908</v>
      </c>
      <c r="F1045" s="43" t="n">
        <v>0.777488596064686</v>
      </c>
      <c r="G1045" s="43" t="n">
        <v>0.777804428170459</v>
      </c>
      <c r="H1045" s="43" t="n">
        <v>0.787621528174026</v>
      </c>
      <c r="I1045" s="42" t="n">
        <v>1</v>
      </c>
      <c r="J1045" s="42" t="n">
        <v>1</v>
      </c>
      <c r="K1045" s="44" t="str">
        <f aca="false">IF(AND(I1045=1,J1045=1),"两者都跟住",IF(AND(I1045=0,J1045=1),"仅 PC-TBD 跟住",IF(AND(I1045=1,J1045=0),"仅 VIT-LPS 跟住","都没跟住")))</f>
        <v>两者都跟住</v>
      </c>
      <c r="L1045" s="45" t="n">
        <f aca="false">F1045-G1045</f>
        <v>-0.000315832105773017</v>
      </c>
      <c r="M1045" s="46" t="n">
        <v>0.2258674</v>
      </c>
      <c r="N1045" s="46" t="n">
        <v>0.1305844</v>
      </c>
      <c r="O1045" s="46" t="n">
        <v>0.219313</v>
      </c>
      <c r="P1045" s="46" t="n">
        <v>0.6899602</v>
      </c>
      <c r="Q1045" s="46" t="n">
        <v>2.6390222</v>
      </c>
      <c r="R1045" s="46" t="n">
        <v>2.5226977</v>
      </c>
      <c r="S1045" s="47" t="n">
        <f aca="false">M1045+N1045+O1045</f>
        <v>0.5757648</v>
      </c>
      <c r="T1045" s="47" t="n">
        <f aca="false">M1045+P1045</f>
        <v>0.9158276</v>
      </c>
    </row>
    <row r="1046" customFormat="false" ht="15" hidden="false" customHeight="false" outlineLevel="0" collapsed="false">
      <c r="A1046" s="42" t="s">
        <v>45</v>
      </c>
      <c r="B1046" s="42" t="n">
        <v>-14</v>
      </c>
      <c r="C1046" s="42" t="n">
        <v>45</v>
      </c>
      <c r="D1046" s="42" t="n">
        <v>74290960</v>
      </c>
      <c r="E1046" s="43" t="n">
        <v>0.67955567222922</v>
      </c>
      <c r="F1046" s="43" t="n">
        <v>0.789210574899916</v>
      </c>
      <c r="G1046" s="43" t="n">
        <v>0.818717009044264</v>
      </c>
      <c r="H1046" s="43" t="n">
        <v>0.820265547715185</v>
      </c>
      <c r="I1046" s="42" t="n">
        <v>1</v>
      </c>
      <c r="J1046" s="42" t="n">
        <v>1</v>
      </c>
      <c r="K1046" s="44" t="str">
        <f aca="false">IF(AND(I1046=1,J1046=1),"两者都跟住",IF(AND(I1046=0,J1046=1),"仅 PC-TBD 跟住",IF(AND(I1046=1,J1046=0),"仅 VIT-LPS 跟住","都没跟住")))</f>
        <v>两者都跟住</v>
      </c>
      <c r="L1046" s="45" t="n">
        <f aca="false">F1046-G1046</f>
        <v>-0.0295064341443481</v>
      </c>
      <c r="M1046" s="46" t="n">
        <v>0.2348096</v>
      </c>
      <c r="N1046" s="46" t="n">
        <v>0.1407796</v>
      </c>
      <c r="O1046" s="46" t="n">
        <v>0.4311684</v>
      </c>
      <c r="P1046" s="46" t="n">
        <v>0.6586747</v>
      </c>
      <c r="Q1046" s="46" t="n">
        <v>2.3170644</v>
      </c>
      <c r="R1046" s="46" t="n">
        <v>2.7345656</v>
      </c>
      <c r="S1046" s="47" t="n">
        <f aca="false">M1046+N1046+O1046</f>
        <v>0.8067576</v>
      </c>
      <c r="T1046" s="47" t="n">
        <f aca="false">M1046+P1046</f>
        <v>0.8934843</v>
      </c>
    </row>
    <row r="1047" customFormat="false" ht="15" hidden="false" customHeight="false" outlineLevel="0" collapsed="false">
      <c r="A1047" s="42" t="s">
        <v>45</v>
      </c>
      <c r="B1047" s="42" t="n">
        <v>-14</v>
      </c>
      <c r="C1047" s="42" t="n">
        <v>46</v>
      </c>
      <c r="D1047" s="42" t="n">
        <v>74290961</v>
      </c>
      <c r="E1047" s="43" t="n">
        <v>0.627296197811728</v>
      </c>
      <c r="F1047" s="43" t="n">
        <v>0.730608019973758</v>
      </c>
      <c r="G1047" s="43" t="n">
        <v>0.735551219240411</v>
      </c>
      <c r="H1047" s="43" t="n">
        <v>0.750649152694744</v>
      </c>
      <c r="I1047" s="42" t="n">
        <v>1</v>
      </c>
      <c r="J1047" s="42" t="n">
        <v>1</v>
      </c>
      <c r="K1047" s="44" t="str">
        <f aca="false">IF(AND(I1047=1,J1047=1),"两者都跟住",IF(AND(I1047=0,J1047=1),"仅 PC-TBD 跟住",IF(AND(I1047=1,J1047=0),"仅 VIT-LPS 跟住","都没跟住")))</f>
        <v>两者都跟住</v>
      </c>
      <c r="L1047" s="45" t="n">
        <f aca="false">F1047-G1047</f>
        <v>-0.00494319926665299</v>
      </c>
      <c r="M1047" s="46" t="n">
        <v>0.2442401</v>
      </c>
      <c r="N1047" s="46" t="n">
        <v>0.1421848</v>
      </c>
      <c r="O1047" s="46" t="n">
        <v>0.4450633</v>
      </c>
      <c r="P1047" s="46" t="n">
        <v>0.6085867</v>
      </c>
      <c r="Q1047" s="46" t="n">
        <v>2.5914249</v>
      </c>
      <c r="R1047" s="46" t="n">
        <v>2.5672353</v>
      </c>
      <c r="S1047" s="47" t="n">
        <f aca="false">M1047+N1047+O1047</f>
        <v>0.8314882</v>
      </c>
      <c r="T1047" s="47" t="n">
        <f aca="false">M1047+P1047</f>
        <v>0.8528268</v>
      </c>
    </row>
    <row r="1048" customFormat="false" ht="15" hidden="false" customHeight="false" outlineLevel="0" collapsed="false">
      <c r="A1048" s="42" t="s">
        <v>45</v>
      </c>
      <c r="B1048" s="42" t="n">
        <v>-14</v>
      </c>
      <c r="C1048" s="42" t="n">
        <v>47</v>
      </c>
      <c r="D1048" s="42" t="n">
        <v>74290962</v>
      </c>
      <c r="E1048" s="43" t="n">
        <v>0.657971656811436</v>
      </c>
      <c r="F1048" s="43" t="n">
        <v>0.778348790797749</v>
      </c>
      <c r="G1048" s="43" t="n">
        <v>0.806098454801143</v>
      </c>
      <c r="H1048" s="43" t="n">
        <v>0.795947007512022</v>
      </c>
      <c r="I1048" s="42" t="n">
        <v>1</v>
      </c>
      <c r="J1048" s="42" t="n">
        <v>1</v>
      </c>
      <c r="K1048" s="44" t="str">
        <f aca="false">IF(AND(I1048=1,J1048=1),"两者都跟住",IF(AND(I1048=0,J1048=1),"仅 PC-TBD 跟住",IF(AND(I1048=1,J1048=0),"仅 VIT-LPS 跟住","都没跟住")))</f>
        <v>两者都跟住</v>
      </c>
      <c r="L1048" s="45" t="n">
        <f aca="false">F1048-G1048</f>
        <v>-0.027749664003394</v>
      </c>
      <c r="M1048" s="46" t="n">
        <v>0.1832267</v>
      </c>
      <c r="N1048" s="46" t="n">
        <v>0.1023083</v>
      </c>
      <c r="O1048" s="46" t="n">
        <v>0.2116504</v>
      </c>
      <c r="P1048" s="46" t="n">
        <v>0.6058609</v>
      </c>
      <c r="Q1048" s="46" t="n">
        <v>1.5407583</v>
      </c>
      <c r="R1048" s="46" t="n">
        <v>1.2908904</v>
      </c>
      <c r="S1048" s="47" t="n">
        <f aca="false">M1048+N1048+O1048</f>
        <v>0.4971854</v>
      </c>
      <c r="T1048" s="47" t="n">
        <f aca="false">M1048+P1048</f>
        <v>0.7890876</v>
      </c>
    </row>
    <row r="1049" customFormat="false" ht="15" hidden="false" customHeight="false" outlineLevel="0" collapsed="false">
      <c r="A1049" s="42" t="s">
        <v>45</v>
      </c>
      <c r="B1049" s="42" t="n">
        <v>-14</v>
      </c>
      <c r="C1049" s="42" t="n">
        <v>48</v>
      </c>
      <c r="D1049" s="42" t="n">
        <v>74290963</v>
      </c>
      <c r="E1049" s="43" t="n">
        <v>0.6452372704216</v>
      </c>
      <c r="F1049" s="43" t="n">
        <v>0.758099427556472</v>
      </c>
      <c r="G1049" s="43" t="n">
        <v>0.765544089776207</v>
      </c>
      <c r="H1049" s="43" t="n">
        <v>0.772579002543986</v>
      </c>
      <c r="I1049" s="42" t="n">
        <v>1</v>
      </c>
      <c r="J1049" s="42" t="n">
        <v>1</v>
      </c>
      <c r="K1049" s="44" t="str">
        <f aca="false">IF(AND(I1049=1,J1049=1),"两者都跟住",IF(AND(I1049=0,J1049=1),"仅 PC-TBD 跟住",IF(AND(I1049=1,J1049=0),"仅 VIT-LPS 跟住","都没跟住")))</f>
        <v>两者都跟住</v>
      </c>
      <c r="L1049" s="45" t="n">
        <f aca="false">F1049-G1049</f>
        <v>-0.00744466221973505</v>
      </c>
      <c r="M1049" s="46" t="n">
        <v>0.1839273</v>
      </c>
      <c r="N1049" s="46" t="n">
        <v>0.0968986</v>
      </c>
      <c r="O1049" s="46" t="n">
        <v>0.1464681</v>
      </c>
      <c r="P1049" s="46" t="n">
        <v>0.4090465</v>
      </c>
      <c r="Q1049" s="46" t="n">
        <v>1.55921</v>
      </c>
      <c r="R1049" s="46" t="n">
        <v>1.4885779</v>
      </c>
      <c r="S1049" s="47" t="n">
        <f aca="false">M1049+N1049+O1049</f>
        <v>0.427294</v>
      </c>
      <c r="T1049" s="47" t="n">
        <f aca="false">M1049+P1049</f>
        <v>0.5929738</v>
      </c>
    </row>
    <row r="1050" customFormat="false" ht="15" hidden="false" customHeight="false" outlineLevel="0" collapsed="false">
      <c r="A1050" s="42" t="s">
        <v>45</v>
      </c>
      <c r="B1050" s="42" t="n">
        <v>-14</v>
      </c>
      <c r="C1050" s="42" t="n">
        <v>49</v>
      </c>
      <c r="D1050" s="42" t="n">
        <v>74290964</v>
      </c>
      <c r="E1050" s="43" t="n">
        <v>0.608539057448133</v>
      </c>
      <c r="F1050" s="43" t="n">
        <v>0.683080959599626</v>
      </c>
      <c r="G1050" s="43" t="n">
        <v>0.659209265348226</v>
      </c>
      <c r="H1050" s="43" t="n">
        <v>0.677202077588016</v>
      </c>
      <c r="I1050" s="42" t="n">
        <v>1</v>
      </c>
      <c r="J1050" s="42" t="n">
        <v>0</v>
      </c>
      <c r="K1050" s="44" t="str">
        <f aca="false">IF(AND(I1050=1,J1050=1),"两者都跟住",IF(AND(I1050=0,J1050=1),"仅 PC-TBD 跟住",IF(AND(I1050=1,J1050=0),"仅 VIT-LPS 跟住","都没跟住")))</f>
        <v>仅 VIT-LPS 跟住</v>
      </c>
      <c r="L1050" s="45" t="n">
        <f aca="false">F1050-G1050</f>
        <v>0.0238716942514</v>
      </c>
      <c r="M1050" s="46" t="n">
        <v>0.1427754</v>
      </c>
      <c r="N1050" s="46" t="n">
        <v>0.070825</v>
      </c>
      <c r="O1050" s="46" t="n">
        <v>0.1609474</v>
      </c>
      <c r="P1050" s="46" t="n">
        <v>0.4116221</v>
      </c>
      <c r="Q1050" s="46" t="n">
        <v>3.8176982</v>
      </c>
      <c r="R1050" s="46" t="n">
        <v>0.7330636</v>
      </c>
      <c r="S1050" s="47" t="n">
        <f aca="false">M1050+N1050+O1050</f>
        <v>0.3745478</v>
      </c>
      <c r="T1050" s="47" t="n">
        <f aca="false">M1050+P1050</f>
        <v>0.5543975</v>
      </c>
    </row>
    <row r="1051" customFormat="false" ht="15" hidden="false" customHeight="false" outlineLevel="0" collapsed="false">
      <c r="A1051" s="42" t="s">
        <v>45</v>
      </c>
      <c r="B1051" s="42" t="n">
        <v>-14</v>
      </c>
      <c r="C1051" s="42" t="n">
        <v>50</v>
      </c>
      <c r="D1051" s="42" t="n">
        <v>74290965</v>
      </c>
      <c r="E1051" s="43" t="n">
        <v>0.588074098942105</v>
      </c>
      <c r="F1051" s="43" t="n">
        <v>0.756573876934984</v>
      </c>
      <c r="G1051" s="43" t="n">
        <v>0.802445179080372</v>
      </c>
      <c r="H1051" s="43" t="n">
        <v>0.797396121075587</v>
      </c>
      <c r="I1051" s="42" t="n">
        <v>1</v>
      </c>
      <c r="J1051" s="42" t="n">
        <v>1</v>
      </c>
      <c r="K1051" s="44" t="str">
        <f aca="false">IF(AND(I1051=1,J1051=1),"两者都跟住",IF(AND(I1051=0,J1051=1),"仅 PC-TBD 跟住",IF(AND(I1051=1,J1051=0),"仅 VIT-LPS 跟住","都没跟住")))</f>
        <v>两者都跟住</v>
      </c>
      <c r="L1051" s="45" t="n">
        <f aca="false">F1051-G1051</f>
        <v>-0.045871302145388</v>
      </c>
      <c r="M1051" s="46" t="n">
        <v>0.1717078</v>
      </c>
      <c r="N1051" s="46" t="n">
        <v>0.0856137</v>
      </c>
      <c r="O1051" s="46" t="n">
        <v>0.1813255</v>
      </c>
      <c r="P1051" s="46" t="n">
        <v>0.4764674</v>
      </c>
      <c r="Q1051" s="46" t="n">
        <v>1.8295742</v>
      </c>
      <c r="R1051" s="46" t="n">
        <v>1.807188</v>
      </c>
      <c r="S1051" s="47" t="n">
        <f aca="false">M1051+N1051+O1051</f>
        <v>0.438647</v>
      </c>
      <c r="T1051" s="47" t="n">
        <f aca="false">M1051+P1051</f>
        <v>0.6481752</v>
      </c>
    </row>
    <row r="1052" customFormat="false" ht="15" hidden="false" customHeight="false" outlineLevel="0" collapsed="false">
      <c r="A1052" s="42" t="s">
        <v>45</v>
      </c>
      <c r="B1052" s="42" t="n">
        <v>-14</v>
      </c>
      <c r="C1052" s="42" t="n">
        <v>51</v>
      </c>
      <c r="D1052" s="42" t="n">
        <v>74290966</v>
      </c>
      <c r="E1052" s="43" t="n">
        <v>0.707130398470904</v>
      </c>
      <c r="F1052" s="43" t="n">
        <v>0.651697674897297</v>
      </c>
      <c r="G1052" s="43" t="n">
        <v>0.789574191809533</v>
      </c>
      <c r="H1052" s="43" t="n">
        <v>0.80340403839101</v>
      </c>
      <c r="I1052" s="42" t="n">
        <v>1</v>
      </c>
      <c r="J1052" s="42" t="n">
        <v>1</v>
      </c>
      <c r="K1052" s="44" t="str">
        <f aca="false">IF(AND(I1052=1,J1052=1),"两者都跟住",IF(AND(I1052=0,J1052=1),"仅 PC-TBD 跟住",IF(AND(I1052=1,J1052=0),"仅 VIT-LPS 跟住","都没跟住")))</f>
        <v>两者都跟住</v>
      </c>
      <c r="L1052" s="45" t="n">
        <f aca="false">F1052-G1052</f>
        <v>-0.137876516912236</v>
      </c>
      <c r="M1052" s="46" t="n">
        <v>0.2059734</v>
      </c>
      <c r="N1052" s="46" t="n">
        <v>0.118623</v>
      </c>
      <c r="O1052" s="46" t="n">
        <v>0.1967313</v>
      </c>
      <c r="P1052" s="46" t="n">
        <v>0.5540416</v>
      </c>
      <c r="Q1052" s="46" t="n">
        <v>5.3113303</v>
      </c>
      <c r="R1052" s="46" t="n">
        <v>1.8465803</v>
      </c>
      <c r="S1052" s="47" t="n">
        <f aca="false">M1052+N1052+O1052</f>
        <v>0.5213277</v>
      </c>
      <c r="T1052" s="47" t="n">
        <f aca="false">M1052+P1052</f>
        <v>0.760015</v>
      </c>
    </row>
    <row r="1053" customFormat="false" ht="15" hidden="false" customHeight="false" outlineLevel="0" collapsed="false">
      <c r="A1053" s="42" t="s">
        <v>45</v>
      </c>
      <c r="B1053" s="42" t="n">
        <v>-14</v>
      </c>
      <c r="C1053" s="42" t="n">
        <v>52</v>
      </c>
      <c r="D1053" s="42" t="n">
        <v>74290967</v>
      </c>
      <c r="E1053" s="43" t="n">
        <v>0.563233092170549</v>
      </c>
      <c r="F1053" s="43" t="n">
        <v>0.687672877641178</v>
      </c>
      <c r="G1053" s="43" t="n">
        <v>0.689089141238408</v>
      </c>
      <c r="H1053" s="43" t="n">
        <v>0.709900294979865</v>
      </c>
      <c r="I1053" s="42" t="n">
        <v>1</v>
      </c>
      <c r="J1053" s="42" t="n">
        <v>1</v>
      </c>
      <c r="K1053" s="44" t="str">
        <f aca="false">IF(AND(I1053=1,J1053=1),"两者都跟住",IF(AND(I1053=0,J1053=1),"仅 PC-TBD 跟住",IF(AND(I1053=1,J1053=0),"仅 VIT-LPS 跟住","都没跟住")))</f>
        <v>两者都跟住</v>
      </c>
      <c r="L1053" s="45" t="n">
        <f aca="false">F1053-G1053</f>
        <v>-0.00141626359723002</v>
      </c>
      <c r="M1053" s="46" t="n">
        <v>0.2288973</v>
      </c>
      <c r="N1053" s="46" t="n">
        <v>0.1101514</v>
      </c>
      <c r="O1053" s="46" t="n">
        <v>0.1794865</v>
      </c>
      <c r="P1053" s="46" t="n">
        <v>0.5900131</v>
      </c>
      <c r="Q1053" s="46" t="n">
        <v>4.3386576</v>
      </c>
      <c r="R1053" s="46" t="n">
        <v>2.1283494</v>
      </c>
      <c r="S1053" s="47" t="n">
        <f aca="false">M1053+N1053+O1053</f>
        <v>0.5185352</v>
      </c>
      <c r="T1053" s="47" t="n">
        <f aca="false">M1053+P1053</f>
        <v>0.8189104</v>
      </c>
    </row>
    <row r="1054" customFormat="false" ht="15" hidden="false" customHeight="false" outlineLevel="0" collapsed="false">
      <c r="A1054" s="42" t="s">
        <v>45</v>
      </c>
      <c r="B1054" s="42" t="n">
        <v>-14</v>
      </c>
      <c r="C1054" s="42" t="n">
        <v>53</v>
      </c>
      <c r="D1054" s="42" t="n">
        <v>74290968</v>
      </c>
      <c r="E1054" s="43" t="n">
        <v>0.692275985787341</v>
      </c>
      <c r="F1054" s="43" t="n">
        <v>0.74025072864549</v>
      </c>
      <c r="G1054" s="43" t="n">
        <v>0.808229361805676</v>
      </c>
      <c r="H1054" s="43" t="n">
        <v>0.794874802730496</v>
      </c>
      <c r="I1054" s="42" t="n">
        <v>1</v>
      </c>
      <c r="J1054" s="42" t="n">
        <v>1</v>
      </c>
      <c r="K1054" s="44" t="str">
        <f aca="false">IF(AND(I1054=1,J1054=1),"两者都跟住",IF(AND(I1054=0,J1054=1),"仅 PC-TBD 跟住",IF(AND(I1054=1,J1054=0),"仅 VIT-LPS 跟住","都没跟住")))</f>
        <v>两者都跟住</v>
      </c>
      <c r="L1054" s="45" t="n">
        <f aca="false">F1054-G1054</f>
        <v>-0.0679786331601859</v>
      </c>
      <c r="M1054" s="46" t="n">
        <v>0.2247124</v>
      </c>
      <c r="N1054" s="46" t="n">
        <v>0.1290983</v>
      </c>
      <c r="O1054" s="46" t="n">
        <v>0.2013559</v>
      </c>
      <c r="P1054" s="46" t="n">
        <v>0.5845363</v>
      </c>
      <c r="Q1054" s="46" t="n">
        <v>2.5605784</v>
      </c>
      <c r="R1054" s="46" t="n">
        <v>1.9627016</v>
      </c>
      <c r="S1054" s="47" t="n">
        <f aca="false">M1054+N1054+O1054</f>
        <v>0.5551666</v>
      </c>
      <c r="T1054" s="47" t="n">
        <f aca="false">M1054+P1054</f>
        <v>0.8092487</v>
      </c>
    </row>
    <row r="1055" customFormat="false" ht="15" hidden="false" customHeight="false" outlineLevel="0" collapsed="false">
      <c r="A1055" s="42" t="s">
        <v>45</v>
      </c>
      <c r="B1055" s="42" t="n">
        <v>-14</v>
      </c>
      <c r="C1055" s="42" t="n">
        <v>54</v>
      </c>
      <c r="D1055" s="42" t="n">
        <v>74290969</v>
      </c>
      <c r="E1055" s="43" t="n">
        <v>0.320530029644136</v>
      </c>
      <c r="F1055" s="43" t="n">
        <v>0.676793915668858</v>
      </c>
      <c r="G1055" s="43" t="n">
        <v>0.791039461442115</v>
      </c>
      <c r="H1055" s="43" t="n">
        <v>0.792001492219149</v>
      </c>
      <c r="I1055" s="42" t="n">
        <v>1</v>
      </c>
      <c r="J1055" s="42" t="n">
        <v>1</v>
      </c>
      <c r="K1055" s="44" t="str">
        <f aca="false">IF(AND(I1055=1,J1055=1),"两者都跟住",IF(AND(I1055=0,J1055=1),"仅 PC-TBD 跟住",IF(AND(I1055=1,J1055=0),"仅 VIT-LPS 跟住","都没跟住")))</f>
        <v>两者都跟住</v>
      </c>
      <c r="L1055" s="45" t="n">
        <f aca="false">F1055-G1055</f>
        <v>-0.114245545773257</v>
      </c>
      <c r="M1055" s="46" t="n">
        <v>0.2080227</v>
      </c>
      <c r="N1055" s="46" t="n">
        <v>0.0965748</v>
      </c>
      <c r="O1055" s="46" t="n">
        <v>0.1842805</v>
      </c>
      <c r="P1055" s="46" t="n">
        <v>0.5088873</v>
      </c>
      <c r="Q1055" s="46" t="n">
        <v>2.6318441</v>
      </c>
      <c r="R1055" s="46" t="n">
        <v>2.0836128</v>
      </c>
      <c r="S1055" s="47" t="n">
        <f aca="false">M1055+N1055+O1055</f>
        <v>0.488878</v>
      </c>
      <c r="T1055" s="47" t="n">
        <f aca="false">M1055+P1055</f>
        <v>0.71691</v>
      </c>
    </row>
    <row r="1056" customFormat="false" ht="15" hidden="false" customHeight="false" outlineLevel="0" collapsed="false">
      <c r="A1056" s="42" t="s">
        <v>45</v>
      </c>
      <c r="B1056" s="42" t="n">
        <v>-14</v>
      </c>
      <c r="C1056" s="42" t="n">
        <v>55</v>
      </c>
      <c r="D1056" s="42" t="n">
        <v>74290970</v>
      </c>
      <c r="E1056" s="43" t="n">
        <v>0.645232476162775</v>
      </c>
      <c r="F1056" s="43" t="n">
        <v>0.788893516764386</v>
      </c>
      <c r="G1056" s="43" t="n">
        <v>0.761478773703886</v>
      </c>
      <c r="H1056" s="43" t="n">
        <v>0.770675811103407</v>
      </c>
      <c r="I1056" s="42" t="n">
        <v>1</v>
      </c>
      <c r="J1056" s="42" t="n">
        <v>1</v>
      </c>
      <c r="K1056" s="44" t="str">
        <f aca="false">IF(AND(I1056=1,J1056=1),"两者都跟住",IF(AND(I1056=0,J1056=1),"仅 PC-TBD 跟住",IF(AND(I1056=1,J1056=0),"仅 VIT-LPS 跟住","都没跟住")))</f>
        <v>两者都跟住</v>
      </c>
      <c r="L1056" s="45" t="n">
        <f aca="false">F1056-G1056</f>
        <v>0.0274147430605001</v>
      </c>
      <c r="M1056" s="46" t="n">
        <v>0.2546185</v>
      </c>
      <c r="N1056" s="46" t="n">
        <v>0.1257049</v>
      </c>
      <c r="O1056" s="46" t="n">
        <v>0.1736133</v>
      </c>
      <c r="P1056" s="46" t="n">
        <v>0.5913775</v>
      </c>
      <c r="Q1056" s="46" t="n">
        <v>2.4264458</v>
      </c>
      <c r="R1056" s="46" t="n">
        <v>2.4368585</v>
      </c>
      <c r="S1056" s="47" t="n">
        <f aca="false">M1056+N1056+O1056</f>
        <v>0.5539367</v>
      </c>
      <c r="T1056" s="47" t="n">
        <f aca="false">M1056+P1056</f>
        <v>0.845996</v>
      </c>
    </row>
    <row r="1057" customFormat="false" ht="15" hidden="false" customHeight="false" outlineLevel="0" collapsed="false">
      <c r="A1057" s="42" t="s">
        <v>45</v>
      </c>
      <c r="B1057" s="42" t="n">
        <v>-14</v>
      </c>
      <c r="C1057" s="42" t="n">
        <v>56</v>
      </c>
      <c r="D1057" s="42" t="n">
        <v>74290971</v>
      </c>
      <c r="E1057" s="43" t="n">
        <v>0.657163068359834</v>
      </c>
      <c r="F1057" s="43" t="n">
        <v>0.742691623416989</v>
      </c>
      <c r="G1057" s="43" t="n">
        <v>0.758496135366086</v>
      </c>
      <c r="H1057" s="43" t="n">
        <v>0.768620197132082</v>
      </c>
      <c r="I1057" s="42" t="n">
        <v>1</v>
      </c>
      <c r="J1057" s="42" t="n">
        <v>1</v>
      </c>
      <c r="K1057" s="44" t="str">
        <f aca="false">IF(AND(I1057=1,J1057=1),"两者都跟住",IF(AND(I1057=0,J1057=1),"仅 PC-TBD 跟住",IF(AND(I1057=1,J1057=0),"仅 VIT-LPS 跟住","都没跟住")))</f>
        <v>两者都跟住</v>
      </c>
      <c r="L1057" s="45" t="n">
        <f aca="false">F1057-G1057</f>
        <v>-0.0158045119490969</v>
      </c>
      <c r="M1057" s="46" t="n">
        <v>0.2050949</v>
      </c>
      <c r="N1057" s="46" t="n">
        <v>0.1413827</v>
      </c>
      <c r="O1057" s="46" t="n">
        <v>0.1609662</v>
      </c>
      <c r="P1057" s="46" t="n">
        <v>0.5473713</v>
      </c>
      <c r="Q1057" s="46" t="n">
        <v>2.1493637</v>
      </c>
      <c r="R1057" s="46" t="n">
        <v>2.6872001</v>
      </c>
      <c r="S1057" s="47" t="n">
        <f aca="false">M1057+N1057+O1057</f>
        <v>0.5074438</v>
      </c>
      <c r="T1057" s="47" t="n">
        <f aca="false">M1057+P1057</f>
        <v>0.7524662</v>
      </c>
    </row>
    <row r="1058" customFormat="false" ht="15" hidden="false" customHeight="false" outlineLevel="0" collapsed="false">
      <c r="A1058" s="42" t="s">
        <v>45</v>
      </c>
      <c r="B1058" s="42" t="n">
        <v>-14</v>
      </c>
      <c r="C1058" s="42" t="n">
        <v>57</v>
      </c>
      <c r="D1058" s="42" t="n">
        <v>74290972</v>
      </c>
      <c r="E1058" s="43" t="n">
        <v>0.535083309336004</v>
      </c>
      <c r="F1058" s="43" t="n">
        <v>0.689869024891679</v>
      </c>
      <c r="G1058" s="43" t="n">
        <v>0.695419178194895</v>
      </c>
      <c r="H1058" s="43" t="n">
        <v>0.715325514805837</v>
      </c>
      <c r="I1058" s="42" t="n">
        <v>1</v>
      </c>
      <c r="J1058" s="42" t="n">
        <v>1</v>
      </c>
      <c r="K1058" s="44" t="str">
        <f aca="false">IF(AND(I1058=1,J1058=1),"两者都跟住",IF(AND(I1058=0,J1058=1),"仅 PC-TBD 跟住",IF(AND(I1058=1,J1058=0),"仅 VIT-LPS 跟住","都没跟住")))</f>
        <v>两者都跟住</v>
      </c>
      <c r="L1058" s="45" t="n">
        <f aca="false">F1058-G1058</f>
        <v>-0.00555015330321595</v>
      </c>
      <c r="M1058" s="46" t="n">
        <v>0.1475529</v>
      </c>
      <c r="N1058" s="46" t="n">
        <v>0.0954043</v>
      </c>
      <c r="O1058" s="46" t="n">
        <v>0.1833353</v>
      </c>
      <c r="P1058" s="46" t="n">
        <v>0.4205942</v>
      </c>
      <c r="Q1058" s="46" t="n">
        <v>1.7396165</v>
      </c>
      <c r="R1058" s="46" t="n">
        <v>1.0662318</v>
      </c>
      <c r="S1058" s="47" t="n">
        <f aca="false">M1058+N1058+O1058</f>
        <v>0.4262925</v>
      </c>
      <c r="T1058" s="47" t="n">
        <f aca="false">M1058+P1058</f>
        <v>0.5681471</v>
      </c>
    </row>
    <row r="1059" customFormat="false" ht="15" hidden="false" customHeight="false" outlineLevel="0" collapsed="false">
      <c r="A1059" s="42" t="s">
        <v>45</v>
      </c>
      <c r="B1059" s="42" t="n">
        <v>-14</v>
      </c>
      <c r="C1059" s="42" t="n">
        <v>58</v>
      </c>
      <c r="D1059" s="42" t="n">
        <v>74290973</v>
      </c>
      <c r="E1059" s="43" t="n">
        <v>0.704691142645595</v>
      </c>
      <c r="F1059" s="43" t="n">
        <v>0.747348114399049</v>
      </c>
      <c r="G1059" s="43" t="n">
        <v>0.745304306144421</v>
      </c>
      <c r="H1059" s="43" t="n">
        <v>0.741657575698378</v>
      </c>
      <c r="I1059" s="42" t="n">
        <v>1</v>
      </c>
      <c r="J1059" s="42" t="n">
        <v>1</v>
      </c>
      <c r="K1059" s="44" t="str">
        <f aca="false">IF(AND(I1059=1,J1059=1),"两者都跟住",IF(AND(I1059=0,J1059=1),"仅 PC-TBD 跟住",IF(AND(I1059=1,J1059=0),"仅 VIT-LPS 跟住","都没跟住")))</f>
        <v>两者都跟住</v>
      </c>
      <c r="L1059" s="45" t="n">
        <f aca="false">F1059-G1059</f>
        <v>0.00204380825462802</v>
      </c>
      <c r="M1059" s="46" t="n">
        <v>0.1450776</v>
      </c>
      <c r="N1059" s="46" t="n">
        <v>0.0723113</v>
      </c>
      <c r="O1059" s="46" t="n">
        <v>0.1499661</v>
      </c>
      <c r="P1059" s="46" t="n">
        <v>0.3791687</v>
      </c>
      <c r="Q1059" s="46" t="n">
        <v>1.520029</v>
      </c>
      <c r="R1059" s="46" t="n">
        <v>1.5024084</v>
      </c>
      <c r="S1059" s="47" t="n">
        <f aca="false">M1059+N1059+O1059</f>
        <v>0.367355</v>
      </c>
      <c r="T1059" s="47" t="n">
        <f aca="false">M1059+P1059</f>
        <v>0.5242463</v>
      </c>
    </row>
    <row r="1060" customFormat="false" ht="15" hidden="false" customHeight="false" outlineLevel="0" collapsed="false">
      <c r="A1060" s="42" t="s">
        <v>45</v>
      </c>
      <c r="B1060" s="42" t="n">
        <v>-14</v>
      </c>
      <c r="C1060" s="42" t="n">
        <v>59</v>
      </c>
      <c r="D1060" s="42" t="n">
        <v>74290974</v>
      </c>
      <c r="E1060" s="43" t="n">
        <v>0.667702860319838</v>
      </c>
      <c r="F1060" s="43" t="n">
        <v>0.748142130298671</v>
      </c>
      <c r="G1060" s="43" t="n">
        <v>0.781255923107287</v>
      </c>
      <c r="H1060" s="43" t="n">
        <v>0.810737172979209</v>
      </c>
      <c r="I1060" s="42" t="n">
        <v>1</v>
      </c>
      <c r="J1060" s="42" t="n">
        <v>1</v>
      </c>
      <c r="K1060" s="44" t="str">
        <f aca="false">IF(AND(I1060=1,J1060=1),"两者都跟住",IF(AND(I1060=0,J1060=1),"仅 PC-TBD 跟住",IF(AND(I1060=1,J1060=0),"仅 VIT-LPS 跟住","都没跟住")))</f>
        <v>两者都跟住</v>
      </c>
      <c r="L1060" s="45" t="n">
        <f aca="false">F1060-G1060</f>
        <v>-0.0331137928086159</v>
      </c>
      <c r="M1060" s="46" t="n">
        <v>0.1277889</v>
      </c>
      <c r="N1060" s="46" t="n">
        <v>0.0893212</v>
      </c>
      <c r="O1060" s="46" t="n">
        <v>0.1834028</v>
      </c>
      <c r="P1060" s="46" t="n">
        <v>0.3649342</v>
      </c>
      <c r="Q1060" s="46" t="n">
        <v>1.6246403</v>
      </c>
      <c r="R1060" s="46" t="n">
        <v>1.1693514</v>
      </c>
      <c r="S1060" s="47" t="n">
        <f aca="false">M1060+N1060+O1060</f>
        <v>0.4005129</v>
      </c>
      <c r="T1060" s="47" t="n">
        <f aca="false">M1060+P1060</f>
        <v>0.4927231</v>
      </c>
    </row>
    <row r="1061" customFormat="false" ht="15" hidden="false" customHeight="false" outlineLevel="0" collapsed="false">
      <c r="A1061" s="42" t="s">
        <v>45</v>
      </c>
      <c r="B1061" s="42" t="n">
        <v>-14</v>
      </c>
      <c r="C1061" s="42" t="n">
        <v>60</v>
      </c>
      <c r="D1061" s="42" t="n">
        <v>74290975</v>
      </c>
      <c r="E1061" s="43" t="n">
        <v>0.736348971730616</v>
      </c>
      <c r="F1061" s="43" t="n">
        <v>0.775814483762323</v>
      </c>
      <c r="G1061" s="43" t="n">
        <v>0.810081052665818</v>
      </c>
      <c r="H1061" s="43" t="n">
        <v>0.796251481869986</v>
      </c>
      <c r="I1061" s="42" t="n">
        <v>1</v>
      </c>
      <c r="J1061" s="42" t="n">
        <v>1</v>
      </c>
      <c r="K1061" s="44" t="str">
        <f aca="false">IF(AND(I1061=1,J1061=1),"两者都跟住",IF(AND(I1061=0,J1061=1),"仅 PC-TBD 跟住",IF(AND(I1061=1,J1061=0),"仅 VIT-LPS 跟住","都没跟住")))</f>
        <v>两者都跟住</v>
      </c>
      <c r="L1061" s="45" t="n">
        <f aca="false">F1061-G1061</f>
        <v>-0.034266568903495</v>
      </c>
      <c r="M1061" s="46" t="n">
        <v>0.156669</v>
      </c>
      <c r="N1061" s="46" t="n">
        <v>0.0806204</v>
      </c>
      <c r="O1061" s="46" t="n">
        <v>0.1681177</v>
      </c>
      <c r="P1061" s="46" t="n">
        <v>0.4183407</v>
      </c>
      <c r="Q1061" s="46" t="n">
        <v>1.4304113</v>
      </c>
      <c r="R1061" s="46" t="n">
        <v>1.5164472</v>
      </c>
      <c r="S1061" s="47" t="n">
        <f aca="false">M1061+N1061+O1061</f>
        <v>0.4054071</v>
      </c>
      <c r="T1061" s="47" t="n">
        <f aca="false">M1061+P1061</f>
        <v>0.5750097</v>
      </c>
    </row>
    <row r="1062" customFormat="false" ht="15" hidden="false" customHeight="false" outlineLevel="0" collapsed="false">
      <c r="A1062" s="42" t="s">
        <v>45</v>
      </c>
      <c r="B1062" s="42" t="n">
        <v>-14</v>
      </c>
      <c r="C1062" s="42" t="n">
        <v>61</v>
      </c>
      <c r="D1062" s="42" t="n">
        <v>74290976</v>
      </c>
      <c r="E1062" s="43" t="n">
        <v>0.509500107154968</v>
      </c>
      <c r="F1062" s="43" t="n">
        <v>0.721624605131645</v>
      </c>
      <c r="G1062" s="43" t="n">
        <v>0.749957078423616</v>
      </c>
      <c r="H1062" s="43" t="n">
        <v>0.769190986789936</v>
      </c>
      <c r="I1062" s="42" t="n">
        <v>1</v>
      </c>
      <c r="J1062" s="42" t="n">
        <v>1</v>
      </c>
      <c r="K1062" s="44" t="str">
        <f aca="false">IF(AND(I1062=1,J1062=1),"两者都跟住",IF(AND(I1062=0,J1062=1),"仅 PC-TBD 跟住",IF(AND(I1062=1,J1062=0),"仅 VIT-LPS 跟住","都没跟住")))</f>
        <v>两者都跟住</v>
      </c>
      <c r="L1062" s="45" t="n">
        <f aca="false">F1062-G1062</f>
        <v>-0.0283324732919711</v>
      </c>
      <c r="M1062" s="46" t="n">
        <v>0.2535539</v>
      </c>
      <c r="N1062" s="46" t="n">
        <v>0.1482063</v>
      </c>
      <c r="O1062" s="46" t="n">
        <v>0.2228406</v>
      </c>
      <c r="P1062" s="46" t="n">
        <v>0.5430314</v>
      </c>
      <c r="Q1062" s="46" t="n">
        <v>2.4988916</v>
      </c>
      <c r="R1062" s="46" t="n">
        <v>2.1474231</v>
      </c>
      <c r="S1062" s="47" t="n">
        <f aca="false">M1062+N1062+O1062</f>
        <v>0.6246008</v>
      </c>
      <c r="T1062" s="47" t="n">
        <f aca="false">M1062+P1062</f>
        <v>0.7965853</v>
      </c>
    </row>
    <row r="1063" customFormat="false" ht="15" hidden="false" customHeight="false" outlineLevel="0" collapsed="false">
      <c r="A1063" s="42" t="s">
        <v>45</v>
      </c>
      <c r="B1063" s="42" t="n">
        <v>-14</v>
      </c>
      <c r="C1063" s="42" t="n">
        <v>62</v>
      </c>
      <c r="D1063" s="42" t="n">
        <v>74290977</v>
      </c>
      <c r="E1063" s="43" t="n">
        <v>0.714714848848461</v>
      </c>
      <c r="F1063" s="43" t="n">
        <v>0.778838867857052</v>
      </c>
      <c r="G1063" s="43" t="n">
        <v>0.784877584125711</v>
      </c>
      <c r="H1063" s="43" t="n">
        <v>0.800888288713832</v>
      </c>
      <c r="I1063" s="42" t="n">
        <v>1</v>
      </c>
      <c r="J1063" s="42" t="n">
        <v>1</v>
      </c>
      <c r="K1063" s="44" t="str">
        <f aca="false">IF(AND(I1063=1,J1063=1),"两者都跟住",IF(AND(I1063=0,J1063=1),"仅 PC-TBD 跟住",IF(AND(I1063=1,J1063=0),"仅 VIT-LPS 跟住","都没跟住")))</f>
        <v>两者都跟住</v>
      </c>
      <c r="L1063" s="45" t="n">
        <f aca="false">F1063-G1063</f>
        <v>-0.00603871626865893</v>
      </c>
      <c r="M1063" s="46" t="n">
        <v>0.2539303</v>
      </c>
      <c r="N1063" s="46" t="n">
        <v>0.1427173</v>
      </c>
      <c r="O1063" s="46" t="n">
        <v>0.2304876</v>
      </c>
      <c r="P1063" s="46" t="n">
        <v>0.5817591</v>
      </c>
      <c r="Q1063" s="46" t="n">
        <v>2.6377091</v>
      </c>
      <c r="R1063" s="46" t="n">
        <v>2.1995045</v>
      </c>
      <c r="S1063" s="47" t="n">
        <f aca="false">M1063+N1063+O1063</f>
        <v>0.6271352</v>
      </c>
      <c r="T1063" s="47" t="n">
        <f aca="false">M1063+P1063</f>
        <v>0.8356894</v>
      </c>
    </row>
    <row r="1064" customFormat="false" ht="15" hidden="false" customHeight="false" outlineLevel="0" collapsed="false">
      <c r="A1064" s="42" t="s">
        <v>45</v>
      </c>
      <c r="B1064" s="42" t="n">
        <v>-14</v>
      </c>
      <c r="C1064" s="42" t="n">
        <v>63</v>
      </c>
      <c r="D1064" s="42" t="n">
        <v>74290978</v>
      </c>
      <c r="E1064" s="43" t="n">
        <v>0.559663441685504</v>
      </c>
      <c r="F1064" s="43" t="n">
        <v>0.674475058980946</v>
      </c>
      <c r="G1064" s="43" t="n">
        <v>0.758517382764114</v>
      </c>
      <c r="H1064" s="43" t="n">
        <v>0.789452744579006</v>
      </c>
      <c r="I1064" s="42" t="n">
        <v>1</v>
      </c>
      <c r="J1064" s="42" t="n">
        <v>1</v>
      </c>
      <c r="K1064" s="44" t="str">
        <f aca="false">IF(AND(I1064=1,J1064=1),"两者都跟住",IF(AND(I1064=0,J1064=1),"仅 PC-TBD 跟住",IF(AND(I1064=1,J1064=0),"仅 VIT-LPS 跟住","都没跟住")))</f>
        <v>两者都跟住</v>
      </c>
      <c r="L1064" s="45" t="n">
        <f aca="false">F1064-G1064</f>
        <v>-0.084042323783168</v>
      </c>
      <c r="M1064" s="46" t="n">
        <v>0.2376054</v>
      </c>
      <c r="N1064" s="46" t="n">
        <v>0.1288181</v>
      </c>
      <c r="O1064" s="46" t="n">
        <v>0.2410607</v>
      </c>
      <c r="P1064" s="46" t="n">
        <v>0.5342352</v>
      </c>
      <c r="Q1064" s="46" t="n">
        <v>2.5355597</v>
      </c>
      <c r="R1064" s="46" t="n">
        <v>2.1110891</v>
      </c>
      <c r="S1064" s="47" t="n">
        <f aca="false">M1064+N1064+O1064</f>
        <v>0.6074842</v>
      </c>
      <c r="T1064" s="47" t="n">
        <f aca="false">M1064+P1064</f>
        <v>0.7718406</v>
      </c>
    </row>
    <row r="1065" customFormat="false" ht="15" hidden="false" customHeight="false" outlineLevel="0" collapsed="false">
      <c r="A1065" s="42" t="s">
        <v>45</v>
      </c>
      <c r="B1065" s="42" t="n">
        <v>-14</v>
      </c>
      <c r="C1065" s="42" t="n">
        <v>64</v>
      </c>
      <c r="D1065" s="42" t="n">
        <v>74290979</v>
      </c>
      <c r="E1065" s="43" t="n">
        <v>0.607501171723535</v>
      </c>
      <c r="F1065" s="43" t="n">
        <v>0.72368049991251</v>
      </c>
      <c r="G1065" s="43" t="n">
        <v>0.777557050879712</v>
      </c>
      <c r="H1065" s="43" t="n">
        <v>0.791103137968512</v>
      </c>
      <c r="I1065" s="42" t="n">
        <v>1</v>
      </c>
      <c r="J1065" s="42" t="n">
        <v>1</v>
      </c>
      <c r="K1065" s="44" t="str">
        <f aca="false">IF(AND(I1065=1,J1065=1),"两者都跟住",IF(AND(I1065=0,J1065=1),"仅 PC-TBD 跟住",IF(AND(I1065=1,J1065=0),"仅 VIT-LPS 跟住","都没跟住")))</f>
        <v>两者都跟住</v>
      </c>
      <c r="L1065" s="45" t="n">
        <f aca="false">F1065-G1065</f>
        <v>-0.053876550967202</v>
      </c>
      <c r="M1065" s="46" t="n">
        <v>0.2392059</v>
      </c>
      <c r="N1065" s="46" t="n">
        <v>0.119929</v>
      </c>
      <c r="O1065" s="46" t="n">
        <v>0.2261625</v>
      </c>
      <c r="P1065" s="46" t="n">
        <v>0.4736878</v>
      </c>
      <c r="Q1065" s="46" t="n">
        <v>2.4825493</v>
      </c>
      <c r="R1065" s="46" t="n">
        <v>2.3748564</v>
      </c>
      <c r="S1065" s="47" t="n">
        <f aca="false">M1065+N1065+O1065</f>
        <v>0.5852974</v>
      </c>
      <c r="T1065" s="47" t="n">
        <f aca="false">M1065+P1065</f>
        <v>0.7128937</v>
      </c>
    </row>
    <row r="1066" customFormat="false" ht="15" hidden="false" customHeight="false" outlineLevel="0" collapsed="false">
      <c r="A1066" s="42" t="s">
        <v>45</v>
      </c>
      <c r="B1066" s="42" t="n">
        <v>-14</v>
      </c>
      <c r="C1066" s="42" t="n">
        <v>65</v>
      </c>
      <c r="D1066" s="42" t="n">
        <v>74290980</v>
      </c>
      <c r="E1066" s="43" t="n">
        <v>0.616877089199648</v>
      </c>
      <c r="F1066" s="43" t="n">
        <v>0.753869562847403</v>
      </c>
      <c r="G1066" s="43" t="n">
        <v>0.738719384941416</v>
      </c>
      <c r="H1066" s="43" t="n">
        <v>0.78255348686569</v>
      </c>
      <c r="I1066" s="42" t="n">
        <v>1</v>
      </c>
      <c r="J1066" s="42" t="n">
        <v>1</v>
      </c>
      <c r="K1066" s="44" t="str">
        <f aca="false">IF(AND(I1066=1,J1066=1),"两者都跟住",IF(AND(I1066=0,J1066=1),"仅 PC-TBD 跟住",IF(AND(I1066=1,J1066=0),"仅 VIT-LPS 跟住","都没跟住")))</f>
        <v>两者都跟住</v>
      </c>
      <c r="L1066" s="45" t="n">
        <f aca="false">F1066-G1066</f>
        <v>0.0151501779059871</v>
      </c>
      <c r="M1066" s="46" t="n">
        <v>0.2332424</v>
      </c>
      <c r="N1066" s="46" t="n">
        <v>0.1411117</v>
      </c>
      <c r="O1066" s="46" t="n">
        <v>0.2626182</v>
      </c>
      <c r="P1066" s="46" t="n">
        <v>0.5476356</v>
      </c>
      <c r="Q1066" s="46" t="n">
        <v>2.5487706</v>
      </c>
      <c r="R1066" s="46" t="n">
        <v>2.4180977</v>
      </c>
      <c r="S1066" s="47" t="n">
        <f aca="false">M1066+N1066+O1066</f>
        <v>0.6369723</v>
      </c>
      <c r="T1066" s="47" t="n">
        <f aca="false">M1066+P1066</f>
        <v>0.780878</v>
      </c>
    </row>
    <row r="1067" customFormat="false" ht="15" hidden="false" customHeight="false" outlineLevel="0" collapsed="false">
      <c r="A1067" s="42" t="s">
        <v>45</v>
      </c>
      <c r="B1067" s="42" t="n">
        <v>-14</v>
      </c>
      <c r="C1067" s="42" t="n">
        <v>66</v>
      </c>
      <c r="D1067" s="42" t="n">
        <v>74290981</v>
      </c>
      <c r="E1067" s="43" t="n">
        <v>0.569808236865843</v>
      </c>
      <c r="F1067" s="43" t="n">
        <v>0.708414262994081</v>
      </c>
      <c r="G1067" s="43" t="n">
        <v>0.803154410005679</v>
      </c>
      <c r="H1067" s="43" t="n">
        <v>0.788483201635739</v>
      </c>
      <c r="I1067" s="42" t="n">
        <v>1</v>
      </c>
      <c r="J1067" s="42" t="n">
        <v>1</v>
      </c>
      <c r="K1067" s="44" t="str">
        <f aca="false">IF(AND(I1067=1,J1067=1),"两者都跟住",IF(AND(I1067=0,J1067=1),"仅 PC-TBD 跟住",IF(AND(I1067=1,J1067=0),"仅 VIT-LPS 跟住","都没跟住")))</f>
        <v>两者都跟住</v>
      </c>
      <c r="L1067" s="45" t="n">
        <f aca="false">F1067-G1067</f>
        <v>-0.0947401470115981</v>
      </c>
      <c r="M1067" s="46" t="n">
        <v>0.2410847</v>
      </c>
      <c r="N1067" s="46" t="n">
        <v>0.1133037</v>
      </c>
      <c r="O1067" s="46" t="n">
        <v>0.2145029</v>
      </c>
      <c r="P1067" s="46" t="n">
        <v>0.5518247</v>
      </c>
      <c r="Q1067" s="46" t="n">
        <v>4.5893019</v>
      </c>
      <c r="R1067" s="46" t="n">
        <v>2.2655276</v>
      </c>
      <c r="S1067" s="47" t="n">
        <f aca="false">M1067+N1067+O1067</f>
        <v>0.5688913</v>
      </c>
      <c r="T1067" s="47" t="n">
        <f aca="false">M1067+P1067</f>
        <v>0.7929094</v>
      </c>
    </row>
    <row r="1068" customFormat="false" ht="15" hidden="false" customHeight="false" outlineLevel="0" collapsed="false">
      <c r="A1068" s="42" t="s">
        <v>45</v>
      </c>
      <c r="B1068" s="42" t="n">
        <v>-14</v>
      </c>
      <c r="C1068" s="42" t="n">
        <v>67</v>
      </c>
      <c r="D1068" s="42" t="n">
        <v>74290982</v>
      </c>
      <c r="E1068" s="43" t="n">
        <v>0.61512746822196</v>
      </c>
      <c r="F1068" s="43" t="n">
        <v>0.747947168808144</v>
      </c>
      <c r="G1068" s="43" t="n">
        <v>0.691240063249692</v>
      </c>
      <c r="H1068" s="43" t="n">
        <v>0.7232173934549</v>
      </c>
      <c r="I1068" s="42" t="n">
        <v>1</v>
      </c>
      <c r="J1068" s="42" t="n">
        <v>1</v>
      </c>
      <c r="K1068" s="44" t="str">
        <f aca="false">IF(AND(I1068=1,J1068=1),"两者都跟住",IF(AND(I1068=0,J1068=1),"仅 PC-TBD 跟住",IF(AND(I1068=1,J1068=0),"仅 VIT-LPS 跟住","都没跟住")))</f>
        <v>两者都跟住</v>
      </c>
      <c r="L1068" s="45" t="n">
        <f aca="false">F1068-G1068</f>
        <v>0.056707105558452</v>
      </c>
      <c r="M1068" s="46" t="n">
        <v>0.1615938</v>
      </c>
      <c r="N1068" s="46" t="n">
        <v>0.1078774</v>
      </c>
      <c r="O1068" s="46" t="n">
        <v>0.2415494</v>
      </c>
      <c r="P1068" s="46" t="n">
        <v>0.5680523</v>
      </c>
      <c r="Q1068" s="46" t="n">
        <v>1.6562155</v>
      </c>
      <c r="R1068" s="46" t="n">
        <v>1.5855679</v>
      </c>
      <c r="S1068" s="47" t="n">
        <f aca="false">M1068+N1068+O1068</f>
        <v>0.5110206</v>
      </c>
      <c r="T1068" s="47" t="n">
        <f aca="false">M1068+P1068</f>
        <v>0.7296461</v>
      </c>
    </row>
    <row r="1069" customFormat="false" ht="15" hidden="false" customHeight="false" outlineLevel="0" collapsed="false">
      <c r="A1069" s="42" t="s">
        <v>45</v>
      </c>
      <c r="B1069" s="42" t="n">
        <v>-14</v>
      </c>
      <c r="C1069" s="42" t="n">
        <v>68</v>
      </c>
      <c r="D1069" s="42" t="n">
        <v>74290983</v>
      </c>
      <c r="E1069" s="43" t="n">
        <v>0.691871434561988</v>
      </c>
      <c r="F1069" s="43" t="n">
        <v>0.730728421672307</v>
      </c>
      <c r="G1069" s="43" t="n">
        <v>0.750954942996936</v>
      </c>
      <c r="H1069" s="43" t="n">
        <v>0.767139360043838</v>
      </c>
      <c r="I1069" s="42" t="n">
        <v>1</v>
      </c>
      <c r="J1069" s="42" t="n">
        <v>1</v>
      </c>
      <c r="K1069" s="44" t="str">
        <f aca="false">IF(AND(I1069=1,J1069=1),"两者都跟住",IF(AND(I1069=0,J1069=1),"仅 PC-TBD 跟住",IF(AND(I1069=1,J1069=0),"仅 VIT-LPS 跟住","都没跟住")))</f>
        <v>两者都跟住</v>
      </c>
      <c r="L1069" s="45" t="n">
        <f aca="false">F1069-G1069</f>
        <v>-0.020226521324629</v>
      </c>
      <c r="M1069" s="46" t="n">
        <v>0.1396829</v>
      </c>
      <c r="N1069" s="46" t="n">
        <v>0.0757298</v>
      </c>
      <c r="O1069" s="46" t="n">
        <v>0.1581317</v>
      </c>
      <c r="P1069" s="46" t="n">
        <v>0.4291501</v>
      </c>
      <c r="Q1069" s="46" t="n">
        <v>1.4681132</v>
      </c>
      <c r="R1069" s="46" t="n">
        <v>1.3230184</v>
      </c>
      <c r="S1069" s="47" t="n">
        <f aca="false">M1069+N1069+O1069</f>
        <v>0.3735444</v>
      </c>
      <c r="T1069" s="47" t="n">
        <f aca="false">M1069+P1069</f>
        <v>0.568833</v>
      </c>
    </row>
    <row r="1070" customFormat="false" ht="15" hidden="false" customHeight="false" outlineLevel="0" collapsed="false">
      <c r="A1070" s="42" t="s">
        <v>45</v>
      </c>
      <c r="B1070" s="42" t="n">
        <v>-14</v>
      </c>
      <c r="C1070" s="42" t="n">
        <v>69</v>
      </c>
      <c r="D1070" s="42" t="n">
        <v>74290984</v>
      </c>
      <c r="E1070" s="43" t="n">
        <v>0.648333500499707</v>
      </c>
      <c r="F1070" s="43" t="n">
        <v>0.782440920817991</v>
      </c>
      <c r="G1070" s="43" t="n">
        <v>0.80248556710527</v>
      </c>
      <c r="H1070" s="43" t="n">
        <v>0.803570529986792</v>
      </c>
      <c r="I1070" s="42" t="n">
        <v>1</v>
      </c>
      <c r="J1070" s="42" t="n">
        <v>1</v>
      </c>
      <c r="K1070" s="44" t="str">
        <f aca="false">IF(AND(I1070=1,J1070=1),"两者都跟住",IF(AND(I1070=0,J1070=1),"仅 PC-TBD 跟住",IF(AND(I1070=1,J1070=0),"仅 VIT-LPS 跟住","都没跟住")))</f>
        <v>两者都跟住</v>
      </c>
      <c r="L1070" s="45" t="n">
        <f aca="false">F1070-G1070</f>
        <v>-0.020044646287279</v>
      </c>
      <c r="M1070" s="46" t="n">
        <v>0.171173</v>
      </c>
      <c r="N1070" s="46" t="n">
        <v>0.1159782</v>
      </c>
      <c r="O1070" s="46" t="n">
        <v>0.1550543</v>
      </c>
      <c r="P1070" s="46" t="n">
        <v>0.5252525</v>
      </c>
      <c r="Q1070" s="46" t="n">
        <v>1.6798914</v>
      </c>
      <c r="R1070" s="46" t="n">
        <v>1.7414398</v>
      </c>
      <c r="S1070" s="47" t="n">
        <f aca="false">M1070+N1070+O1070</f>
        <v>0.4422055</v>
      </c>
      <c r="T1070" s="47" t="n">
        <f aca="false">M1070+P1070</f>
        <v>0.6964255</v>
      </c>
    </row>
    <row r="1071" customFormat="false" ht="15" hidden="false" customHeight="false" outlineLevel="0" collapsed="false">
      <c r="A1071" s="42" t="s">
        <v>45</v>
      </c>
      <c r="B1071" s="42" t="n">
        <v>-14</v>
      </c>
      <c r="C1071" s="42" t="n">
        <v>70</v>
      </c>
      <c r="D1071" s="42" t="n">
        <v>74290985</v>
      </c>
      <c r="E1071" s="43" t="n">
        <v>0.471008221571407</v>
      </c>
      <c r="F1071" s="43" t="n">
        <v>0.733556163635753</v>
      </c>
      <c r="G1071" s="43" t="n">
        <v>0.810082673474336</v>
      </c>
      <c r="H1071" s="43" t="n">
        <v>0.809805471129125</v>
      </c>
      <c r="I1071" s="42" t="n">
        <v>1</v>
      </c>
      <c r="J1071" s="42" t="n">
        <v>1</v>
      </c>
      <c r="K1071" s="44" t="str">
        <f aca="false">IF(AND(I1071=1,J1071=1),"两者都跟住",IF(AND(I1071=0,J1071=1),"仅 PC-TBD 跟住",IF(AND(I1071=1,J1071=0),"仅 VIT-LPS 跟住","都没跟住")))</f>
        <v>两者都跟住</v>
      </c>
      <c r="L1071" s="45" t="n">
        <f aca="false">F1071-G1071</f>
        <v>-0.076526509838583</v>
      </c>
      <c r="M1071" s="46" t="n">
        <v>0.1847066</v>
      </c>
      <c r="N1071" s="46" t="n">
        <v>0.0969989</v>
      </c>
      <c r="O1071" s="46" t="n">
        <v>0.1763301</v>
      </c>
      <c r="P1071" s="46" t="n">
        <v>0.5883756</v>
      </c>
      <c r="Q1071" s="46" t="n">
        <v>1.620999</v>
      </c>
      <c r="R1071" s="46" t="n">
        <v>1.40935</v>
      </c>
      <c r="S1071" s="47" t="n">
        <f aca="false">M1071+N1071+O1071</f>
        <v>0.4580356</v>
      </c>
      <c r="T1071" s="47" t="n">
        <f aca="false">M1071+P1071</f>
        <v>0.7730822</v>
      </c>
    </row>
    <row r="1072" customFormat="false" ht="15" hidden="false" customHeight="false" outlineLevel="0" collapsed="false">
      <c r="A1072" s="42" t="s">
        <v>45</v>
      </c>
      <c r="B1072" s="42" t="n">
        <v>-14</v>
      </c>
      <c r="C1072" s="42" t="n">
        <v>71</v>
      </c>
      <c r="D1072" s="42" t="n">
        <v>74290986</v>
      </c>
      <c r="E1072" s="43" t="n">
        <v>0.650966874618416</v>
      </c>
      <c r="F1072" s="43" t="n">
        <v>0.803229512826417</v>
      </c>
      <c r="G1072" s="43" t="n">
        <v>0.799922430276878</v>
      </c>
      <c r="H1072" s="43" t="n">
        <v>0.816322917533675</v>
      </c>
      <c r="I1072" s="42" t="n">
        <v>1</v>
      </c>
      <c r="J1072" s="42" t="n">
        <v>1</v>
      </c>
      <c r="K1072" s="44" t="str">
        <f aca="false">IF(AND(I1072=1,J1072=1),"两者都跟住",IF(AND(I1072=0,J1072=1),"仅 PC-TBD 跟住",IF(AND(I1072=1,J1072=0),"仅 VIT-LPS 跟住","都没跟住")))</f>
        <v>两者都跟住</v>
      </c>
      <c r="L1072" s="45" t="n">
        <f aca="false">F1072-G1072</f>
        <v>0.00330708254953893</v>
      </c>
      <c r="M1072" s="46" t="n">
        <v>0.2512949</v>
      </c>
      <c r="N1072" s="46" t="n">
        <v>0.1043142</v>
      </c>
      <c r="O1072" s="46" t="n">
        <v>0.2226712</v>
      </c>
      <c r="P1072" s="46" t="n">
        <v>0.5636229</v>
      </c>
      <c r="Q1072" s="46" t="n">
        <v>2.4987462</v>
      </c>
      <c r="R1072" s="46" t="n">
        <v>1.9962159</v>
      </c>
      <c r="S1072" s="47" t="n">
        <f aca="false">M1072+N1072+O1072</f>
        <v>0.5782803</v>
      </c>
      <c r="T1072" s="47" t="n">
        <f aca="false">M1072+P1072</f>
        <v>0.8149178</v>
      </c>
    </row>
    <row r="1073" customFormat="false" ht="15" hidden="false" customHeight="false" outlineLevel="0" collapsed="false">
      <c r="A1073" s="42" t="s">
        <v>45</v>
      </c>
      <c r="B1073" s="42" t="n">
        <v>-14</v>
      </c>
      <c r="C1073" s="42" t="n">
        <v>72</v>
      </c>
      <c r="D1073" s="42" t="n">
        <v>74290987</v>
      </c>
      <c r="E1073" s="43" t="n">
        <v>0.550577127833474</v>
      </c>
      <c r="F1073" s="43" t="n">
        <v>0.660477444561181</v>
      </c>
      <c r="G1073" s="43" t="n">
        <v>0.786588914729726</v>
      </c>
      <c r="H1073" s="43" t="n">
        <v>0.787930372792785</v>
      </c>
      <c r="I1073" s="42" t="n">
        <v>1</v>
      </c>
      <c r="J1073" s="42" t="n">
        <v>1</v>
      </c>
      <c r="K1073" s="44" t="str">
        <f aca="false">IF(AND(I1073=1,J1073=1),"两者都跟住",IF(AND(I1073=0,J1073=1),"仅 PC-TBD 跟住",IF(AND(I1073=1,J1073=0),"仅 VIT-LPS 跟住","都没跟住")))</f>
        <v>两者都跟住</v>
      </c>
      <c r="L1073" s="45" t="n">
        <f aca="false">F1073-G1073</f>
        <v>-0.126111470168545</v>
      </c>
      <c r="M1073" s="46" t="n">
        <v>0.2482179</v>
      </c>
      <c r="N1073" s="46" t="n">
        <v>0.1391116</v>
      </c>
      <c r="O1073" s="46" t="n">
        <v>0.2333062</v>
      </c>
      <c r="P1073" s="46" t="n">
        <v>0.5646574</v>
      </c>
      <c r="Q1073" s="46" t="n">
        <v>2.5200236</v>
      </c>
      <c r="R1073" s="46" t="n">
        <v>2.0991294</v>
      </c>
      <c r="S1073" s="47" t="n">
        <f aca="false">M1073+N1073+O1073</f>
        <v>0.6206357</v>
      </c>
      <c r="T1073" s="47" t="n">
        <f aca="false">M1073+P1073</f>
        <v>0.8128753</v>
      </c>
    </row>
    <row r="1074" customFormat="false" ht="15" hidden="false" customHeight="false" outlineLevel="0" collapsed="false">
      <c r="A1074" s="42" t="s">
        <v>45</v>
      </c>
      <c r="B1074" s="42" t="n">
        <v>-14</v>
      </c>
      <c r="C1074" s="42" t="n">
        <v>73</v>
      </c>
      <c r="D1074" s="42" t="n">
        <v>74290988</v>
      </c>
      <c r="E1074" s="43" t="n">
        <v>0.629501191661816</v>
      </c>
      <c r="F1074" s="43" t="n">
        <v>0.738535504949115</v>
      </c>
      <c r="G1074" s="43" t="n">
        <v>0.777195365090453</v>
      </c>
      <c r="H1074" s="43" t="n">
        <v>0.77506818349806</v>
      </c>
      <c r="I1074" s="42" t="n">
        <v>1</v>
      </c>
      <c r="J1074" s="42" t="n">
        <v>1</v>
      </c>
      <c r="K1074" s="44" t="str">
        <f aca="false">IF(AND(I1074=1,J1074=1),"两者都跟住",IF(AND(I1074=0,J1074=1),"仅 PC-TBD 跟住",IF(AND(I1074=1,J1074=0),"仅 VIT-LPS 跟住","都没跟住")))</f>
        <v>两者都跟住</v>
      </c>
      <c r="L1074" s="45" t="n">
        <f aca="false">F1074-G1074</f>
        <v>-0.0386598601413379</v>
      </c>
      <c r="M1074" s="46" t="n">
        <v>0.2881316</v>
      </c>
      <c r="N1074" s="46" t="n">
        <v>0.1262855</v>
      </c>
      <c r="O1074" s="46" t="n">
        <v>0.2439474</v>
      </c>
      <c r="P1074" s="46" t="n">
        <v>0.504387</v>
      </c>
      <c r="Q1074" s="46" t="n">
        <v>2.3890715</v>
      </c>
      <c r="R1074" s="46" t="n">
        <v>2.3850551</v>
      </c>
      <c r="S1074" s="47" t="n">
        <f aca="false">M1074+N1074+O1074</f>
        <v>0.6583645</v>
      </c>
      <c r="T1074" s="47" t="n">
        <f aca="false">M1074+P1074</f>
        <v>0.7925186</v>
      </c>
    </row>
    <row r="1075" customFormat="false" ht="15" hidden="false" customHeight="false" outlineLevel="0" collapsed="false">
      <c r="A1075" s="42" t="s">
        <v>45</v>
      </c>
      <c r="B1075" s="42" t="n">
        <v>-14</v>
      </c>
      <c r="C1075" s="42" t="n">
        <v>74</v>
      </c>
      <c r="D1075" s="42" t="n">
        <v>74290989</v>
      </c>
      <c r="E1075" s="43" t="n">
        <v>0.689389417172536</v>
      </c>
      <c r="F1075" s="43" t="n">
        <v>0.781347877192645</v>
      </c>
      <c r="G1075" s="43" t="n">
        <v>0.799435252090613</v>
      </c>
      <c r="H1075" s="43" t="n">
        <v>0.795390203190471</v>
      </c>
      <c r="I1075" s="42" t="n">
        <v>1</v>
      </c>
      <c r="J1075" s="42" t="n">
        <v>1</v>
      </c>
      <c r="K1075" s="44" t="str">
        <f aca="false">IF(AND(I1075=1,J1075=1),"两者都跟住",IF(AND(I1075=0,J1075=1),"仅 PC-TBD 跟住",IF(AND(I1075=1,J1075=0),"仅 VIT-LPS 跟住","都没跟住")))</f>
        <v>两者都跟住</v>
      </c>
      <c r="L1075" s="45" t="n">
        <f aca="false">F1075-G1075</f>
        <v>-0.018087374897968</v>
      </c>
      <c r="M1075" s="46" t="n">
        <v>0.2812899</v>
      </c>
      <c r="N1075" s="46" t="n">
        <v>0.1436433</v>
      </c>
      <c r="O1075" s="46" t="n">
        <v>0.2181969</v>
      </c>
      <c r="P1075" s="46" t="n">
        <v>0.4921506</v>
      </c>
      <c r="Q1075" s="46" t="n">
        <v>2.6771186</v>
      </c>
      <c r="R1075" s="46" t="n">
        <v>2.5841049</v>
      </c>
      <c r="S1075" s="47" t="n">
        <f aca="false">M1075+N1075+O1075</f>
        <v>0.6431301</v>
      </c>
      <c r="T1075" s="47" t="n">
        <f aca="false">M1075+P1075</f>
        <v>0.7734405</v>
      </c>
    </row>
    <row r="1076" customFormat="false" ht="15" hidden="false" customHeight="false" outlineLevel="0" collapsed="false">
      <c r="A1076" s="42" t="s">
        <v>45</v>
      </c>
      <c r="B1076" s="42" t="n">
        <v>-14</v>
      </c>
      <c r="C1076" s="42" t="n">
        <v>75</v>
      </c>
      <c r="D1076" s="42" t="n">
        <v>74290990</v>
      </c>
      <c r="E1076" s="43" t="n">
        <v>0.537331388543116</v>
      </c>
      <c r="F1076" s="43" t="n">
        <v>0.741948969099096</v>
      </c>
      <c r="G1076" s="43" t="n">
        <v>0.791009070754622</v>
      </c>
      <c r="H1076" s="43" t="n">
        <v>0.759550594118216</v>
      </c>
      <c r="I1076" s="42" t="n">
        <v>1</v>
      </c>
      <c r="J1076" s="42" t="n">
        <v>1</v>
      </c>
      <c r="K1076" s="44" t="str">
        <f aca="false">IF(AND(I1076=1,J1076=1),"两者都跟住",IF(AND(I1076=0,J1076=1),"仅 PC-TBD 跟住",IF(AND(I1076=1,J1076=0),"仅 VIT-LPS 跟住","都没跟住")))</f>
        <v>两者都跟住</v>
      </c>
      <c r="L1076" s="45" t="n">
        <f aca="false">F1076-G1076</f>
        <v>-0.049060101655526</v>
      </c>
      <c r="M1076" s="46" t="n">
        <v>0.2540099</v>
      </c>
      <c r="N1076" s="46" t="n">
        <v>0.1311702</v>
      </c>
      <c r="O1076" s="46" t="n">
        <v>0.2005443</v>
      </c>
      <c r="P1076" s="46" t="n">
        <v>0.5073463</v>
      </c>
      <c r="Q1076" s="46" t="n">
        <v>2.9171376</v>
      </c>
      <c r="R1076" s="46" t="n">
        <v>2.4304779</v>
      </c>
      <c r="S1076" s="47" t="n">
        <f aca="false">M1076+N1076+O1076</f>
        <v>0.5857244</v>
      </c>
      <c r="T1076" s="47" t="n">
        <f aca="false">M1076+P1076</f>
        <v>0.7613562</v>
      </c>
    </row>
    <row r="1077" customFormat="false" ht="15" hidden="false" customHeight="false" outlineLevel="0" collapsed="false">
      <c r="A1077" s="42" t="s">
        <v>45</v>
      </c>
      <c r="B1077" s="42" t="n">
        <v>-14</v>
      </c>
      <c r="C1077" s="42" t="n">
        <v>76</v>
      </c>
      <c r="D1077" s="42" t="n">
        <v>74290991</v>
      </c>
      <c r="E1077" s="43" t="n">
        <v>0.673490282162617</v>
      </c>
      <c r="F1077" s="43" t="n">
        <v>0.643405690489497</v>
      </c>
      <c r="G1077" s="43" t="n">
        <v>0.795057614951839</v>
      </c>
      <c r="H1077" s="43" t="n">
        <v>0.784326788603134</v>
      </c>
      <c r="I1077" s="42" t="n">
        <v>1</v>
      </c>
      <c r="J1077" s="42" t="n">
        <v>1</v>
      </c>
      <c r="K1077" s="44" t="str">
        <f aca="false">IF(AND(I1077=1,J1077=1),"两者都跟住",IF(AND(I1077=0,J1077=1),"仅 PC-TBD 跟住",IF(AND(I1077=1,J1077=0),"仅 VIT-LPS 跟住","都没跟住")))</f>
        <v>两者都跟住</v>
      </c>
      <c r="L1077" s="45" t="n">
        <f aca="false">F1077-G1077</f>
        <v>-0.151651924462342</v>
      </c>
      <c r="M1077" s="46" t="n">
        <v>0.2506445</v>
      </c>
      <c r="N1077" s="46" t="n">
        <v>0.1386135</v>
      </c>
      <c r="O1077" s="46" t="n">
        <v>0.2358931</v>
      </c>
      <c r="P1077" s="46" t="n">
        <v>0.4807738</v>
      </c>
      <c r="Q1077" s="46" t="n">
        <v>2.1834506</v>
      </c>
      <c r="R1077" s="46" t="n">
        <v>2.7810183</v>
      </c>
      <c r="S1077" s="47" t="n">
        <f aca="false">M1077+N1077+O1077</f>
        <v>0.6251511</v>
      </c>
      <c r="T1077" s="47" t="n">
        <f aca="false">M1077+P1077</f>
        <v>0.7314183</v>
      </c>
    </row>
    <row r="1078" customFormat="false" ht="15" hidden="false" customHeight="false" outlineLevel="0" collapsed="false">
      <c r="A1078" s="42" t="s">
        <v>45</v>
      </c>
      <c r="B1078" s="42" t="n">
        <v>-14</v>
      </c>
      <c r="C1078" s="42" t="n">
        <v>77</v>
      </c>
      <c r="D1078" s="42" t="n">
        <v>74290992</v>
      </c>
      <c r="E1078" s="43" t="n">
        <v>0.637423411095125</v>
      </c>
      <c r="F1078" s="43" t="n">
        <v>0.732071844087102</v>
      </c>
      <c r="G1078" s="43" t="n">
        <v>0.731012008527178</v>
      </c>
      <c r="H1078" s="43" t="n">
        <v>0.73367852199282</v>
      </c>
      <c r="I1078" s="42" t="n">
        <v>1</v>
      </c>
      <c r="J1078" s="42" t="n">
        <v>1</v>
      </c>
      <c r="K1078" s="44" t="str">
        <f aca="false">IF(AND(I1078=1,J1078=1),"两者都跟住",IF(AND(I1078=0,J1078=1),"仅 PC-TBD 跟住",IF(AND(I1078=1,J1078=0),"仅 VIT-LPS 跟住","都没跟住")))</f>
        <v>两者都跟住</v>
      </c>
      <c r="L1078" s="45" t="n">
        <f aca="false">F1078-G1078</f>
        <v>0.00105983555992406</v>
      </c>
      <c r="M1078" s="46" t="n">
        <v>0.164825</v>
      </c>
      <c r="N1078" s="46" t="n">
        <v>0.1020402</v>
      </c>
      <c r="O1078" s="46" t="n">
        <v>0.1817049</v>
      </c>
      <c r="P1078" s="46" t="n">
        <v>0.5307846</v>
      </c>
      <c r="Q1078" s="46" t="n">
        <v>1.8400592</v>
      </c>
      <c r="R1078" s="46" t="n">
        <v>1.7297296</v>
      </c>
      <c r="S1078" s="47" t="n">
        <f aca="false">M1078+N1078+O1078</f>
        <v>0.4485701</v>
      </c>
      <c r="T1078" s="47" t="n">
        <f aca="false">M1078+P1078</f>
        <v>0.6956096</v>
      </c>
    </row>
    <row r="1079" customFormat="false" ht="15" hidden="false" customHeight="false" outlineLevel="0" collapsed="false">
      <c r="A1079" s="42" t="s">
        <v>45</v>
      </c>
      <c r="B1079" s="42" t="n">
        <v>-14</v>
      </c>
      <c r="C1079" s="42" t="n">
        <v>78</v>
      </c>
      <c r="D1079" s="42" t="n">
        <v>74290993</v>
      </c>
      <c r="E1079" s="43" t="n">
        <v>0.709502603102295</v>
      </c>
      <c r="F1079" s="43" t="n">
        <v>0.752809697282932</v>
      </c>
      <c r="G1079" s="43" t="n">
        <v>0.746803629104865</v>
      </c>
      <c r="H1079" s="43" t="n">
        <v>0.742835986569108</v>
      </c>
      <c r="I1079" s="42" t="n">
        <v>1</v>
      </c>
      <c r="J1079" s="42" t="n">
        <v>1</v>
      </c>
      <c r="K1079" s="44" t="str">
        <f aca="false">IF(AND(I1079=1,J1079=1),"两者都跟住",IF(AND(I1079=0,J1079=1),"仅 PC-TBD 跟住",IF(AND(I1079=1,J1079=0),"仅 VIT-LPS 跟住","都没跟住")))</f>
        <v>两者都跟住</v>
      </c>
      <c r="L1079" s="45" t="n">
        <f aca="false">F1079-G1079</f>
        <v>0.00600606817806704</v>
      </c>
      <c r="M1079" s="46" t="n">
        <v>0.1590767</v>
      </c>
      <c r="N1079" s="46" t="n">
        <v>0.0830899</v>
      </c>
      <c r="O1079" s="46" t="n">
        <v>0.15385</v>
      </c>
      <c r="P1079" s="46" t="n">
        <v>0.4412816</v>
      </c>
      <c r="Q1079" s="46" t="n">
        <v>1.5226645</v>
      </c>
      <c r="R1079" s="46" t="n">
        <v>1.5275641</v>
      </c>
      <c r="S1079" s="47" t="n">
        <f aca="false">M1079+N1079+O1079</f>
        <v>0.3960166</v>
      </c>
      <c r="T1079" s="47" t="n">
        <f aca="false">M1079+P1079</f>
        <v>0.6003583</v>
      </c>
    </row>
    <row r="1080" customFormat="false" ht="15" hidden="false" customHeight="false" outlineLevel="0" collapsed="false">
      <c r="A1080" s="42" t="s">
        <v>45</v>
      </c>
      <c r="B1080" s="42" t="n">
        <v>-14</v>
      </c>
      <c r="C1080" s="42" t="n">
        <v>79</v>
      </c>
      <c r="D1080" s="42" t="n">
        <v>74290994</v>
      </c>
      <c r="E1080" s="43" t="n">
        <v>0.696636812989318</v>
      </c>
      <c r="F1080" s="43" t="n">
        <v>0.785936537820777</v>
      </c>
      <c r="G1080" s="43" t="n">
        <v>0.812006015045707</v>
      </c>
      <c r="H1080" s="43" t="n">
        <v>0.79812848404906</v>
      </c>
      <c r="I1080" s="42" t="n">
        <v>1</v>
      </c>
      <c r="J1080" s="42" t="n">
        <v>1</v>
      </c>
      <c r="K1080" s="44" t="str">
        <f aca="false">IF(AND(I1080=1,J1080=1),"两者都跟住",IF(AND(I1080=0,J1080=1),"仅 PC-TBD 跟住",IF(AND(I1080=1,J1080=0),"仅 VIT-LPS 跟住","都没跟住")))</f>
        <v>两者都跟住</v>
      </c>
      <c r="L1080" s="45" t="n">
        <f aca="false">F1080-G1080</f>
        <v>-0.02606947722493</v>
      </c>
      <c r="M1080" s="46" t="n">
        <v>0.1405085</v>
      </c>
      <c r="N1080" s="46" t="n">
        <v>0.1009025</v>
      </c>
      <c r="O1080" s="46" t="n">
        <v>0.1146743</v>
      </c>
      <c r="P1080" s="46" t="n">
        <v>0.5077157</v>
      </c>
      <c r="Q1080" s="46" t="n">
        <v>1.7379712</v>
      </c>
      <c r="R1080" s="46" t="n">
        <v>0.942418</v>
      </c>
      <c r="S1080" s="47" t="n">
        <f aca="false">M1080+N1080+O1080</f>
        <v>0.3560853</v>
      </c>
      <c r="T1080" s="47" t="n">
        <f aca="false">M1080+P1080</f>
        <v>0.6482242</v>
      </c>
    </row>
    <row r="1081" customFormat="false" ht="15" hidden="false" customHeight="false" outlineLevel="0" collapsed="false">
      <c r="A1081" s="42" t="s">
        <v>45</v>
      </c>
      <c r="B1081" s="42" t="n">
        <v>-14</v>
      </c>
      <c r="C1081" s="42" t="n">
        <v>80</v>
      </c>
      <c r="D1081" s="42" t="n">
        <v>74290995</v>
      </c>
      <c r="E1081" s="43" t="n">
        <v>0.68444117145282</v>
      </c>
      <c r="F1081" s="43" t="n">
        <v>0.730757910202716</v>
      </c>
      <c r="G1081" s="43" t="n">
        <v>0.734732017115585</v>
      </c>
      <c r="H1081" s="43" t="n">
        <v>0.754232055541067</v>
      </c>
      <c r="I1081" s="42" t="n">
        <v>1</v>
      </c>
      <c r="J1081" s="42" t="n">
        <v>1</v>
      </c>
      <c r="K1081" s="44" t="str">
        <f aca="false">IF(AND(I1081=1,J1081=1),"两者都跟住",IF(AND(I1081=0,J1081=1),"仅 PC-TBD 跟住",IF(AND(I1081=1,J1081=0),"仅 VIT-LPS 跟住","都没跟住")))</f>
        <v>两者都跟住</v>
      </c>
      <c r="L1081" s="45" t="n">
        <f aca="false">F1081-G1081</f>
        <v>-0.00397410691286904</v>
      </c>
      <c r="M1081" s="46" t="n">
        <v>0.165085</v>
      </c>
      <c r="N1081" s="46" t="n">
        <v>0.1193685</v>
      </c>
      <c r="O1081" s="46" t="n">
        <v>0.2144351</v>
      </c>
      <c r="P1081" s="46" t="n">
        <v>0.5467347</v>
      </c>
      <c r="Q1081" s="46" t="n">
        <v>1.6610959</v>
      </c>
      <c r="R1081" s="46" t="n">
        <v>1.7424753</v>
      </c>
      <c r="S1081" s="47" t="n">
        <f aca="false">M1081+N1081+O1081</f>
        <v>0.4988886</v>
      </c>
      <c r="T1081" s="47" t="n">
        <f aca="false">M1081+P1081</f>
        <v>0.7118197</v>
      </c>
    </row>
    <row r="1082" customFormat="false" ht="15" hidden="false" customHeight="false" outlineLevel="0" collapsed="false">
      <c r="A1082" s="42" t="s">
        <v>45</v>
      </c>
      <c r="B1082" s="42" t="n">
        <v>-14</v>
      </c>
      <c r="C1082" s="42" t="n">
        <v>81</v>
      </c>
      <c r="D1082" s="42" t="n">
        <v>74290996</v>
      </c>
      <c r="E1082" s="43" t="n">
        <v>0.374191980104934</v>
      </c>
      <c r="F1082" s="43" t="n">
        <v>0.772921681300621</v>
      </c>
      <c r="G1082" s="43" t="n">
        <v>0.754238115160513</v>
      </c>
      <c r="H1082" s="43" t="n">
        <v>0.769471939007934</v>
      </c>
      <c r="I1082" s="42" t="n">
        <v>1</v>
      </c>
      <c r="J1082" s="42" t="n">
        <v>1</v>
      </c>
      <c r="K1082" s="44" t="str">
        <f aca="false">IF(AND(I1082=1,J1082=1),"两者都跟住",IF(AND(I1082=0,J1082=1),"仅 PC-TBD 跟住",IF(AND(I1082=1,J1082=0),"仅 VIT-LPS 跟住","都没跟住")))</f>
        <v>两者都跟住</v>
      </c>
      <c r="L1082" s="45" t="n">
        <f aca="false">F1082-G1082</f>
        <v>0.018683566140108</v>
      </c>
      <c r="M1082" s="46" t="n">
        <v>0.2417929</v>
      </c>
      <c r="N1082" s="46" t="n">
        <v>0.1114622</v>
      </c>
      <c r="O1082" s="46" t="n">
        <v>0.1934131</v>
      </c>
      <c r="P1082" s="46" t="n">
        <v>0.4997558</v>
      </c>
      <c r="Q1082" s="46" t="n">
        <v>2.2162693</v>
      </c>
      <c r="R1082" s="46" t="n">
        <v>1.8876928</v>
      </c>
      <c r="S1082" s="47" t="n">
        <f aca="false">M1082+N1082+O1082</f>
        <v>0.5466682</v>
      </c>
      <c r="T1082" s="47" t="n">
        <f aca="false">M1082+P1082</f>
        <v>0.7415487</v>
      </c>
    </row>
    <row r="1083" customFormat="false" ht="15" hidden="false" customHeight="false" outlineLevel="0" collapsed="false">
      <c r="A1083" s="42" t="s">
        <v>45</v>
      </c>
      <c r="B1083" s="42" t="n">
        <v>-14</v>
      </c>
      <c r="C1083" s="42" t="n">
        <v>82</v>
      </c>
      <c r="D1083" s="42" t="n">
        <v>74290997</v>
      </c>
      <c r="E1083" s="43" t="n">
        <v>0.714690254361313</v>
      </c>
      <c r="F1083" s="43" t="n">
        <v>0.752270772345787</v>
      </c>
      <c r="G1083" s="43" t="n">
        <v>0.761635069696281</v>
      </c>
      <c r="H1083" s="43" t="n">
        <v>0.772291675778708</v>
      </c>
      <c r="I1083" s="42" t="n">
        <v>1</v>
      </c>
      <c r="J1083" s="42" t="n">
        <v>1</v>
      </c>
      <c r="K1083" s="44" t="str">
        <f aca="false">IF(AND(I1083=1,J1083=1),"两者都跟住",IF(AND(I1083=0,J1083=1),"仅 PC-TBD 跟住",IF(AND(I1083=1,J1083=0),"仅 VIT-LPS 跟住","都没跟住")))</f>
        <v>两者都跟住</v>
      </c>
      <c r="L1083" s="45" t="n">
        <f aca="false">F1083-G1083</f>
        <v>-0.00936429735049404</v>
      </c>
      <c r="M1083" s="46" t="n">
        <v>0.2272195</v>
      </c>
      <c r="N1083" s="46" t="n">
        <v>0.1310741</v>
      </c>
      <c r="O1083" s="46" t="n">
        <v>0.2135508</v>
      </c>
      <c r="P1083" s="46" t="n">
        <v>0.4888238</v>
      </c>
      <c r="Q1083" s="46" t="n">
        <v>2.189169</v>
      </c>
      <c r="R1083" s="46" t="n">
        <v>2.4057392</v>
      </c>
      <c r="S1083" s="47" t="n">
        <f aca="false">M1083+N1083+O1083</f>
        <v>0.5718444</v>
      </c>
      <c r="T1083" s="47" t="n">
        <f aca="false">M1083+P1083</f>
        <v>0.7160433</v>
      </c>
    </row>
    <row r="1084" customFormat="false" ht="15" hidden="false" customHeight="false" outlineLevel="0" collapsed="false">
      <c r="A1084" s="42" t="s">
        <v>45</v>
      </c>
      <c r="B1084" s="42" t="n">
        <v>-14</v>
      </c>
      <c r="C1084" s="42" t="n">
        <v>83</v>
      </c>
      <c r="D1084" s="42" t="n">
        <v>74290998</v>
      </c>
      <c r="E1084" s="43" t="n">
        <v>0.647778406433616</v>
      </c>
      <c r="F1084" s="43" t="n">
        <v>0.731534047520064</v>
      </c>
      <c r="G1084" s="43" t="n">
        <v>0.755845801722516</v>
      </c>
      <c r="H1084" s="43" t="n">
        <v>0.762762331359107</v>
      </c>
      <c r="I1084" s="42" t="n">
        <v>1</v>
      </c>
      <c r="J1084" s="42" t="n">
        <v>1</v>
      </c>
      <c r="K1084" s="44" t="str">
        <f aca="false">IF(AND(I1084=1,J1084=1),"两者都跟住",IF(AND(I1084=0,J1084=1),"仅 PC-TBD 跟住",IF(AND(I1084=1,J1084=0),"仅 VIT-LPS 跟住","都没跟住")))</f>
        <v>两者都跟住</v>
      </c>
      <c r="L1084" s="45" t="n">
        <f aca="false">F1084-G1084</f>
        <v>-0.024311754202452</v>
      </c>
      <c r="M1084" s="46" t="n">
        <v>0.2357696</v>
      </c>
      <c r="N1084" s="46" t="n">
        <v>0.1303104</v>
      </c>
      <c r="O1084" s="46" t="n">
        <v>0.2048819</v>
      </c>
      <c r="P1084" s="46" t="n">
        <v>0.5008129</v>
      </c>
      <c r="Q1084" s="46" t="n">
        <v>2.392249</v>
      </c>
      <c r="R1084" s="46" t="n">
        <v>2.6696468</v>
      </c>
      <c r="S1084" s="47" t="n">
        <f aca="false">M1084+N1084+O1084</f>
        <v>0.5709619</v>
      </c>
      <c r="T1084" s="47" t="n">
        <f aca="false">M1084+P1084</f>
        <v>0.7365825</v>
      </c>
    </row>
    <row r="1085" customFormat="false" ht="15" hidden="false" customHeight="false" outlineLevel="0" collapsed="false">
      <c r="A1085" s="42" t="s">
        <v>45</v>
      </c>
      <c r="B1085" s="42" t="n">
        <v>-14</v>
      </c>
      <c r="C1085" s="42" t="n">
        <v>84</v>
      </c>
      <c r="D1085" s="42" t="n">
        <v>74290999</v>
      </c>
      <c r="E1085" s="43" t="n">
        <v>0.717746426372879</v>
      </c>
      <c r="F1085" s="43" t="n">
        <v>0.771694454404853</v>
      </c>
      <c r="G1085" s="43" t="n">
        <v>0.776704353468028</v>
      </c>
      <c r="H1085" s="43" t="n">
        <v>0.770591943486654</v>
      </c>
      <c r="I1085" s="42" t="n">
        <v>1</v>
      </c>
      <c r="J1085" s="42" t="n">
        <v>1</v>
      </c>
      <c r="K1085" s="44" t="str">
        <f aca="false">IF(AND(I1085=1,J1085=1),"两者都跟住",IF(AND(I1085=0,J1085=1),"仅 PC-TBD 跟住",IF(AND(I1085=1,J1085=0),"仅 VIT-LPS 跟住","都没跟住")))</f>
        <v>两者都跟住</v>
      </c>
      <c r="L1085" s="45" t="n">
        <f aca="false">F1085-G1085</f>
        <v>-0.00500989906317506</v>
      </c>
      <c r="M1085" s="46" t="n">
        <v>0.247404</v>
      </c>
      <c r="N1085" s="46" t="n">
        <v>0.1263487</v>
      </c>
      <c r="O1085" s="46" t="n">
        <v>0.2006851</v>
      </c>
      <c r="P1085" s="46" t="n">
        <v>0.5307191</v>
      </c>
      <c r="Q1085" s="46" t="n">
        <v>2.6114337</v>
      </c>
      <c r="R1085" s="46" t="n">
        <v>2.6164149</v>
      </c>
      <c r="S1085" s="47" t="n">
        <f aca="false">M1085+N1085+O1085</f>
        <v>0.5744378</v>
      </c>
      <c r="T1085" s="47" t="n">
        <f aca="false">M1085+P1085</f>
        <v>0.7781231</v>
      </c>
    </row>
    <row r="1086" customFormat="false" ht="15" hidden="false" customHeight="false" outlineLevel="0" collapsed="false">
      <c r="A1086" s="42" t="s">
        <v>45</v>
      </c>
      <c r="B1086" s="42" t="n">
        <v>-14</v>
      </c>
      <c r="C1086" s="42" t="n">
        <v>85</v>
      </c>
      <c r="D1086" s="42" t="n">
        <v>74291000</v>
      </c>
      <c r="E1086" s="43" t="n">
        <v>0.661766989292328</v>
      </c>
      <c r="F1086" s="43" t="n">
        <v>0.711993027224631</v>
      </c>
      <c r="G1086" s="43" t="n">
        <v>0.704881671263834</v>
      </c>
      <c r="H1086" s="43" t="n">
        <v>0.710353228908428</v>
      </c>
      <c r="I1086" s="42" t="n">
        <v>1</v>
      </c>
      <c r="J1086" s="42" t="n">
        <v>1</v>
      </c>
      <c r="K1086" s="44" t="str">
        <f aca="false">IF(AND(I1086=1,J1086=1),"两者都跟住",IF(AND(I1086=0,J1086=1),"仅 PC-TBD 跟住",IF(AND(I1086=1,J1086=0),"仅 VIT-LPS 跟住","都没跟住")))</f>
        <v>两者都跟住</v>
      </c>
      <c r="L1086" s="45" t="n">
        <f aca="false">F1086-G1086</f>
        <v>0.00711135596079693</v>
      </c>
      <c r="M1086" s="46" t="n">
        <v>0.2496625</v>
      </c>
      <c r="N1086" s="46" t="n">
        <v>0.1280226</v>
      </c>
      <c r="O1086" s="46" t="n">
        <v>0.2086499</v>
      </c>
      <c r="P1086" s="46" t="n">
        <v>0.5814303</v>
      </c>
      <c r="Q1086" s="46" t="n">
        <v>2.4848205</v>
      </c>
      <c r="R1086" s="46" t="n">
        <v>2.7091271</v>
      </c>
      <c r="S1086" s="47" t="n">
        <f aca="false">M1086+N1086+O1086</f>
        <v>0.586335</v>
      </c>
      <c r="T1086" s="47" t="n">
        <f aca="false">M1086+P1086</f>
        <v>0.8310928</v>
      </c>
    </row>
    <row r="1087" customFormat="false" ht="15" hidden="false" customHeight="false" outlineLevel="0" collapsed="false">
      <c r="A1087" s="42" t="s">
        <v>45</v>
      </c>
      <c r="B1087" s="42" t="n">
        <v>-14</v>
      </c>
      <c r="C1087" s="42" t="n">
        <v>86</v>
      </c>
      <c r="D1087" s="42" t="n">
        <v>74291001</v>
      </c>
      <c r="E1087" s="43" t="n">
        <v>0.689752891086753</v>
      </c>
      <c r="F1087" s="43" t="n">
        <v>0.766199321194487</v>
      </c>
      <c r="G1087" s="43" t="n">
        <v>0.752681687832145</v>
      </c>
      <c r="H1087" s="43" t="n">
        <v>0.760866861229061</v>
      </c>
      <c r="I1087" s="42" t="n">
        <v>1</v>
      </c>
      <c r="J1087" s="42" t="n">
        <v>1</v>
      </c>
      <c r="K1087" s="44" t="str">
        <f aca="false">IF(AND(I1087=1,J1087=1),"两者都跟住",IF(AND(I1087=0,J1087=1),"仅 PC-TBD 跟住",IF(AND(I1087=1,J1087=0),"仅 VIT-LPS 跟住","都没跟住")))</f>
        <v>两者都跟住</v>
      </c>
      <c r="L1087" s="45" t="n">
        <f aca="false">F1087-G1087</f>
        <v>0.013517633362342</v>
      </c>
      <c r="M1087" s="46" t="n">
        <v>0.2125843</v>
      </c>
      <c r="N1087" s="46" t="n">
        <v>0.1370904</v>
      </c>
      <c r="O1087" s="46" t="n">
        <v>0.2065308</v>
      </c>
      <c r="P1087" s="46" t="n">
        <v>0.5705256</v>
      </c>
      <c r="Q1087" s="46" t="n">
        <v>2.1607214</v>
      </c>
      <c r="R1087" s="46" t="n">
        <v>2.3527825</v>
      </c>
      <c r="S1087" s="47" t="n">
        <f aca="false">M1087+N1087+O1087</f>
        <v>0.5562055</v>
      </c>
      <c r="T1087" s="47" t="n">
        <f aca="false">M1087+P1087</f>
        <v>0.7831099</v>
      </c>
    </row>
    <row r="1088" customFormat="false" ht="15" hidden="false" customHeight="false" outlineLevel="0" collapsed="false">
      <c r="A1088" s="42" t="s">
        <v>45</v>
      </c>
      <c r="B1088" s="42" t="n">
        <v>-14</v>
      </c>
      <c r="C1088" s="42" t="n">
        <v>87</v>
      </c>
      <c r="D1088" s="42" t="n">
        <v>74291002</v>
      </c>
      <c r="E1088" s="43" t="n">
        <v>0.581764932967983</v>
      </c>
      <c r="F1088" s="43" t="n">
        <v>0.774336091983449</v>
      </c>
      <c r="G1088" s="43" t="n">
        <v>0.79738203960991</v>
      </c>
      <c r="H1088" s="43" t="n">
        <v>0.796233107344969</v>
      </c>
      <c r="I1088" s="42" t="n">
        <v>1</v>
      </c>
      <c r="J1088" s="42" t="n">
        <v>1</v>
      </c>
      <c r="K1088" s="44" t="str">
        <f aca="false">IF(AND(I1088=1,J1088=1),"两者都跟住",IF(AND(I1088=0,J1088=1),"仅 PC-TBD 跟住",IF(AND(I1088=1,J1088=0),"仅 VIT-LPS 跟住","都没跟住")))</f>
        <v>两者都跟住</v>
      </c>
      <c r="L1088" s="45" t="n">
        <f aca="false">F1088-G1088</f>
        <v>-0.0230459476264611</v>
      </c>
      <c r="M1088" s="46" t="n">
        <v>0.1783325</v>
      </c>
      <c r="N1088" s="46" t="n">
        <v>0.1176238</v>
      </c>
      <c r="O1088" s="46" t="n">
        <v>0.1698565</v>
      </c>
      <c r="P1088" s="46" t="n">
        <v>0.4064236</v>
      </c>
      <c r="Q1088" s="46" t="n">
        <v>1.6041304</v>
      </c>
      <c r="R1088" s="46" t="n">
        <v>1.3356453</v>
      </c>
      <c r="S1088" s="47" t="n">
        <f aca="false">M1088+N1088+O1088</f>
        <v>0.4658128</v>
      </c>
      <c r="T1088" s="47" t="n">
        <f aca="false">M1088+P1088</f>
        <v>0.5847561</v>
      </c>
    </row>
    <row r="1089" customFormat="false" ht="15" hidden="false" customHeight="false" outlineLevel="0" collapsed="false">
      <c r="A1089" s="42" t="s">
        <v>45</v>
      </c>
      <c r="B1089" s="42" t="n">
        <v>-14</v>
      </c>
      <c r="C1089" s="42" t="n">
        <v>88</v>
      </c>
      <c r="D1089" s="42" t="n">
        <v>74291003</v>
      </c>
      <c r="E1089" s="43" t="n">
        <v>0.677852960643185</v>
      </c>
      <c r="F1089" s="43" t="n">
        <v>0.739761288671964</v>
      </c>
      <c r="G1089" s="43" t="n">
        <v>0.726723791470256</v>
      </c>
      <c r="H1089" s="43" t="n">
        <v>0.770712442290758</v>
      </c>
      <c r="I1089" s="42" t="n">
        <v>1</v>
      </c>
      <c r="J1089" s="42" t="n">
        <v>1</v>
      </c>
      <c r="K1089" s="44" t="str">
        <f aca="false">IF(AND(I1089=1,J1089=1),"两者都跟住",IF(AND(I1089=0,J1089=1),"仅 PC-TBD 跟住",IF(AND(I1089=1,J1089=0),"仅 VIT-LPS 跟住","都没跟住")))</f>
        <v>两者都跟住</v>
      </c>
      <c r="L1089" s="45" t="n">
        <f aca="false">F1089-G1089</f>
        <v>0.013037497201708</v>
      </c>
      <c r="M1089" s="46" t="n">
        <v>0.1749493</v>
      </c>
      <c r="N1089" s="46" t="n">
        <v>0.1269497</v>
      </c>
      <c r="O1089" s="46" t="n">
        <v>0.1461219</v>
      </c>
      <c r="P1089" s="46" t="n">
        <v>0.5487099</v>
      </c>
      <c r="Q1089" s="46" t="n">
        <v>1.583563</v>
      </c>
      <c r="R1089" s="46" t="n">
        <v>1.7539391</v>
      </c>
      <c r="S1089" s="47" t="n">
        <f aca="false">M1089+N1089+O1089</f>
        <v>0.4480209</v>
      </c>
      <c r="T1089" s="47" t="n">
        <f aca="false">M1089+P1089</f>
        <v>0.7236592</v>
      </c>
    </row>
    <row r="1090" customFormat="false" ht="15" hidden="false" customHeight="false" outlineLevel="0" collapsed="false">
      <c r="A1090" s="42" t="s">
        <v>45</v>
      </c>
      <c r="B1090" s="42" t="n">
        <v>-14</v>
      </c>
      <c r="C1090" s="42" t="n">
        <v>89</v>
      </c>
      <c r="D1090" s="42" t="n">
        <v>74291004</v>
      </c>
      <c r="E1090" s="43" t="n">
        <v>0.612664788616792</v>
      </c>
      <c r="F1090" s="43" t="n">
        <v>0.755034621167964</v>
      </c>
      <c r="G1090" s="43" t="n">
        <v>0.799922856431082</v>
      </c>
      <c r="H1090" s="43" t="n">
        <v>0.818517304387693</v>
      </c>
      <c r="I1090" s="42" t="n">
        <v>1</v>
      </c>
      <c r="J1090" s="42" t="n">
        <v>1</v>
      </c>
      <c r="K1090" s="44" t="str">
        <f aca="false">IF(AND(I1090=1,J1090=1),"两者都跟住",IF(AND(I1090=0,J1090=1),"仅 PC-TBD 跟住",IF(AND(I1090=1,J1090=0),"仅 VIT-LPS 跟住","都没跟住")))</f>
        <v>两者都跟住</v>
      </c>
      <c r="L1090" s="45" t="n">
        <f aca="false">F1090-G1090</f>
        <v>-0.0448882352631179</v>
      </c>
      <c r="M1090" s="46" t="n">
        <v>0.1491055</v>
      </c>
      <c r="N1090" s="46" t="n">
        <v>0.0751727</v>
      </c>
      <c r="O1090" s="46" t="n">
        <v>0.1319271</v>
      </c>
      <c r="P1090" s="46" t="n">
        <v>0.3394065</v>
      </c>
      <c r="Q1090" s="46" t="n">
        <v>1.5679824</v>
      </c>
      <c r="R1090" s="46" t="n">
        <v>1.5967104</v>
      </c>
      <c r="S1090" s="47" t="n">
        <f aca="false">M1090+N1090+O1090</f>
        <v>0.3562053</v>
      </c>
      <c r="T1090" s="47" t="n">
        <f aca="false">M1090+P1090</f>
        <v>0.488512</v>
      </c>
    </row>
    <row r="1091" customFormat="false" ht="15" hidden="false" customHeight="false" outlineLevel="0" collapsed="false">
      <c r="A1091" s="42" t="s">
        <v>45</v>
      </c>
      <c r="B1091" s="42" t="n">
        <v>-14</v>
      </c>
      <c r="C1091" s="42" t="n">
        <v>90</v>
      </c>
      <c r="D1091" s="42" t="n">
        <v>74291005</v>
      </c>
      <c r="E1091" s="43" t="n">
        <v>0.728666814504736</v>
      </c>
      <c r="F1091" s="43" t="n">
        <v>0.768132231754907</v>
      </c>
      <c r="G1091" s="43" t="n">
        <v>0.776174361490733</v>
      </c>
      <c r="H1091" s="43" t="n">
        <v>0.780827608273672</v>
      </c>
      <c r="I1091" s="42" t="n">
        <v>1</v>
      </c>
      <c r="J1091" s="42" t="n">
        <v>1</v>
      </c>
      <c r="K1091" s="44" t="str">
        <f aca="false">IF(AND(I1091=1,J1091=1),"两者都跟住",IF(AND(I1091=0,J1091=1),"仅 PC-TBD 跟住",IF(AND(I1091=1,J1091=0),"仅 VIT-LPS 跟住","都没跟住")))</f>
        <v>两者都跟住</v>
      </c>
      <c r="L1091" s="45" t="n">
        <f aca="false">F1091-G1091</f>
        <v>-0.00804212973582608</v>
      </c>
      <c r="M1091" s="46" t="n">
        <v>0.1574336</v>
      </c>
      <c r="N1091" s="46" t="n">
        <v>0.101133</v>
      </c>
      <c r="O1091" s="46" t="n">
        <v>0.1663744</v>
      </c>
      <c r="P1091" s="46" t="n">
        <v>0.4506176</v>
      </c>
      <c r="Q1091" s="46" t="n">
        <v>1.6136131</v>
      </c>
      <c r="R1091" s="46" t="n">
        <v>1.9702935</v>
      </c>
      <c r="S1091" s="47" t="n">
        <f aca="false">M1091+N1091+O1091</f>
        <v>0.424941</v>
      </c>
      <c r="T1091" s="47" t="n">
        <f aca="false">M1091+P1091</f>
        <v>0.6080512</v>
      </c>
    </row>
    <row r="1092" customFormat="false" ht="15" hidden="false" customHeight="false" outlineLevel="0" collapsed="false">
      <c r="A1092" s="42" t="s">
        <v>45</v>
      </c>
      <c r="B1092" s="42" t="n">
        <v>-14</v>
      </c>
      <c r="C1092" s="42" t="n">
        <v>91</v>
      </c>
      <c r="D1092" s="42" t="n">
        <v>74291006</v>
      </c>
      <c r="E1092" s="43" t="n">
        <v>0.706980778094999</v>
      </c>
      <c r="F1092" s="43" t="n">
        <v>0.771878120993581</v>
      </c>
      <c r="G1092" s="43" t="n">
        <v>0.769470415199981</v>
      </c>
      <c r="H1092" s="43" t="n">
        <v>0.788462976037365</v>
      </c>
      <c r="I1092" s="42" t="n">
        <v>1</v>
      </c>
      <c r="J1092" s="42" t="n">
        <v>1</v>
      </c>
      <c r="K1092" s="44" t="str">
        <f aca="false">IF(AND(I1092=1,J1092=1),"两者都跟住",IF(AND(I1092=0,J1092=1),"仅 PC-TBD 跟住",IF(AND(I1092=1,J1092=0),"仅 VIT-LPS 跟住","都没跟住")))</f>
        <v>两者都跟住</v>
      </c>
      <c r="L1092" s="45" t="n">
        <f aca="false">F1092-G1092</f>
        <v>0.00240770579359995</v>
      </c>
      <c r="M1092" s="46" t="n">
        <v>0.2359204</v>
      </c>
      <c r="N1092" s="46" t="n">
        <v>0.1046167</v>
      </c>
      <c r="O1092" s="46" t="n">
        <v>0.1687357</v>
      </c>
      <c r="P1092" s="46" t="n">
        <v>0.5452202</v>
      </c>
      <c r="Q1092" s="46" t="n">
        <v>1.5973639</v>
      </c>
      <c r="R1092" s="46" t="n">
        <v>2.540018</v>
      </c>
      <c r="S1092" s="47" t="n">
        <f aca="false">M1092+N1092+O1092</f>
        <v>0.5092728</v>
      </c>
      <c r="T1092" s="47" t="n">
        <f aca="false">M1092+P1092</f>
        <v>0.7811406</v>
      </c>
    </row>
    <row r="1093" customFormat="false" ht="15" hidden="false" customHeight="false" outlineLevel="0" collapsed="false">
      <c r="A1093" s="42" t="s">
        <v>45</v>
      </c>
      <c r="B1093" s="42" t="n">
        <v>-14</v>
      </c>
      <c r="C1093" s="42" t="n">
        <v>92</v>
      </c>
      <c r="D1093" s="42" t="n">
        <v>74291007</v>
      </c>
      <c r="E1093" s="43" t="n">
        <v>0.657847513361891</v>
      </c>
      <c r="F1093" s="43" t="n">
        <v>0.752929624891959</v>
      </c>
      <c r="G1093" s="43" t="n">
        <v>0.759510533125397</v>
      </c>
      <c r="H1093" s="43" t="n">
        <v>0.794450869469431</v>
      </c>
      <c r="I1093" s="42" t="n">
        <v>1</v>
      </c>
      <c r="J1093" s="42" t="n">
        <v>1</v>
      </c>
      <c r="K1093" s="44" t="str">
        <f aca="false">IF(AND(I1093=1,J1093=1),"两者都跟住",IF(AND(I1093=0,J1093=1),"仅 PC-TBD 跟住",IF(AND(I1093=1,J1093=0),"仅 VIT-LPS 跟住","都没跟住")))</f>
        <v>两者都跟住</v>
      </c>
      <c r="L1093" s="45" t="n">
        <f aca="false">F1093-G1093</f>
        <v>-0.00658090823343793</v>
      </c>
      <c r="M1093" s="46" t="n">
        <v>0.2249418</v>
      </c>
      <c r="N1093" s="46" t="n">
        <v>0.1169814</v>
      </c>
      <c r="O1093" s="46" t="n">
        <v>0.1925529</v>
      </c>
      <c r="P1093" s="46" t="n">
        <v>0.5534552</v>
      </c>
      <c r="Q1093" s="46" t="n">
        <v>2.8817248</v>
      </c>
      <c r="R1093" s="46" t="n">
        <v>2.6691488</v>
      </c>
      <c r="S1093" s="47" t="n">
        <f aca="false">M1093+N1093+O1093</f>
        <v>0.5344761</v>
      </c>
      <c r="T1093" s="47" t="n">
        <f aca="false">M1093+P1093</f>
        <v>0.778397</v>
      </c>
    </row>
    <row r="1094" customFormat="false" ht="15" hidden="false" customHeight="false" outlineLevel="0" collapsed="false">
      <c r="A1094" s="42" t="s">
        <v>45</v>
      </c>
      <c r="B1094" s="42" t="n">
        <v>-14</v>
      </c>
      <c r="C1094" s="42" t="n">
        <v>93</v>
      </c>
      <c r="D1094" s="42" t="n">
        <v>74291008</v>
      </c>
      <c r="E1094" s="43" t="n">
        <v>0.620605733329078</v>
      </c>
      <c r="F1094" s="43" t="n">
        <v>0.750830150692447</v>
      </c>
      <c r="G1094" s="43" t="n">
        <v>0.678136747707213</v>
      </c>
      <c r="H1094" s="43" t="n">
        <v>0.705892237013323</v>
      </c>
      <c r="I1094" s="42" t="n">
        <v>1</v>
      </c>
      <c r="J1094" s="42" t="n">
        <v>1</v>
      </c>
      <c r="K1094" s="44" t="str">
        <f aca="false">IF(AND(I1094=1,J1094=1),"两者都跟住",IF(AND(I1094=0,J1094=1),"仅 PC-TBD 跟住",IF(AND(I1094=1,J1094=0),"仅 VIT-LPS 跟住","都没跟住")))</f>
        <v>两者都跟住</v>
      </c>
      <c r="L1094" s="45" t="n">
        <f aca="false">F1094-G1094</f>
        <v>0.072693402985234</v>
      </c>
      <c r="M1094" s="46" t="n">
        <v>0.2197863</v>
      </c>
      <c r="N1094" s="46" t="n">
        <v>0.1330247</v>
      </c>
      <c r="O1094" s="46" t="n">
        <v>0.1606789</v>
      </c>
      <c r="P1094" s="46" t="n">
        <v>0.4629932</v>
      </c>
      <c r="Q1094" s="46" t="n">
        <v>2.5210942</v>
      </c>
      <c r="R1094" s="46" t="n">
        <v>2.8137738</v>
      </c>
      <c r="S1094" s="47" t="n">
        <f aca="false">M1094+N1094+O1094</f>
        <v>0.5134899</v>
      </c>
      <c r="T1094" s="47" t="n">
        <f aca="false">M1094+P1094</f>
        <v>0.6827795</v>
      </c>
    </row>
    <row r="1095" customFormat="false" ht="15" hidden="false" customHeight="false" outlineLevel="0" collapsed="false">
      <c r="A1095" s="42" t="s">
        <v>45</v>
      </c>
      <c r="B1095" s="42" t="n">
        <v>-14</v>
      </c>
      <c r="C1095" s="42" t="n">
        <v>94</v>
      </c>
      <c r="D1095" s="42" t="n">
        <v>74291009</v>
      </c>
      <c r="E1095" s="43" t="n">
        <v>0.56961398389413</v>
      </c>
      <c r="F1095" s="43" t="n">
        <v>0.736305623786451</v>
      </c>
      <c r="G1095" s="43" t="n">
        <v>0.759425690751737</v>
      </c>
      <c r="H1095" s="43" t="n">
        <v>0.774536498315987</v>
      </c>
      <c r="I1095" s="42" t="n">
        <v>1</v>
      </c>
      <c r="J1095" s="42" t="n">
        <v>1</v>
      </c>
      <c r="K1095" s="44" t="str">
        <f aca="false">IF(AND(I1095=1,J1095=1),"两者都跟住",IF(AND(I1095=0,J1095=1),"仅 PC-TBD 跟住",IF(AND(I1095=1,J1095=0),"仅 VIT-LPS 跟住","都没跟住")))</f>
        <v>两者都跟住</v>
      </c>
      <c r="L1095" s="45" t="n">
        <f aca="false">F1095-G1095</f>
        <v>-0.023120066965286</v>
      </c>
      <c r="M1095" s="46" t="n">
        <v>0.2225005</v>
      </c>
      <c r="N1095" s="46" t="n">
        <v>0.1344479</v>
      </c>
      <c r="O1095" s="46" t="n">
        <v>0.1905236</v>
      </c>
      <c r="P1095" s="46" t="n">
        <v>0.4608685</v>
      </c>
      <c r="Q1095" s="46" t="n">
        <v>2.6157439</v>
      </c>
      <c r="R1095" s="46" t="n">
        <v>2.487974</v>
      </c>
      <c r="S1095" s="47" t="n">
        <f aca="false">M1095+N1095+O1095</f>
        <v>0.547472</v>
      </c>
      <c r="T1095" s="47" t="n">
        <f aca="false">M1095+P1095</f>
        <v>0.683369</v>
      </c>
    </row>
    <row r="1096" customFormat="false" ht="15" hidden="false" customHeight="false" outlineLevel="0" collapsed="false">
      <c r="A1096" s="42" t="s">
        <v>45</v>
      </c>
      <c r="B1096" s="42" t="n">
        <v>-14</v>
      </c>
      <c r="C1096" s="42" t="n">
        <v>95</v>
      </c>
      <c r="D1096" s="42" t="n">
        <v>74291010</v>
      </c>
      <c r="E1096" s="43" t="n">
        <v>0.562920626168435</v>
      </c>
      <c r="F1096" s="43" t="n">
        <v>0.742513474506043</v>
      </c>
      <c r="G1096" s="43" t="n">
        <v>0.797573517949945</v>
      </c>
      <c r="H1096" s="43" t="n">
        <v>0.790776808565491</v>
      </c>
      <c r="I1096" s="42" t="n">
        <v>1</v>
      </c>
      <c r="J1096" s="42" t="n">
        <v>1</v>
      </c>
      <c r="K1096" s="44" t="str">
        <f aca="false">IF(AND(I1096=1,J1096=1),"两者都跟住",IF(AND(I1096=0,J1096=1),"仅 PC-TBD 跟住",IF(AND(I1096=1,J1096=0),"仅 VIT-LPS 跟住","都没跟住")))</f>
        <v>两者都跟住</v>
      </c>
      <c r="L1096" s="45" t="n">
        <f aca="false">F1096-G1096</f>
        <v>-0.055060043443902</v>
      </c>
      <c r="M1096" s="46" t="n">
        <v>0.2307393</v>
      </c>
      <c r="N1096" s="46" t="n">
        <v>0.1262039</v>
      </c>
      <c r="O1096" s="46" t="n">
        <v>0.1759472</v>
      </c>
      <c r="P1096" s="46" t="n">
        <v>0.5144829</v>
      </c>
      <c r="Q1096" s="46" t="n">
        <v>4.0585847</v>
      </c>
      <c r="R1096" s="46" t="n">
        <v>2.0623209</v>
      </c>
      <c r="S1096" s="47" t="n">
        <f aca="false">M1096+N1096+O1096</f>
        <v>0.5328904</v>
      </c>
      <c r="T1096" s="47" t="n">
        <f aca="false">M1096+P1096</f>
        <v>0.7452222</v>
      </c>
    </row>
    <row r="1097" customFormat="false" ht="15" hidden="false" customHeight="false" outlineLevel="0" collapsed="false">
      <c r="A1097" s="42" t="s">
        <v>45</v>
      </c>
      <c r="B1097" s="42" t="n">
        <v>-14</v>
      </c>
      <c r="C1097" s="42" t="n">
        <v>96</v>
      </c>
      <c r="D1097" s="42" t="n">
        <v>74291011</v>
      </c>
      <c r="E1097" s="43" t="n">
        <v>0.714852662337588</v>
      </c>
      <c r="F1097" s="43" t="n">
        <v>0.730480606758244</v>
      </c>
      <c r="G1097" s="43" t="n">
        <v>0.762356711242411</v>
      </c>
      <c r="H1097" s="43" t="n">
        <v>0.764230312825128</v>
      </c>
      <c r="I1097" s="42" t="n">
        <v>1</v>
      </c>
      <c r="J1097" s="42" t="n">
        <v>1</v>
      </c>
      <c r="K1097" s="44" t="str">
        <f aca="false">IF(AND(I1097=1,J1097=1),"两者都跟住",IF(AND(I1097=0,J1097=1),"仅 PC-TBD 跟住",IF(AND(I1097=1,J1097=0),"仅 VIT-LPS 跟住","都没跟住")))</f>
        <v>两者都跟住</v>
      </c>
      <c r="L1097" s="45" t="n">
        <f aca="false">F1097-G1097</f>
        <v>-0.031876104484167</v>
      </c>
      <c r="M1097" s="46" t="n">
        <v>0.2265839</v>
      </c>
      <c r="N1097" s="46" t="n">
        <v>0.109638</v>
      </c>
      <c r="O1097" s="46" t="n">
        <v>0.1591428</v>
      </c>
      <c r="P1097" s="46" t="n">
        <v>0.4674102</v>
      </c>
      <c r="Q1097" s="46" t="n">
        <v>2.7354238</v>
      </c>
      <c r="R1097" s="46" t="n">
        <v>3.0098109</v>
      </c>
      <c r="S1097" s="47" t="n">
        <f aca="false">M1097+N1097+O1097</f>
        <v>0.4953647</v>
      </c>
      <c r="T1097" s="47" t="n">
        <f aca="false">M1097+P1097</f>
        <v>0.6939941</v>
      </c>
    </row>
    <row r="1098" customFormat="false" ht="15" hidden="false" customHeight="false" outlineLevel="0" collapsed="false">
      <c r="A1098" s="42" t="s">
        <v>45</v>
      </c>
      <c r="B1098" s="42" t="n">
        <v>-14</v>
      </c>
      <c r="C1098" s="42" t="n">
        <v>97</v>
      </c>
      <c r="D1098" s="42" t="n">
        <v>74291012</v>
      </c>
      <c r="E1098" s="43" t="n">
        <v>0.643344937818261</v>
      </c>
      <c r="F1098" s="43" t="n">
        <v>0.759613288937337</v>
      </c>
      <c r="G1098" s="43" t="n">
        <v>0.794297088635324</v>
      </c>
      <c r="H1098" s="43" t="n">
        <v>0.764201391460364</v>
      </c>
      <c r="I1098" s="42" t="n">
        <v>1</v>
      </c>
      <c r="J1098" s="42" t="n">
        <v>1</v>
      </c>
      <c r="K1098" s="44" t="str">
        <f aca="false">IF(AND(I1098=1,J1098=1),"两者都跟住",IF(AND(I1098=0,J1098=1),"仅 PC-TBD 跟住",IF(AND(I1098=1,J1098=0),"仅 VIT-LPS 跟住","都没跟住")))</f>
        <v>两者都跟住</v>
      </c>
      <c r="L1098" s="45" t="n">
        <f aca="false">F1098-G1098</f>
        <v>-0.034683799697987</v>
      </c>
      <c r="M1098" s="46" t="n">
        <v>0.1515919</v>
      </c>
      <c r="N1098" s="46" t="n">
        <v>0.1065982</v>
      </c>
      <c r="O1098" s="46" t="n">
        <v>0.1538259</v>
      </c>
      <c r="P1098" s="46" t="n">
        <v>0.3681588</v>
      </c>
      <c r="Q1098" s="46" t="n">
        <v>1.465545</v>
      </c>
      <c r="R1098" s="46" t="n">
        <v>1.0959555</v>
      </c>
      <c r="S1098" s="47" t="n">
        <f aca="false">M1098+N1098+O1098</f>
        <v>0.412016</v>
      </c>
      <c r="T1098" s="47" t="n">
        <f aca="false">M1098+P1098</f>
        <v>0.5197507</v>
      </c>
    </row>
    <row r="1099" customFormat="false" ht="15" hidden="false" customHeight="false" outlineLevel="0" collapsed="false">
      <c r="A1099" s="42" t="s">
        <v>45</v>
      </c>
      <c r="B1099" s="42" t="n">
        <v>-14</v>
      </c>
      <c r="C1099" s="42" t="n">
        <v>98</v>
      </c>
      <c r="D1099" s="42" t="n">
        <v>74291013</v>
      </c>
      <c r="E1099" s="43" t="n">
        <v>0.474876710669902</v>
      </c>
      <c r="F1099" s="43" t="n">
        <v>0.741189126690292</v>
      </c>
      <c r="G1099" s="43" t="n">
        <v>0.799114930949489</v>
      </c>
      <c r="H1099" s="43" t="n">
        <v>0.796882432353056</v>
      </c>
      <c r="I1099" s="42" t="n">
        <v>1</v>
      </c>
      <c r="J1099" s="42" t="n">
        <v>1</v>
      </c>
      <c r="K1099" s="44" t="str">
        <f aca="false">IF(AND(I1099=1,J1099=1),"两者都跟住",IF(AND(I1099=0,J1099=1),"仅 PC-TBD 跟住",IF(AND(I1099=1,J1099=0),"仅 VIT-LPS 跟住","都没跟住")))</f>
        <v>两者都跟住</v>
      </c>
      <c r="L1099" s="45" t="n">
        <f aca="false">F1099-G1099</f>
        <v>-0.057925804259197</v>
      </c>
      <c r="M1099" s="46" t="n">
        <v>0.1621876</v>
      </c>
      <c r="N1099" s="46" t="n">
        <v>0.0961028</v>
      </c>
      <c r="O1099" s="46" t="n">
        <v>0.1814333</v>
      </c>
      <c r="P1099" s="46" t="n">
        <v>0.5786121</v>
      </c>
      <c r="Q1099" s="46" t="n">
        <v>1.9476421</v>
      </c>
      <c r="R1099" s="46" t="n">
        <v>1.5571065</v>
      </c>
      <c r="S1099" s="47" t="n">
        <f aca="false">M1099+N1099+O1099</f>
        <v>0.4397237</v>
      </c>
      <c r="T1099" s="47" t="n">
        <f aca="false">M1099+P1099</f>
        <v>0.7407997</v>
      </c>
    </row>
    <row r="1100" customFormat="false" ht="15" hidden="false" customHeight="false" outlineLevel="0" collapsed="false">
      <c r="A1100" s="42" t="s">
        <v>45</v>
      </c>
      <c r="B1100" s="42" t="n">
        <v>-14</v>
      </c>
      <c r="C1100" s="42" t="n">
        <v>99</v>
      </c>
      <c r="D1100" s="42" t="n">
        <v>74291014</v>
      </c>
      <c r="E1100" s="43" t="n">
        <v>0.629883864457819</v>
      </c>
      <c r="F1100" s="43" t="n">
        <v>0.682231733167713</v>
      </c>
      <c r="G1100" s="43" t="n">
        <v>0.807788889492969</v>
      </c>
      <c r="H1100" s="43" t="n">
        <v>0.788815549943247</v>
      </c>
      <c r="I1100" s="42" t="n">
        <v>1</v>
      </c>
      <c r="J1100" s="42" t="n">
        <v>1</v>
      </c>
      <c r="K1100" s="44" t="str">
        <f aca="false">IF(AND(I1100=1,J1100=1),"两者都跟住",IF(AND(I1100=0,J1100=1),"仅 PC-TBD 跟住",IF(AND(I1100=1,J1100=0),"仅 VIT-LPS 跟住","都没跟住")))</f>
        <v>两者都跟住</v>
      </c>
      <c r="L1100" s="45" t="n">
        <f aca="false">F1100-G1100</f>
        <v>-0.125557156325256</v>
      </c>
      <c r="M1100" s="46" t="n">
        <v>0.2129778</v>
      </c>
      <c r="N1100" s="46" t="n">
        <v>0.1187917</v>
      </c>
      <c r="O1100" s="46" t="n">
        <v>0.1858967</v>
      </c>
      <c r="P1100" s="46" t="n">
        <v>0.648278</v>
      </c>
      <c r="Q1100" s="46" t="n">
        <v>3.8504322</v>
      </c>
      <c r="R1100" s="46" t="n">
        <v>1.3029927</v>
      </c>
      <c r="S1100" s="47" t="n">
        <f aca="false">M1100+N1100+O1100</f>
        <v>0.5176662</v>
      </c>
      <c r="T1100" s="47" t="n">
        <f aca="false">M1100+P1100</f>
        <v>0.8612558</v>
      </c>
    </row>
    <row r="1101" customFormat="false" ht="15" hidden="false" customHeight="false" outlineLevel="0" collapsed="false">
      <c r="A1101" s="42" t="s">
        <v>45</v>
      </c>
      <c r="B1101" s="42" t="n">
        <v>-14</v>
      </c>
      <c r="C1101" s="42" t="n">
        <v>100</v>
      </c>
      <c r="D1101" s="42" t="n">
        <v>74291015</v>
      </c>
      <c r="E1101" s="43" t="n">
        <v>0.391917606095682</v>
      </c>
      <c r="F1101" s="43" t="n">
        <v>0.559410562087889</v>
      </c>
      <c r="G1101" s="43" t="n">
        <v>0.633871605860225</v>
      </c>
      <c r="H1101" s="43" t="n">
        <v>0.64376816730318</v>
      </c>
      <c r="I1101" s="42" t="n">
        <v>1</v>
      </c>
      <c r="J1101" s="42" t="n">
        <v>1</v>
      </c>
      <c r="K1101" s="44" t="str">
        <f aca="false">IF(AND(I1101=1,J1101=1),"两者都跟住",IF(AND(I1101=0,J1101=1),"仅 PC-TBD 跟住",IF(AND(I1101=1,J1101=0),"仅 VIT-LPS 跟住","都没跟住")))</f>
        <v>两者都跟住</v>
      </c>
      <c r="L1101" s="45" t="n">
        <f aca="false">F1101-G1101</f>
        <v>-0.074461043772336</v>
      </c>
      <c r="M1101" s="46" t="n">
        <v>0.1948357</v>
      </c>
      <c r="N1101" s="46" t="n">
        <v>0.0913851</v>
      </c>
      <c r="O1101" s="46" t="n">
        <v>0.1911324</v>
      </c>
      <c r="P1101" s="46" t="n">
        <v>0.5230632</v>
      </c>
      <c r="Q1101" s="46" t="n">
        <v>3.9033709</v>
      </c>
      <c r="R1101" s="46" t="n">
        <v>1.4020217</v>
      </c>
      <c r="S1101" s="47" t="n">
        <f aca="false">M1101+N1101+O1101</f>
        <v>0.4773532</v>
      </c>
      <c r="T1101" s="47" t="n">
        <f aca="false">M1101+P1101</f>
        <v>0.7178989</v>
      </c>
    </row>
    <row r="1102" customFormat="false" ht="15" hidden="false" customHeight="false" outlineLevel="0" collapsed="false">
      <c r="A1102" s="42" t="s">
        <v>45</v>
      </c>
      <c r="B1102" s="42" t="n">
        <v>-12</v>
      </c>
      <c r="C1102" s="42" t="n">
        <v>1</v>
      </c>
      <c r="D1102" s="42" t="n">
        <v>74290916</v>
      </c>
      <c r="E1102" s="43" t="n">
        <v>0.732281404472622</v>
      </c>
      <c r="F1102" s="43" t="n">
        <v>0.800992743065224</v>
      </c>
      <c r="G1102" s="43" t="n">
        <v>0.808327327380966</v>
      </c>
      <c r="H1102" s="43" t="n">
        <v>0.821769181040185</v>
      </c>
      <c r="I1102" s="42" t="n">
        <v>1</v>
      </c>
      <c r="J1102" s="42" t="n">
        <v>1</v>
      </c>
      <c r="K1102" s="44" t="str">
        <f aca="false">IF(AND(I1102=1,J1102=1),"两者都跟住",IF(AND(I1102=0,J1102=1),"仅 PC-TBD 跟住",IF(AND(I1102=1,J1102=0),"仅 VIT-LPS 跟住","都没跟住")))</f>
        <v>两者都跟住</v>
      </c>
      <c r="L1102" s="45" t="n">
        <f aca="false">F1102-G1102</f>
        <v>-0.00733458431574197</v>
      </c>
      <c r="M1102" s="46" t="n">
        <v>0.6934789</v>
      </c>
      <c r="N1102" s="46" t="n">
        <v>0.3508152</v>
      </c>
      <c r="O1102" s="46" t="n">
        <v>3.6949279</v>
      </c>
      <c r="P1102" s="46" t="n">
        <v>1.106787</v>
      </c>
      <c r="Q1102" s="46" t="n">
        <v>3.4745046</v>
      </c>
      <c r="R1102" s="46" t="n">
        <v>1.9344044</v>
      </c>
      <c r="S1102" s="47" t="n">
        <f aca="false">M1102+N1102+O1102</f>
        <v>4.739222</v>
      </c>
      <c r="T1102" s="47" t="n">
        <f aca="false">M1102+P1102</f>
        <v>1.8002659</v>
      </c>
    </row>
    <row r="1103" customFormat="false" ht="15" hidden="false" customHeight="false" outlineLevel="0" collapsed="false">
      <c r="A1103" s="42" t="s">
        <v>45</v>
      </c>
      <c r="B1103" s="42" t="n">
        <v>-12</v>
      </c>
      <c r="C1103" s="42" t="n">
        <v>2</v>
      </c>
      <c r="D1103" s="42" t="n">
        <v>74290917</v>
      </c>
      <c r="E1103" s="43" t="n">
        <v>0.764816966377172</v>
      </c>
      <c r="F1103" s="43" t="n">
        <v>0.785169078654913</v>
      </c>
      <c r="G1103" s="43" t="n">
        <v>0.8100582559874</v>
      </c>
      <c r="H1103" s="43" t="n">
        <v>0.806218316731201</v>
      </c>
      <c r="I1103" s="42" t="n">
        <v>1</v>
      </c>
      <c r="J1103" s="42" t="n">
        <v>1</v>
      </c>
      <c r="K1103" s="44" t="str">
        <f aca="false">IF(AND(I1103=1,J1103=1),"两者都跟住",IF(AND(I1103=0,J1103=1),"仅 PC-TBD 跟住",IF(AND(I1103=1,J1103=0),"仅 VIT-LPS 跟住","都没跟住")))</f>
        <v>两者都跟住</v>
      </c>
      <c r="L1103" s="45" t="n">
        <f aca="false">F1103-G1103</f>
        <v>-0.024889177332487</v>
      </c>
      <c r="M1103" s="46" t="n">
        <v>0.7606885</v>
      </c>
      <c r="N1103" s="46" t="n">
        <v>0.4095339</v>
      </c>
      <c r="O1103" s="46" t="n">
        <v>3.552954</v>
      </c>
      <c r="P1103" s="46" t="n">
        <v>1.0144171</v>
      </c>
      <c r="Q1103" s="46" t="n">
        <v>3.3431173</v>
      </c>
      <c r="R1103" s="46" t="n">
        <v>2.8126949</v>
      </c>
      <c r="S1103" s="47" t="n">
        <f aca="false">M1103+N1103+O1103</f>
        <v>4.7231764</v>
      </c>
      <c r="T1103" s="47" t="n">
        <f aca="false">M1103+P1103</f>
        <v>1.7751056</v>
      </c>
    </row>
    <row r="1104" customFormat="false" ht="15" hidden="false" customHeight="false" outlineLevel="0" collapsed="false">
      <c r="A1104" s="42" t="s">
        <v>45</v>
      </c>
      <c r="B1104" s="42" t="n">
        <v>-12</v>
      </c>
      <c r="C1104" s="42" t="n">
        <v>3</v>
      </c>
      <c r="D1104" s="42" t="n">
        <v>74290918</v>
      </c>
      <c r="E1104" s="43" t="n">
        <v>0.74743766607461</v>
      </c>
      <c r="F1104" s="43" t="n">
        <v>0.679987950607934</v>
      </c>
      <c r="G1104" s="43" t="n">
        <v>0.687971555789238</v>
      </c>
      <c r="H1104" s="43" t="n">
        <v>0.711356792986803</v>
      </c>
      <c r="I1104" s="42" t="n">
        <v>1</v>
      </c>
      <c r="J1104" s="42" t="n">
        <v>1</v>
      </c>
      <c r="K1104" s="44" t="str">
        <f aca="false">IF(AND(I1104=1,J1104=1),"两者都跟住",IF(AND(I1104=0,J1104=1),"仅 PC-TBD 跟住",IF(AND(I1104=1,J1104=0),"仅 VIT-LPS 跟住","都没跟住")))</f>
        <v>两者都跟住</v>
      </c>
      <c r="L1104" s="45" t="n">
        <f aca="false">F1104-G1104</f>
        <v>-0.00798360518130392</v>
      </c>
      <c r="M1104" s="46" t="n">
        <v>0.727531</v>
      </c>
      <c r="N1104" s="46" t="n">
        <v>0.3854632</v>
      </c>
      <c r="O1104" s="46" t="n">
        <v>3.5600697</v>
      </c>
      <c r="P1104" s="46" t="n">
        <v>1.0879585</v>
      </c>
      <c r="Q1104" s="46" t="n">
        <v>3.1700588</v>
      </c>
      <c r="R1104" s="46" t="n">
        <v>2.5125646</v>
      </c>
      <c r="S1104" s="47" t="n">
        <f aca="false">M1104+N1104+O1104</f>
        <v>4.6730639</v>
      </c>
      <c r="T1104" s="47" t="n">
        <f aca="false">M1104+P1104</f>
        <v>1.8154895</v>
      </c>
    </row>
    <row r="1105" customFormat="false" ht="15" hidden="false" customHeight="false" outlineLevel="0" collapsed="false">
      <c r="A1105" s="42" t="s">
        <v>45</v>
      </c>
      <c r="B1105" s="42" t="n">
        <v>-12</v>
      </c>
      <c r="C1105" s="42" t="n">
        <v>4</v>
      </c>
      <c r="D1105" s="42" t="n">
        <v>74290919</v>
      </c>
      <c r="E1105" s="43" t="n">
        <v>0.595978366954425</v>
      </c>
      <c r="F1105" s="43" t="n">
        <v>0.696575004676413</v>
      </c>
      <c r="G1105" s="43" t="n">
        <v>0.805087756453883</v>
      </c>
      <c r="H1105" s="43" t="n">
        <v>0.778997339763791</v>
      </c>
      <c r="I1105" s="42" t="n">
        <v>1</v>
      </c>
      <c r="J1105" s="42" t="n">
        <v>1</v>
      </c>
      <c r="K1105" s="44" t="str">
        <f aca="false">IF(AND(I1105=1,J1105=1),"两者都跟住",IF(AND(I1105=0,J1105=1),"仅 PC-TBD 跟住",IF(AND(I1105=1,J1105=0),"仅 VIT-LPS 跟住","都没跟住")))</f>
        <v>两者都跟住</v>
      </c>
      <c r="L1105" s="45" t="n">
        <f aca="false">F1105-G1105</f>
        <v>-0.10851275177747</v>
      </c>
      <c r="M1105" s="46" t="n">
        <v>0.738148</v>
      </c>
      <c r="N1105" s="46" t="n">
        <v>0.4329367</v>
      </c>
      <c r="O1105" s="46" t="n">
        <v>3.586572</v>
      </c>
      <c r="P1105" s="46" t="n">
        <v>1.0621952</v>
      </c>
      <c r="Q1105" s="46" t="n">
        <v>3.6059007</v>
      </c>
      <c r="R1105" s="46" t="n">
        <v>2.708983</v>
      </c>
      <c r="S1105" s="47" t="n">
        <f aca="false">M1105+N1105+O1105</f>
        <v>4.7576567</v>
      </c>
      <c r="T1105" s="47" t="n">
        <f aca="false">M1105+P1105</f>
        <v>1.8003432</v>
      </c>
    </row>
    <row r="1106" customFormat="false" ht="15" hidden="false" customHeight="false" outlineLevel="0" collapsed="false">
      <c r="A1106" s="42" t="s">
        <v>45</v>
      </c>
      <c r="B1106" s="42" t="n">
        <v>-12</v>
      </c>
      <c r="C1106" s="42" t="n">
        <v>5</v>
      </c>
      <c r="D1106" s="42" t="n">
        <v>74290920</v>
      </c>
      <c r="E1106" s="43" t="n">
        <v>0.756912344919833</v>
      </c>
      <c r="F1106" s="43" t="n">
        <v>0.78207185921576</v>
      </c>
      <c r="G1106" s="43" t="n">
        <v>0.793957738380286</v>
      </c>
      <c r="H1106" s="43" t="n">
        <v>0.802869251948242</v>
      </c>
      <c r="I1106" s="42" t="n">
        <v>1</v>
      </c>
      <c r="J1106" s="42" t="n">
        <v>1</v>
      </c>
      <c r="K1106" s="44" t="str">
        <f aca="false">IF(AND(I1106=1,J1106=1),"两者都跟住",IF(AND(I1106=0,J1106=1),"仅 PC-TBD 跟住",IF(AND(I1106=1,J1106=0),"仅 VIT-LPS 跟住","都没跟住")))</f>
        <v>两者都跟住</v>
      </c>
      <c r="L1106" s="45" t="n">
        <f aca="false">F1106-G1106</f>
        <v>-0.0118858791645261</v>
      </c>
      <c r="M1106" s="46" t="n">
        <v>0.7105042</v>
      </c>
      <c r="N1106" s="46" t="n">
        <v>0.336105</v>
      </c>
      <c r="O1106" s="46" t="n">
        <v>3.6574519</v>
      </c>
      <c r="P1106" s="46" t="n">
        <v>1.0542114</v>
      </c>
      <c r="Q1106" s="46" t="n">
        <v>3.6565049</v>
      </c>
      <c r="R1106" s="46" t="n">
        <v>2.6409905</v>
      </c>
      <c r="S1106" s="47" t="n">
        <f aca="false">M1106+N1106+O1106</f>
        <v>4.7040611</v>
      </c>
      <c r="T1106" s="47" t="n">
        <f aca="false">M1106+P1106</f>
        <v>1.7647156</v>
      </c>
    </row>
    <row r="1107" customFormat="false" ht="15" hidden="false" customHeight="false" outlineLevel="0" collapsed="false">
      <c r="A1107" s="42" t="s">
        <v>45</v>
      </c>
      <c r="B1107" s="42" t="n">
        <v>-12</v>
      </c>
      <c r="C1107" s="42" t="n">
        <v>6</v>
      </c>
      <c r="D1107" s="42" t="n">
        <v>74290921</v>
      </c>
      <c r="E1107" s="43" t="n">
        <v>0.783286570237014</v>
      </c>
      <c r="F1107" s="43" t="n">
        <v>0.806777270312771</v>
      </c>
      <c r="G1107" s="43" t="n">
        <v>0.811373244560107</v>
      </c>
      <c r="H1107" s="43" t="n">
        <v>0.821583472230064</v>
      </c>
      <c r="I1107" s="42" t="n">
        <v>1</v>
      </c>
      <c r="J1107" s="42" t="n">
        <v>1</v>
      </c>
      <c r="K1107" s="44" t="str">
        <f aca="false">IF(AND(I1107=1,J1107=1),"两者都跟住",IF(AND(I1107=0,J1107=1),"仅 PC-TBD 跟住",IF(AND(I1107=1,J1107=0),"仅 VIT-LPS 跟住","都没跟住")))</f>
        <v>两者都跟住</v>
      </c>
      <c r="L1107" s="45" t="n">
        <f aca="false">F1107-G1107</f>
        <v>-0.00459597424733593</v>
      </c>
      <c r="M1107" s="46" t="n">
        <v>0.7420658</v>
      </c>
      <c r="N1107" s="46" t="n">
        <v>0.4151319</v>
      </c>
      <c r="O1107" s="46" t="n">
        <v>3.5249138</v>
      </c>
      <c r="P1107" s="46" t="n">
        <v>0.9999979</v>
      </c>
      <c r="Q1107" s="46" t="n">
        <v>3.2733957</v>
      </c>
      <c r="R1107" s="46" t="n">
        <v>2.6896229</v>
      </c>
      <c r="S1107" s="47" t="n">
        <f aca="false">M1107+N1107+O1107</f>
        <v>4.6821115</v>
      </c>
      <c r="T1107" s="47" t="n">
        <f aca="false">M1107+P1107</f>
        <v>1.7420637</v>
      </c>
    </row>
    <row r="1108" customFormat="false" ht="15" hidden="false" customHeight="false" outlineLevel="0" collapsed="false">
      <c r="A1108" s="42" t="s">
        <v>45</v>
      </c>
      <c r="B1108" s="42" t="n">
        <v>-12</v>
      </c>
      <c r="C1108" s="42" t="n">
        <v>7</v>
      </c>
      <c r="D1108" s="42" t="n">
        <v>74290922</v>
      </c>
      <c r="E1108" s="43" t="n">
        <v>0.623016368837236</v>
      </c>
      <c r="F1108" s="43" t="n">
        <v>0.758344191084443</v>
      </c>
      <c r="G1108" s="43" t="n">
        <v>0.798478317487376</v>
      </c>
      <c r="H1108" s="43" t="n">
        <v>0.816113598799451</v>
      </c>
      <c r="I1108" s="42" t="n">
        <v>1</v>
      </c>
      <c r="J1108" s="42" t="n">
        <v>1</v>
      </c>
      <c r="K1108" s="44" t="str">
        <f aca="false">IF(AND(I1108=1,J1108=1),"两者都跟住",IF(AND(I1108=0,J1108=1),"仅 PC-TBD 跟住",IF(AND(I1108=1,J1108=0),"仅 VIT-LPS 跟住","都没跟住")))</f>
        <v>两者都跟住</v>
      </c>
      <c r="L1108" s="45" t="n">
        <f aca="false">F1108-G1108</f>
        <v>-0.040134126402933</v>
      </c>
      <c r="M1108" s="46" t="n">
        <v>0.2045267</v>
      </c>
      <c r="N1108" s="46" t="n">
        <v>0.0932571</v>
      </c>
      <c r="O1108" s="46" t="n">
        <v>0.2633666</v>
      </c>
      <c r="P1108" s="46" t="n">
        <v>0.5439354</v>
      </c>
      <c r="Q1108" s="46" t="n">
        <v>1.5856857</v>
      </c>
      <c r="R1108" s="46" t="n">
        <v>1.1404522</v>
      </c>
      <c r="S1108" s="47" t="n">
        <f aca="false">M1108+N1108+O1108</f>
        <v>0.5611504</v>
      </c>
      <c r="T1108" s="47" t="n">
        <f aca="false">M1108+P1108</f>
        <v>0.7484621</v>
      </c>
    </row>
    <row r="1109" customFormat="false" ht="15" hidden="false" customHeight="false" outlineLevel="0" collapsed="false">
      <c r="A1109" s="42" t="s">
        <v>45</v>
      </c>
      <c r="B1109" s="42" t="n">
        <v>-12</v>
      </c>
      <c r="C1109" s="42" t="n">
        <v>8</v>
      </c>
      <c r="D1109" s="42" t="n">
        <v>74290923</v>
      </c>
      <c r="E1109" s="43" t="n">
        <v>0.74091572005637</v>
      </c>
      <c r="F1109" s="43" t="n">
        <v>0.770970322475383</v>
      </c>
      <c r="G1109" s="43" t="n">
        <v>0.78882881888734</v>
      </c>
      <c r="H1109" s="43" t="n">
        <v>0.798682355037577</v>
      </c>
      <c r="I1109" s="42" t="n">
        <v>1</v>
      </c>
      <c r="J1109" s="42" t="n">
        <v>1</v>
      </c>
      <c r="K1109" s="44" t="str">
        <f aca="false">IF(AND(I1109=1,J1109=1),"两者都跟住",IF(AND(I1109=0,J1109=1),"仅 PC-TBD 跟住",IF(AND(I1109=1,J1109=0),"仅 VIT-LPS 跟住","都没跟住")))</f>
        <v>两者都跟住</v>
      </c>
      <c r="L1109" s="45" t="n">
        <f aca="false">F1109-G1109</f>
        <v>-0.017858496411957</v>
      </c>
      <c r="M1109" s="46" t="n">
        <v>0.2274423</v>
      </c>
      <c r="N1109" s="46" t="n">
        <v>0.1472453</v>
      </c>
      <c r="O1109" s="46" t="n">
        <v>0.344581</v>
      </c>
      <c r="P1109" s="46" t="n">
        <v>0.6487045</v>
      </c>
      <c r="Q1109" s="46" t="n">
        <v>1.9076907</v>
      </c>
      <c r="R1109" s="46" t="n">
        <v>1.7683319</v>
      </c>
      <c r="S1109" s="47" t="n">
        <f aca="false">M1109+N1109+O1109</f>
        <v>0.7192686</v>
      </c>
      <c r="T1109" s="47" t="n">
        <f aca="false">M1109+P1109</f>
        <v>0.8761468</v>
      </c>
    </row>
    <row r="1110" customFormat="false" ht="15" hidden="false" customHeight="false" outlineLevel="0" collapsed="false">
      <c r="A1110" s="42" t="s">
        <v>45</v>
      </c>
      <c r="B1110" s="42" t="n">
        <v>-12</v>
      </c>
      <c r="C1110" s="42" t="n">
        <v>9</v>
      </c>
      <c r="D1110" s="42" t="n">
        <v>74290924</v>
      </c>
      <c r="E1110" s="43" t="n">
        <v>0.762870325959162</v>
      </c>
      <c r="F1110" s="43" t="n">
        <v>0.807409885722732</v>
      </c>
      <c r="G1110" s="43" t="n">
        <v>0.819968261714148</v>
      </c>
      <c r="H1110" s="43" t="n">
        <v>0.818849028193947</v>
      </c>
      <c r="I1110" s="42" t="n">
        <v>1</v>
      </c>
      <c r="J1110" s="42" t="n">
        <v>1</v>
      </c>
      <c r="K1110" s="44" t="str">
        <f aca="false">IF(AND(I1110=1,J1110=1),"两者都跟住",IF(AND(I1110=0,J1110=1),"仅 PC-TBD 跟住",IF(AND(I1110=1,J1110=0),"仅 VIT-LPS 跟住","都没跟住")))</f>
        <v>两者都跟住</v>
      </c>
      <c r="L1110" s="45" t="n">
        <f aca="false">F1110-G1110</f>
        <v>-0.0125583759914161</v>
      </c>
      <c r="M1110" s="46" t="n">
        <v>0.2149736</v>
      </c>
      <c r="N1110" s="46" t="n">
        <v>0.1379235</v>
      </c>
      <c r="O1110" s="46" t="n">
        <v>0.3634972</v>
      </c>
      <c r="P1110" s="46" t="n">
        <v>0.7072884</v>
      </c>
      <c r="Q1110" s="46" t="n">
        <v>1.8524794</v>
      </c>
      <c r="R1110" s="46" t="n">
        <v>1.4863102</v>
      </c>
      <c r="S1110" s="47" t="n">
        <f aca="false">M1110+N1110+O1110</f>
        <v>0.7163943</v>
      </c>
      <c r="T1110" s="47" t="n">
        <f aca="false">M1110+P1110</f>
        <v>0.922262</v>
      </c>
    </row>
    <row r="1111" customFormat="false" ht="15" hidden="false" customHeight="false" outlineLevel="0" collapsed="false">
      <c r="A1111" s="42" t="s">
        <v>45</v>
      </c>
      <c r="B1111" s="42" t="n">
        <v>-12</v>
      </c>
      <c r="C1111" s="42" t="n">
        <v>10</v>
      </c>
      <c r="D1111" s="42" t="n">
        <v>74290925</v>
      </c>
      <c r="E1111" s="43" t="n">
        <v>0.683808823999819</v>
      </c>
      <c r="F1111" s="43" t="n">
        <v>0.788481713671507</v>
      </c>
      <c r="G1111" s="43" t="n">
        <v>0.818224625906767</v>
      </c>
      <c r="H1111" s="43" t="n">
        <v>0.807651229116387</v>
      </c>
      <c r="I1111" s="42" t="n">
        <v>1</v>
      </c>
      <c r="J1111" s="42" t="n">
        <v>1</v>
      </c>
      <c r="K1111" s="44" t="str">
        <f aca="false">IF(AND(I1111=1,J1111=1),"两者都跟住",IF(AND(I1111=0,J1111=1),"仅 PC-TBD 跟住",IF(AND(I1111=1,J1111=0),"仅 VIT-LPS 跟住","都没跟住")))</f>
        <v>两者都跟住</v>
      </c>
      <c r="L1111" s="45" t="n">
        <f aca="false">F1111-G1111</f>
        <v>-0.02974291223526</v>
      </c>
      <c r="M1111" s="46" t="n">
        <v>0.2447465</v>
      </c>
      <c r="N1111" s="46" t="n">
        <v>0.1349296</v>
      </c>
      <c r="O1111" s="46" t="n">
        <v>0.2982139</v>
      </c>
      <c r="P1111" s="46" t="n">
        <v>0.5208467</v>
      </c>
      <c r="Q1111" s="46" t="n">
        <v>1.7794797</v>
      </c>
      <c r="R1111" s="46" t="n">
        <v>1.2961319</v>
      </c>
      <c r="S1111" s="47" t="n">
        <f aca="false">M1111+N1111+O1111</f>
        <v>0.67789</v>
      </c>
      <c r="T1111" s="47" t="n">
        <f aca="false">M1111+P1111</f>
        <v>0.7655932</v>
      </c>
    </row>
    <row r="1112" customFormat="false" ht="15" hidden="false" customHeight="false" outlineLevel="0" collapsed="false">
      <c r="A1112" s="42" t="s">
        <v>45</v>
      </c>
      <c r="B1112" s="42" t="n">
        <v>-12</v>
      </c>
      <c r="C1112" s="42" t="n">
        <v>11</v>
      </c>
      <c r="D1112" s="42" t="n">
        <v>74290926</v>
      </c>
      <c r="E1112" s="43" t="n">
        <v>0.736735393192301</v>
      </c>
      <c r="F1112" s="43" t="n">
        <v>0.804492861601512</v>
      </c>
      <c r="G1112" s="43" t="n">
        <v>0.806921042401193</v>
      </c>
      <c r="H1112" s="43" t="n">
        <v>0.836624924937828</v>
      </c>
      <c r="I1112" s="42" t="n">
        <v>1</v>
      </c>
      <c r="J1112" s="42" t="n">
        <v>1</v>
      </c>
      <c r="K1112" s="44" t="str">
        <f aca="false">IF(AND(I1112=1,J1112=1),"两者都跟住",IF(AND(I1112=0,J1112=1),"仅 PC-TBD 跟住",IF(AND(I1112=1,J1112=0),"仅 VIT-LPS 跟住","都没跟住")))</f>
        <v>两者都跟住</v>
      </c>
      <c r="L1112" s="45" t="n">
        <f aca="false">F1112-G1112</f>
        <v>-0.00242818079968099</v>
      </c>
      <c r="M1112" s="46" t="n">
        <v>0.332766</v>
      </c>
      <c r="N1112" s="46" t="n">
        <v>0.170254</v>
      </c>
      <c r="O1112" s="46" t="n">
        <v>0.3083423</v>
      </c>
      <c r="P1112" s="46" t="n">
        <v>0.9087393</v>
      </c>
      <c r="Q1112" s="46" t="n">
        <v>2.9400124</v>
      </c>
      <c r="R1112" s="46" t="n">
        <v>2.611257</v>
      </c>
      <c r="S1112" s="47" t="n">
        <f aca="false">M1112+N1112+O1112</f>
        <v>0.8113623</v>
      </c>
      <c r="T1112" s="47" t="n">
        <f aca="false">M1112+P1112</f>
        <v>1.2415053</v>
      </c>
    </row>
    <row r="1113" customFormat="false" ht="15" hidden="false" customHeight="false" outlineLevel="0" collapsed="false">
      <c r="A1113" s="42" t="s">
        <v>45</v>
      </c>
      <c r="B1113" s="42" t="n">
        <v>-12</v>
      </c>
      <c r="C1113" s="42" t="n">
        <v>12</v>
      </c>
      <c r="D1113" s="42" t="n">
        <v>74290927</v>
      </c>
      <c r="E1113" s="43" t="n">
        <v>0.754230718842219</v>
      </c>
      <c r="F1113" s="43" t="n">
        <v>0.783883231498324</v>
      </c>
      <c r="G1113" s="43" t="n">
        <v>0.807978188724662</v>
      </c>
      <c r="H1113" s="43" t="n">
        <v>0.803834196987423</v>
      </c>
      <c r="I1113" s="42" t="n">
        <v>1</v>
      </c>
      <c r="J1113" s="42" t="n">
        <v>1</v>
      </c>
      <c r="K1113" s="44" t="str">
        <f aca="false">IF(AND(I1113=1,J1113=1),"两者都跟住",IF(AND(I1113=0,J1113=1),"仅 PC-TBD 跟住",IF(AND(I1113=1,J1113=0),"仅 VIT-LPS 跟住","都没跟住")))</f>
        <v>两者都跟住</v>
      </c>
      <c r="L1113" s="45" t="n">
        <f aca="false">F1113-G1113</f>
        <v>-0.024094957226338</v>
      </c>
      <c r="M1113" s="46" t="n">
        <v>0.2821341</v>
      </c>
      <c r="N1113" s="46" t="n">
        <v>0.1439046</v>
      </c>
      <c r="O1113" s="46" t="n">
        <v>0.3243048</v>
      </c>
      <c r="P1113" s="46" t="n">
        <v>0.8530272</v>
      </c>
      <c r="Q1113" s="46" t="n">
        <v>2.4224844</v>
      </c>
      <c r="R1113" s="46" t="n">
        <v>2.1248651</v>
      </c>
      <c r="S1113" s="47" t="n">
        <f aca="false">M1113+N1113+O1113</f>
        <v>0.7503435</v>
      </c>
      <c r="T1113" s="47" t="n">
        <f aca="false">M1113+P1113</f>
        <v>1.1351613</v>
      </c>
    </row>
    <row r="1114" customFormat="false" ht="15" hidden="false" customHeight="false" outlineLevel="0" collapsed="false">
      <c r="A1114" s="42" t="s">
        <v>45</v>
      </c>
      <c r="B1114" s="42" t="n">
        <v>-12</v>
      </c>
      <c r="C1114" s="42" t="n">
        <v>13</v>
      </c>
      <c r="D1114" s="42" t="n">
        <v>74290928</v>
      </c>
      <c r="E1114" s="43" t="n">
        <v>0.72095624157056</v>
      </c>
      <c r="F1114" s="43" t="n">
        <v>0.798868837618532</v>
      </c>
      <c r="G1114" s="43" t="n">
        <v>0.80781906944704</v>
      </c>
      <c r="H1114" s="43" t="n">
        <v>0.823176142572717</v>
      </c>
      <c r="I1114" s="42" t="n">
        <v>1</v>
      </c>
      <c r="J1114" s="42" t="n">
        <v>1</v>
      </c>
      <c r="K1114" s="44" t="str">
        <f aca="false">IF(AND(I1114=1,J1114=1),"两者都跟住",IF(AND(I1114=0,J1114=1),"仅 PC-TBD 跟住",IF(AND(I1114=1,J1114=0),"仅 VIT-LPS 跟住","都没跟住")))</f>
        <v>两者都跟住</v>
      </c>
      <c r="L1114" s="45" t="n">
        <f aca="false">F1114-G1114</f>
        <v>-0.00895023182850796</v>
      </c>
      <c r="M1114" s="46" t="n">
        <v>0.3078106</v>
      </c>
      <c r="N1114" s="46" t="n">
        <v>0.1695169</v>
      </c>
      <c r="O1114" s="46" t="n">
        <v>0.3145695</v>
      </c>
      <c r="P1114" s="46" t="n">
        <v>1.0337927</v>
      </c>
      <c r="Q1114" s="46" t="n">
        <v>2.6052405</v>
      </c>
      <c r="R1114" s="46" t="n">
        <v>2.4923791</v>
      </c>
      <c r="S1114" s="47" t="n">
        <f aca="false">M1114+N1114+O1114</f>
        <v>0.791897</v>
      </c>
      <c r="T1114" s="47" t="n">
        <f aca="false">M1114+P1114</f>
        <v>1.3416033</v>
      </c>
    </row>
    <row r="1115" customFormat="false" ht="15" hidden="false" customHeight="false" outlineLevel="0" collapsed="false">
      <c r="A1115" s="42" t="s">
        <v>45</v>
      </c>
      <c r="B1115" s="42" t="n">
        <v>-12</v>
      </c>
      <c r="C1115" s="42" t="n">
        <v>14</v>
      </c>
      <c r="D1115" s="42" t="n">
        <v>74290929</v>
      </c>
      <c r="E1115" s="43" t="n">
        <v>0.73772492356754</v>
      </c>
      <c r="F1115" s="43" t="n">
        <v>0.800949646945277</v>
      </c>
      <c r="G1115" s="43" t="n">
        <v>0.816173113625859</v>
      </c>
      <c r="H1115" s="43" t="n">
        <v>0.833096298813547</v>
      </c>
      <c r="I1115" s="42" t="n">
        <v>1</v>
      </c>
      <c r="J1115" s="42" t="n">
        <v>1</v>
      </c>
      <c r="K1115" s="44" t="str">
        <f aca="false">IF(AND(I1115=1,J1115=1),"两者都跟住",IF(AND(I1115=0,J1115=1),"仅 PC-TBD 跟住",IF(AND(I1115=1,J1115=0),"仅 VIT-LPS 跟住","都没跟住")))</f>
        <v>两者都跟住</v>
      </c>
      <c r="L1115" s="45" t="n">
        <f aca="false">F1115-G1115</f>
        <v>-0.0152234666805819</v>
      </c>
      <c r="M1115" s="46" t="n">
        <v>0.3321265</v>
      </c>
      <c r="N1115" s="46" t="n">
        <v>0.1622584</v>
      </c>
      <c r="O1115" s="46" t="n">
        <v>0.2907647</v>
      </c>
      <c r="P1115" s="46" t="n">
        <v>1.0391458</v>
      </c>
      <c r="Q1115" s="46" t="n">
        <v>2.8388305</v>
      </c>
      <c r="R1115" s="46" t="n">
        <v>2.6361714</v>
      </c>
      <c r="S1115" s="47" t="n">
        <f aca="false">M1115+N1115+O1115</f>
        <v>0.7851496</v>
      </c>
      <c r="T1115" s="47" t="n">
        <f aca="false">M1115+P1115</f>
        <v>1.3712723</v>
      </c>
    </row>
    <row r="1116" customFormat="false" ht="15" hidden="false" customHeight="false" outlineLevel="0" collapsed="false">
      <c r="A1116" s="42" t="s">
        <v>45</v>
      </c>
      <c r="B1116" s="42" t="n">
        <v>-12</v>
      </c>
      <c r="C1116" s="42" t="n">
        <v>15</v>
      </c>
      <c r="D1116" s="42" t="n">
        <v>74290930</v>
      </c>
      <c r="E1116" s="43" t="n">
        <v>0.727479237136513</v>
      </c>
      <c r="F1116" s="43" t="n">
        <v>0.751900826287766</v>
      </c>
      <c r="G1116" s="43" t="n">
        <v>0.726961864292886</v>
      </c>
      <c r="H1116" s="43" t="n">
        <v>0.740378580821239</v>
      </c>
      <c r="I1116" s="42" t="n">
        <v>1</v>
      </c>
      <c r="J1116" s="42" t="n">
        <v>1</v>
      </c>
      <c r="K1116" s="44" t="str">
        <f aca="false">IF(AND(I1116=1,J1116=1),"两者都跟住",IF(AND(I1116=0,J1116=1),"仅 PC-TBD 跟住",IF(AND(I1116=1,J1116=0),"仅 VIT-LPS 跟住","都没跟住")))</f>
        <v>两者都跟住</v>
      </c>
      <c r="L1116" s="45" t="n">
        <f aca="false">F1116-G1116</f>
        <v>0.02493896199488</v>
      </c>
      <c r="M1116" s="46" t="n">
        <v>0.3219271</v>
      </c>
      <c r="N1116" s="46" t="n">
        <v>0.1590748</v>
      </c>
      <c r="O1116" s="46" t="n">
        <v>0.375753</v>
      </c>
      <c r="P1116" s="46" t="n">
        <v>1.0271634</v>
      </c>
      <c r="Q1116" s="46" t="n">
        <v>2.5745382</v>
      </c>
      <c r="R1116" s="46" t="n">
        <v>2.7359871</v>
      </c>
      <c r="S1116" s="47" t="n">
        <f aca="false">M1116+N1116+O1116</f>
        <v>0.8567549</v>
      </c>
      <c r="T1116" s="47" t="n">
        <f aca="false">M1116+P1116</f>
        <v>1.3490905</v>
      </c>
    </row>
    <row r="1117" customFormat="false" ht="15" hidden="false" customHeight="false" outlineLevel="0" collapsed="false">
      <c r="A1117" s="42" t="s">
        <v>45</v>
      </c>
      <c r="B1117" s="42" t="n">
        <v>-12</v>
      </c>
      <c r="C1117" s="42" t="n">
        <v>16</v>
      </c>
      <c r="D1117" s="42" t="n">
        <v>74290931</v>
      </c>
      <c r="E1117" s="43" t="n">
        <v>0.730549368328807</v>
      </c>
      <c r="F1117" s="43" t="n">
        <v>0.805336863343167</v>
      </c>
      <c r="G1117" s="43" t="n">
        <v>0.818937791168189</v>
      </c>
      <c r="H1117" s="43" t="n">
        <v>0.82396413490281</v>
      </c>
      <c r="I1117" s="42" t="n">
        <v>1</v>
      </c>
      <c r="J1117" s="42" t="n">
        <v>1</v>
      </c>
      <c r="K1117" s="44" t="str">
        <f aca="false">IF(AND(I1117=1,J1117=1),"两者都跟住",IF(AND(I1117=0,J1117=1),"仅 PC-TBD 跟住",IF(AND(I1117=1,J1117=0),"仅 VIT-LPS 跟住","都没跟住")))</f>
        <v>两者都跟住</v>
      </c>
      <c r="L1117" s="45" t="n">
        <f aca="false">F1117-G1117</f>
        <v>-0.013600927825022</v>
      </c>
      <c r="M1117" s="46" t="n">
        <v>0.3095633</v>
      </c>
      <c r="N1117" s="46" t="n">
        <v>0.1535543</v>
      </c>
      <c r="O1117" s="46" t="n">
        <v>0.4042136</v>
      </c>
      <c r="P1117" s="46" t="n">
        <v>1.0126518</v>
      </c>
      <c r="Q1117" s="46" t="n">
        <v>1.9980935</v>
      </c>
      <c r="R1117" s="46" t="n">
        <v>2.6562771</v>
      </c>
      <c r="S1117" s="47" t="n">
        <f aca="false">M1117+N1117+O1117</f>
        <v>0.8673312</v>
      </c>
      <c r="T1117" s="47" t="n">
        <f aca="false">M1117+P1117</f>
        <v>1.3222151</v>
      </c>
    </row>
    <row r="1118" customFormat="false" ht="15" hidden="false" customHeight="false" outlineLevel="0" collapsed="false">
      <c r="A1118" s="42" t="s">
        <v>45</v>
      </c>
      <c r="B1118" s="42" t="n">
        <v>-12</v>
      </c>
      <c r="C1118" s="42" t="n">
        <v>17</v>
      </c>
      <c r="D1118" s="42" t="n">
        <v>74290932</v>
      </c>
      <c r="E1118" s="43" t="n">
        <v>0.717954374478873</v>
      </c>
      <c r="F1118" s="43" t="n">
        <v>0.773702129269093</v>
      </c>
      <c r="G1118" s="43" t="n">
        <v>0.816583773112951</v>
      </c>
      <c r="H1118" s="43" t="n">
        <v>0.803512832119649</v>
      </c>
      <c r="I1118" s="42" t="n">
        <v>1</v>
      </c>
      <c r="J1118" s="42" t="n">
        <v>1</v>
      </c>
      <c r="K1118" s="44" t="str">
        <f aca="false">IF(AND(I1118=1,J1118=1),"两者都跟住",IF(AND(I1118=0,J1118=1),"仅 PC-TBD 跟住",IF(AND(I1118=1,J1118=0),"仅 VIT-LPS 跟住","都没跟住")))</f>
        <v>两者都跟住</v>
      </c>
      <c r="L1118" s="45" t="n">
        <f aca="false">F1118-G1118</f>
        <v>-0.0428816438438581</v>
      </c>
      <c r="M1118" s="46" t="n">
        <v>0.1567337</v>
      </c>
      <c r="N1118" s="46" t="n">
        <v>0.0980697</v>
      </c>
      <c r="O1118" s="46" t="n">
        <v>0.2375335</v>
      </c>
      <c r="P1118" s="46" t="n">
        <v>0.6003926</v>
      </c>
      <c r="Q1118" s="46" t="n">
        <v>2.0737466</v>
      </c>
      <c r="R1118" s="46" t="n">
        <v>1.5930201</v>
      </c>
      <c r="S1118" s="47" t="n">
        <f aca="false">M1118+N1118+O1118</f>
        <v>0.4923369</v>
      </c>
      <c r="T1118" s="47" t="n">
        <f aca="false">M1118+P1118</f>
        <v>0.7571263</v>
      </c>
    </row>
    <row r="1119" customFormat="false" ht="15" hidden="false" customHeight="false" outlineLevel="0" collapsed="false">
      <c r="A1119" s="42" t="s">
        <v>45</v>
      </c>
      <c r="B1119" s="42" t="n">
        <v>-12</v>
      </c>
      <c r="C1119" s="42" t="n">
        <v>18</v>
      </c>
      <c r="D1119" s="42" t="n">
        <v>74290933</v>
      </c>
      <c r="E1119" s="43" t="n">
        <v>0.740533720365538</v>
      </c>
      <c r="F1119" s="43" t="n">
        <v>0.735158272378976</v>
      </c>
      <c r="G1119" s="43" t="n">
        <v>0.802994068853402</v>
      </c>
      <c r="H1119" s="43" t="n">
        <v>0.830073950040754</v>
      </c>
      <c r="I1119" s="42" t="n">
        <v>1</v>
      </c>
      <c r="J1119" s="42" t="n">
        <v>1</v>
      </c>
      <c r="K1119" s="44" t="str">
        <f aca="false">IF(AND(I1119=1,J1119=1),"两者都跟住",IF(AND(I1119=0,J1119=1),"仅 PC-TBD 跟住",IF(AND(I1119=1,J1119=0),"仅 VIT-LPS 跟住","都没跟住")))</f>
        <v>两者都跟住</v>
      </c>
      <c r="L1119" s="45" t="n">
        <f aca="false">F1119-G1119</f>
        <v>-0.067835796474426</v>
      </c>
      <c r="M1119" s="46" t="n">
        <v>0.2248413</v>
      </c>
      <c r="N1119" s="46" t="n">
        <v>0.1556369</v>
      </c>
      <c r="O1119" s="46" t="n">
        <v>0.3763996</v>
      </c>
      <c r="P1119" s="46" t="n">
        <v>0.907999</v>
      </c>
      <c r="Q1119" s="46" t="n">
        <v>3.8456691</v>
      </c>
      <c r="R1119" s="46" t="n">
        <v>1.617272</v>
      </c>
      <c r="S1119" s="47" t="n">
        <f aca="false">M1119+N1119+O1119</f>
        <v>0.7568778</v>
      </c>
      <c r="T1119" s="47" t="n">
        <f aca="false">M1119+P1119</f>
        <v>1.1328403</v>
      </c>
    </row>
    <row r="1120" customFormat="false" ht="15" hidden="false" customHeight="false" outlineLevel="0" collapsed="false">
      <c r="A1120" s="42" t="s">
        <v>45</v>
      </c>
      <c r="B1120" s="42" t="n">
        <v>-12</v>
      </c>
      <c r="C1120" s="42" t="n">
        <v>19</v>
      </c>
      <c r="D1120" s="42" t="n">
        <v>74290934</v>
      </c>
      <c r="E1120" s="43" t="n">
        <v>0.723071656012401</v>
      </c>
      <c r="F1120" s="43" t="n">
        <v>0.774578748999066</v>
      </c>
      <c r="G1120" s="43" t="n">
        <v>0.743614024729221</v>
      </c>
      <c r="H1120" s="43" t="n">
        <v>0.762794725676665</v>
      </c>
      <c r="I1120" s="42" t="n">
        <v>1</v>
      </c>
      <c r="J1120" s="42" t="n">
        <v>1</v>
      </c>
      <c r="K1120" s="44" t="str">
        <f aca="false">IF(AND(I1120=1,J1120=1),"两者都跟住",IF(AND(I1120=0,J1120=1),"仅 PC-TBD 跟住",IF(AND(I1120=1,J1120=0),"仅 VIT-LPS 跟住","都没跟住")))</f>
        <v>两者都跟住</v>
      </c>
      <c r="L1120" s="45" t="n">
        <f aca="false">F1120-G1120</f>
        <v>0.030964724269845</v>
      </c>
      <c r="M1120" s="46" t="n">
        <v>0.2806888</v>
      </c>
      <c r="N1120" s="46" t="n">
        <v>0.152096</v>
      </c>
      <c r="O1120" s="46" t="n">
        <v>0.3917014</v>
      </c>
      <c r="P1120" s="46" t="n">
        <v>0.8139437</v>
      </c>
      <c r="Q1120" s="46" t="n">
        <v>1.7352412</v>
      </c>
      <c r="R1120" s="46" t="n">
        <v>1.9759708</v>
      </c>
      <c r="S1120" s="47" t="n">
        <f aca="false">M1120+N1120+O1120</f>
        <v>0.8244862</v>
      </c>
      <c r="T1120" s="47" t="n">
        <f aca="false">M1120+P1120</f>
        <v>1.0946325</v>
      </c>
    </row>
    <row r="1121" customFormat="false" ht="15" hidden="false" customHeight="false" outlineLevel="0" collapsed="false">
      <c r="A1121" s="42" t="s">
        <v>45</v>
      </c>
      <c r="B1121" s="42" t="n">
        <v>-12</v>
      </c>
      <c r="C1121" s="42" t="n">
        <v>20</v>
      </c>
      <c r="D1121" s="42" t="n">
        <v>74290935</v>
      </c>
      <c r="E1121" s="43" t="n">
        <v>0.720634293896857</v>
      </c>
      <c r="F1121" s="43" t="n">
        <v>0.767730736074698</v>
      </c>
      <c r="G1121" s="43" t="n">
        <v>0.766147735697924</v>
      </c>
      <c r="H1121" s="43" t="n">
        <v>0.786500428225004</v>
      </c>
      <c r="I1121" s="42" t="n">
        <v>1</v>
      </c>
      <c r="J1121" s="42" t="n">
        <v>1</v>
      </c>
      <c r="K1121" s="44" t="str">
        <f aca="false">IF(AND(I1121=1,J1121=1),"两者都跟住",IF(AND(I1121=0,J1121=1),"仅 PC-TBD 跟住",IF(AND(I1121=1,J1121=0),"仅 VIT-LPS 跟住","都没跟住")))</f>
        <v>两者都跟住</v>
      </c>
      <c r="L1121" s="45" t="n">
        <f aca="false">F1121-G1121</f>
        <v>0.00158300037677395</v>
      </c>
      <c r="M1121" s="46" t="n">
        <v>0.2859773</v>
      </c>
      <c r="N1121" s="46" t="n">
        <v>0.1488274</v>
      </c>
      <c r="O1121" s="46" t="n">
        <v>0.4053537</v>
      </c>
      <c r="P1121" s="46" t="n">
        <v>0.7696884</v>
      </c>
      <c r="Q1121" s="46" t="n">
        <v>1.7183285</v>
      </c>
      <c r="R1121" s="46" t="n">
        <v>1.8785742</v>
      </c>
      <c r="S1121" s="47" t="n">
        <f aca="false">M1121+N1121+O1121</f>
        <v>0.8401584</v>
      </c>
      <c r="T1121" s="47" t="n">
        <f aca="false">M1121+P1121</f>
        <v>1.0556657</v>
      </c>
    </row>
    <row r="1122" customFormat="false" ht="15" hidden="false" customHeight="false" outlineLevel="0" collapsed="false">
      <c r="A1122" s="42" t="s">
        <v>45</v>
      </c>
      <c r="B1122" s="42" t="n">
        <v>-12</v>
      </c>
      <c r="C1122" s="42" t="n">
        <v>21</v>
      </c>
      <c r="D1122" s="42" t="n">
        <v>74290936</v>
      </c>
      <c r="E1122" s="43" t="n">
        <v>0.701955345371184</v>
      </c>
      <c r="F1122" s="43" t="n">
        <v>0.662568190117228</v>
      </c>
      <c r="G1122" s="43" t="n">
        <v>0.806648238640897</v>
      </c>
      <c r="H1122" s="43" t="n">
        <v>0.814425091243739</v>
      </c>
      <c r="I1122" s="42" t="n">
        <v>1</v>
      </c>
      <c r="J1122" s="42" t="n">
        <v>1</v>
      </c>
      <c r="K1122" s="44" t="str">
        <f aca="false">IF(AND(I1122=1,J1122=1),"两者都跟住",IF(AND(I1122=0,J1122=1),"仅 PC-TBD 跟住",IF(AND(I1122=1,J1122=0),"仅 VIT-LPS 跟住","都没跟住")))</f>
        <v>两者都跟住</v>
      </c>
      <c r="L1122" s="45" t="n">
        <f aca="false">F1122-G1122</f>
        <v>-0.144080048523669</v>
      </c>
      <c r="M1122" s="46" t="n">
        <v>0.4295836</v>
      </c>
      <c r="N1122" s="46" t="n">
        <v>0.1711367</v>
      </c>
      <c r="O1122" s="46" t="n">
        <v>0.5565062</v>
      </c>
      <c r="P1122" s="46" t="n">
        <v>0.8847736</v>
      </c>
      <c r="Q1122" s="46" t="n">
        <v>1.9916297</v>
      </c>
      <c r="R1122" s="46" t="n">
        <v>2.023835</v>
      </c>
      <c r="S1122" s="47" t="n">
        <f aca="false">M1122+N1122+O1122</f>
        <v>1.1572265</v>
      </c>
      <c r="T1122" s="47" t="n">
        <f aca="false">M1122+P1122</f>
        <v>1.3143572</v>
      </c>
    </row>
    <row r="1123" customFormat="false" ht="15" hidden="false" customHeight="false" outlineLevel="0" collapsed="false">
      <c r="A1123" s="42" t="s">
        <v>45</v>
      </c>
      <c r="B1123" s="42" t="n">
        <v>-12</v>
      </c>
      <c r="C1123" s="42" t="n">
        <v>22</v>
      </c>
      <c r="D1123" s="42" t="n">
        <v>74290937</v>
      </c>
      <c r="E1123" s="43" t="n">
        <v>0.776772561984247</v>
      </c>
      <c r="F1123" s="43" t="n">
        <v>0.803516258223669</v>
      </c>
      <c r="G1123" s="43" t="n">
        <v>0.821244223077942</v>
      </c>
      <c r="H1123" s="43" t="n">
        <v>0.817619074916962</v>
      </c>
      <c r="I1123" s="42" t="n">
        <v>1</v>
      </c>
      <c r="J1123" s="42" t="n">
        <v>1</v>
      </c>
      <c r="K1123" s="44" t="str">
        <f aca="false">IF(AND(I1123=1,J1123=1),"两者都跟住",IF(AND(I1123=0,J1123=1),"仅 PC-TBD 跟住",IF(AND(I1123=1,J1123=0),"仅 VIT-LPS 跟住","都没跟住")))</f>
        <v>两者都跟住</v>
      </c>
      <c r="L1123" s="45" t="n">
        <f aca="false">F1123-G1123</f>
        <v>-0.017727964854273</v>
      </c>
      <c r="M1123" s="46" t="n">
        <v>0.4412508</v>
      </c>
      <c r="N1123" s="46" t="n">
        <v>0.1133608</v>
      </c>
      <c r="O1123" s="46" t="n">
        <v>0.5952788</v>
      </c>
      <c r="P1123" s="46" t="n">
        <v>0.8430043</v>
      </c>
      <c r="Q1123" s="46" t="n">
        <v>2.0025096</v>
      </c>
      <c r="R1123" s="46" t="n">
        <v>1.9489018</v>
      </c>
      <c r="S1123" s="47" t="n">
        <f aca="false">M1123+N1123+O1123</f>
        <v>1.1498904</v>
      </c>
      <c r="T1123" s="47" t="n">
        <f aca="false">M1123+P1123</f>
        <v>1.2842551</v>
      </c>
    </row>
    <row r="1124" customFormat="false" ht="15" hidden="false" customHeight="false" outlineLevel="0" collapsed="false">
      <c r="A1124" s="42" t="s">
        <v>45</v>
      </c>
      <c r="B1124" s="42" t="n">
        <v>-12</v>
      </c>
      <c r="C1124" s="42" t="n">
        <v>23</v>
      </c>
      <c r="D1124" s="42" t="n">
        <v>74290938</v>
      </c>
      <c r="E1124" s="43" t="n">
        <v>0.786669834226442</v>
      </c>
      <c r="F1124" s="43" t="n">
        <v>0.807478518736758</v>
      </c>
      <c r="G1124" s="43" t="n">
        <v>0.818881388012854</v>
      </c>
      <c r="H1124" s="43" t="n">
        <v>0.813211282223611</v>
      </c>
      <c r="I1124" s="42" t="n">
        <v>1</v>
      </c>
      <c r="J1124" s="42" t="n">
        <v>1</v>
      </c>
      <c r="K1124" s="44" t="str">
        <f aca="false">IF(AND(I1124=1,J1124=1),"两者都跟住",IF(AND(I1124=0,J1124=1),"仅 PC-TBD 跟住",IF(AND(I1124=1,J1124=0),"仅 VIT-LPS 跟住","都没跟住")))</f>
        <v>两者都跟住</v>
      </c>
      <c r="L1124" s="45" t="n">
        <f aca="false">F1124-G1124</f>
        <v>-0.011402869276096</v>
      </c>
      <c r="M1124" s="46" t="n">
        <v>0.4382466</v>
      </c>
      <c r="N1124" s="46" t="n">
        <v>0.172117</v>
      </c>
      <c r="O1124" s="46" t="n">
        <v>0.6654483</v>
      </c>
      <c r="P1124" s="46" t="n">
        <v>0.8177576</v>
      </c>
      <c r="Q1124" s="46" t="n">
        <v>2.5205639</v>
      </c>
      <c r="R1124" s="46" t="n">
        <v>2.5943733</v>
      </c>
      <c r="S1124" s="47" t="n">
        <f aca="false">M1124+N1124+O1124</f>
        <v>1.2758119</v>
      </c>
      <c r="T1124" s="47" t="n">
        <f aca="false">M1124+P1124</f>
        <v>1.2560042</v>
      </c>
    </row>
    <row r="1125" customFormat="false" ht="15" hidden="false" customHeight="false" outlineLevel="0" collapsed="false">
      <c r="A1125" s="42" t="s">
        <v>45</v>
      </c>
      <c r="B1125" s="42" t="n">
        <v>-12</v>
      </c>
      <c r="C1125" s="42" t="n">
        <v>24</v>
      </c>
      <c r="D1125" s="42" t="n">
        <v>74290939</v>
      </c>
      <c r="E1125" s="43" t="n">
        <v>0.722973418211186</v>
      </c>
      <c r="F1125" s="43" t="n">
        <v>0.760205102082309</v>
      </c>
      <c r="G1125" s="43" t="n">
        <v>0.791717220499441</v>
      </c>
      <c r="H1125" s="43" t="n">
        <v>0.805342061157721</v>
      </c>
      <c r="I1125" s="42" t="n">
        <v>1</v>
      </c>
      <c r="J1125" s="42" t="n">
        <v>1</v>
      </c>
      <c r="K1125" s="44" t="str">
        <f aca="false">IF(AND(I1125=1,J1125=1),"两者都跟住",IF(AND(I1125=0,J1125=1),"仅 PC-TBD 跟住",IF(AND(I1125=1,J1125=0),"仅 VIT-LPS 跟住","都没跟住")))</f>
        <v>两者都跟住</v>
      </c>
      <c r="L1125" s="45" t="n">
        <f aca="false">F1125-G1125</f>
        <v>-0.0315121184171321</v>
      </c>
      <c r="M1125" s="46" t="n">
        <v>0.419422</v>
      </c>
      <c r="N1125" s="46" t="n">
        <v>0.1476531</v>
      </c>
      <c r="O1125" s="46" t="n">
        <v>0.6005348</v>
      </c>
      <c r="P1125" s="46" t="n">
        <v>0.8676394</v>
      </c>
      <c r="Q1125" s="46" t="n">
        <v>2.5336601</v>
      </c>
      <c r="R1125" s="46" t="n">
        <v>2.4463778</v>
      </c>
      <c r="S1125" s="47" t="n">
        <f aca="false">M1125+N1125+O1125</f>
        <v>1.1676099</v>
      </c>
      <c r="T1125" s="47" t="n">
        <f aca="false">M1125+P1125</f>
        <v>1.2870614</v>
      </c>
    </row>
    <row r="1126" customFormat="false" ht="15" hidden="false" customHeight="false" outlineLevel="0" collapsed="false">
      <c r="A1126" s="42" t="s">
        <v>45</v>
      </c>
      <c r="B1126" s="42" t="n">
        <v>-12</v>
      </c>
      <c r="C1126" s="42" t="n">
        <v>25</v>
      </c>
      <c r="D1126" s="42" t="n">
        <v>74290940</v>
      </c>
      <c r="E1126" s="43" t="n">
        <v>0.683628951536068</v>
      </c>
      <c r="F1126" s="43" t="n">
        <v>0.71629408530372</v>
      </c>
      <c r="G1126" s="43" t="n">
        <v>0.785337767478397</v>
      </c>
      <c r="H1126" s="43" t="n">
        <v>0.834265053814681</v>
      </c>
      <c r="I1126" s="42" t="n">
        <v>1</v>
      </c>
      <c r="J1126" s="42" t="n">
        <v>1</v>
      </c>
      <c r="K1126" s="44" t="str">
        <f aca="false">IF(AND(I1126=1,J1126=1),"两者都跟住",IF(AND(I1126=0,J1126=1),"仅 PC-TBD 跟住",IF(AND(I1126=1,J1126=0),"仅 VIT-LPS 跟住","都没跟住")))</f>
        <v>两者都跟住</v>
      </c>
      <c r="L1126" s="45" t="n">
        <f aca="false">F1126-G1126</f>
        <v>-0.0690436821746771</v>
      </c>
      <c r="M1126" s="46" t="n">
        <v>0.4386409</v>
      </c>
      <c r="N1126" s="46" t="n">
        <v>0.1522347</v>
      </c>
      <c r="O1126" s="46" t="n">
        <v>0.4170484</v>
      </c>
      <c r="P1126" s="46" t="n">
        <v>0.9318953</v>
      </c>
      <c r="Q1126" s="46" t="n">
        <v>4.5940391</v>
      </c>
      <c r="R1126" s="46" t="n">
        <v>2.2625874</v>
      </c>
      <c r="S1126" s="47" t="n">
        <f aca="false">M1126+N1126+O1126</f>
        <v>1.007924</v>
      </c>
      <c r="T1126" s="47" t="n">
        <f aca="false">M1126+P1126</f>
        <v>1.3705362</v>
      </c>
    </row>
    <row r="1127" customFormat="false" ht="15" hidden="false" customHeight="false" outlineLevel="0" collapsed="false">
      <c r="A1127" s="42" t="s">
        <v>45</v>
      </c>
      <c r="B1127" s="42" t="n">
        <v>-12</v>
      </c>
      <c r="C1127" s="42" t="n">
        <v>26</v>
      </c>
      <c r="D1127" s="42" t="n">
        <v>74290941</v>
      </c>
      <c r="E1127" s="43" t="n">
        <v>0.716496171121532</v>
      </c>
      <c r="F1127" s="43" t="n">
        <v>0.772926223144288</v>
      </c>
      <c r="G1127" s="43" t="n">
        <v>0.691947048475556</v>
      </c>
      <c r="H1127" s="43" t="n">
        <v>0.722945386386705</v>
      </c>
      <c r="I1127" s="42" t="n">
        <v>1</v>
      </c>
      <c r="J1127" s="42" t="n">
        <v>0</v>
      </c>
      <c r="K1127" s="44" t="str">
        <f aca="false">IF(AND(I1127=1,J1127=1),"两者都跟住",IF(AND(I1127=0,J1127=1),"仅 PC-TBD 跟住",IF(AND(I1127=1,J1127=0),"仅 VIT-LPS 跟住","都没跟住")))</f>
        <v>仅 VIT-LPS 跟住</v>
      </c>
      <c r="L1127" s="45" t="n">
        <f aca="false">F1127-G1127</f>
        <v>0.0809791746687321</v>
      </c>
      <c r="M1127" s="46" t="n">
        <v>0.4338198</v>
      </c>
      <c r="N1127" s="46" t="n">
        <v>0.1391764</v>
      </c>
      <c r="O1127" s="46" t="n">
        <v>0.3701192</v>
      </c>
      <c r="P1127" s="46" t="n">
        <v>1.059808</v>
      </c>
      <c r="Q1127" s="46" t="n">
        <v>2.4720068</v>
      </c>
      <c r="R1127" s="46" t="n">
        <v>2.9291679</v>
      </c>
      <c r="S1127" s="47" t="n">
        <f aca="false">M1127+N1127+O1127</f>
        <v>0.9431154</v>
      </c>
      <c r="T1127" s="47" t="n">
        <f aca="false">M1127+P1127</f>
        <v>1.4936278</v>
      </c>
    </row>
    <row r="1128" customFormat="false" ht="15" hidden="false" customHeight="false" outlineLevel="0" collapsed="false">
      <c r="A1128" s="42" t="s">
        <v>45</v>
      </c>
      <c r="B1128" s="42" t="n">
        <v>-12</v>
      </c>
      <c r="C1128" s="42" t="n">
        <v>27</v>
      </c>
      <c r="D1128" s="42" t="n">
        <v>74290942</v>
      </c>
      <c r="E1128" s="43" t="n">
        <v>0.755752090524965</v>
      </c>
      <c r="F1128" s="43" t="n">
        <v>0.797898610268143</v>
      </c>
      <c r="G1128" s="43" t="n">
        <v>0.813897027598634</v>
      </c>
      <c r="H1128" s="43" t="n">
        <v>0.80443314093851</v>
      </c>
      <c r="I1128" s="42" t="n">
        <v>1</v>
      </c>
      <c r="J1128" s="42" t="n">
        <v>1</v>
      </c>
      <c r="K1128" s="44" t="str">
        <f aca="false">IF(AND(I1128=1,J1128=1),"两者都跟住",IF(AND(I1128=0,J1128=1),"仅 PC-TBD 跟住",IF(AND(I1128=1,J1128=0),"仅 VIT-LPS 跟住","都没跟住")))</f>
        <v>两者都跟住</v>
      </c>
      <c r="L1128" s="45" t="n">
        <f aca="false">F1128-G1128</f>
        <v>-0.015998417330491</v>
      </c>
      <c r="M1128" s="46" t="n">
        <v>0.1938636</v>
      </c>
      <c r="N1128" s="46" t="n">
        <v>0.1103576</v>
      </c>
      <c r="O1128" s="46" t="n">
        <v>0.2653628</v>
      </c>
      <c r="P1128" s="46" t="n">
        <v>0.5648037</v>
      </c>
      <c r="Q1128" s="46" t="n">
        <v>1.7548027</v>
      </c>
      <c r="R1128" s="46" t="n">
        <v>1.4986707</v>
      </c>
      <c r="S1128" s="47" t="n">
        <f aca="false">M1128+N1128+O1128</f>
        <v>0.569584</v>
      </c>
      <c r="T1128" s="47" t="n">
        <f aca="false">M1128+P1128</f>
        <v>0.7586673</v>
      </c>
    </row>
    <row r="1129" customFormat="false" ht="15" hidden="false" customHeight="false" outlineLevel="0" collapsed="false">
      <c r="A1129" s="42" t="s">
        <v>45</v>
      </c>
      <c r="B1129" s="42" t="n">
        <v>-12</v>
      </c>
      <c r="C1129" s="42" t="n">
        <v>28</v>
      </c>
      <c r="D1129" s="42" t="n">
        <v>74290943</v>
      </c>
      <c r="E1129" s="43" t="n">
        <v>0.74021756558458</v>
      </c>
      <c r="F1129" s="43" t="n">
        <v>0.802434907793295</v>
      </c>
      <c r="G1129" s="43" t="n">
        <v>0.806128602920373</v>
      </c>
      <c r="H1129" s="43" t="n">
        <v>0.821146240679986</v>
      </c>
      <c r="I1129" s="42" t="n">
        <v>1</v>
      </c>
      <c r="J1129" s="42" t="n">
        <v>1</v>
      </c>
      <c r="K1129" s="44" t="str">
        <f aca="false">IF(AND(I1129=1,J1129=1),"两者都跟住",IF(AND(I1129=0,J1129=1),"仅 PC-TBD 跟住",IF(AND(I1129=1,J1129=0),"仅 VIT-LPS 跟住","都没跟住")))</f>
        <v>两者都跟住</v>
      </c>
      <c r="L1129" s="45" t="n">
        <f aca="false">F1129-G1129</f>
        <v>-0.00369369512707807</v>
      </c>
      <c r="M1129" s="46" t="n">
        <v>0.1658133</v>
      </c>
      <c r="N1129" s="46" t="n">
        <v>0.0974446</v>
      </c>
      <c r="O1129" s="46" t="n">
        <v>0.2379239</v>
      </c>
      <c r="P1129" s="46" t="n">
        <v>0.5637461</v>
      </c>
      <c r="Q1129" s="46" t="n">
        <v>1.9931656</v>
      </c>
      <c r="R1129" s="46" t="n">
        <v>1.3911504</v>
      </c>
      <c r="S1129" s="47" t="n">
        <f aca="false">M1129+N1129+O1129</f>
        <v>0.5011818</v>
      </c>
      <c r="T1129" s="47" t="n">
        <f aca="false">M1129+P1129</f>
        <v>0.7295594</v>
      </c>
    </row>
    <row r="1130" customFormat="false" ht="15" hidden="false" customHeight="false" outlineLevel="0" collapsed="false">
      <c r="A1130" s="42" t="s">
        <v>45</v>
      </c>
      <c r="B1130" s="42" t="n">
        <v>-12</v>
      </c>
      <c r="C1130" s="42" t="n">
        <v>29</v>
      </c>
      <c r="D1130" s="42" t="n">
        <v>74290944</v>
      </c>
      <c r="E1130" s="43" t="n">
        <v>0.76349748951396</v>
      </c>
      <c r="F1130" s="43" t="n">
        <v>0.779415575637315</v>
      </c>
      <c r="G1130" s="43" t="n">
        <v>0.803935963134753</v>
      </c>
      <c r="H1130" s="43" t="n">
        <v>0.801900045162717</v>
      </c>
      <c r="I1130" s="42" t="n">
        <v>1</v>
      </c>
      <c r="J1130" s="42" t="n">
        <v>1</v>
      </c>
      <c r="K1130" s="44" t="str">
        <f aca="false">IF(AND(I1130=1,J1130=1),"两者都跟住",IF(AND(I1130=0,J1130=1),"仅 PC-TBD 跟住",IF(AND(I1130=1,J1130=0),"仅 VIT-LPS 跟住","都没跟住")))</f>
        <v>两者都跟住</v>
      </c>
      <c r="L1130" s="45" t="n">
        <f aca="false">F1130-G1130</f>
        <v>-0.024520387497438</v>
      </c>
      <c r="M1130" s="46" t="n">
        <v>0.1937371</v>
      </c>
      <c r="N1130" s="46" t="n">
        <v>0.1104676</v>
      </c>
      <c r="O1130" s="46" t="n">
        <v>0.1912406</v>
      </c>
      <c r="P1130" s="46" t="n">
        <v>0.5904187</v>
      </c>
      <c r="Q1130" s="46" t="n">
        <v>2.3338056</v>
      </c>
      <c r="R1130" s="46" t="n">
        <v>1.5466258</v>
      </c>
      <c r="S1130" s="47" t="n">
        <f aca="false">M1130+N1130+O1130</f>
        <v>0.4954453</v>
      </c>
      <c r="T1130" s="47" t="n">
        <f aca="false">M1130+P1130</f>
        <v>0.7841558</v>
      </c>
    </row>
    <row r="1131" customFormat="false" ht="15" hidden="false" customHeight="false" outlineLevel="0" collapsed="false">
      <c r="A1131" s="42" t="s">
        <v>45</v>
      </c>
      <c r="B1131" s="42" t="n">
        <v>-12</v>
      </c>
      <c r="C1131" s="42" t="n">
        <v>30</v>
      </c>
      <c r="D1131" s="42" t="n">
        <v>74290945</v>
      </c>
      <c r="E1131" s="43" t="n">
        <v>0.728092877533654</v>
      </c>
      <c r="F1131" s="43" t="n">
        <v>0.724803122023754</v>
      </c>
      <c r="G1131" s="43" t="n">
        <v>0.748048895571995</v>
      </c>
      <c r="H1131" s="43" t="n">
        <v>0.766839175058891</v>
      </c>
      <c r="I1131" s="42" t="n">
        <v>1</v>
      </c>
      <c r="J1131" s="42" t="n">
        <v>1</v>
      </c>
      <c r="K1131" s="44" t="str">
        <f aca="false">IF(AND(I1131=1,J1131=1),"两者都跟住",IF(AND(I1131=0,J1131=1),"仅 PC-TBD 跟住",IF(AND(I1131=1,J1131=0),"仅 VIT-LPS 跟住","都没跟住")))</f>
        <v>两者都跟住</v>
      </c>
      <c r="L1131" s="45" t="n">
        <f aca="false">F1131-G1131</f>
        <v>-0.0232457735482411</v>
      </c>
      <c r="M1131" s="46" t="n">
        <v>0.1998023</v>
      </c>
      <c r="N1131" s="46" t="n">
        <v>0.1207504</v>
      </c>
      <c r="O1131" s="46" t="n">
        <v>0.2955588</v>
      </c>
      <c r="P1131" s="46" t="n">
        <v>0.545176</v>
      </c>
      <c r="Q1131" s="46" t="n">
        <v>2.8359715</v>
      </c>
      <c r="R1131" s="46" t="n">
        <v>0.8926407</v>
      </c>
      <c r="S1131" s="47" t="n">
        <f aca="false">M1131+N1131+O1131</f>
        <v>0.6161115</v>
      </c>
      <c r="T1131" s="47" t="n">
        <f aca="false">M1131+P1131</f>
        <v>0.7449783</v>
      </c>
    </row>
    <row r="1132" customFormat="false" ht="15" hidden="false" customHeight="false" outlineLevel="0" collapsed="false">
      <c r="A1132" s="42" t="s">
        <v>45</v>
      </c>
      <c r="B1132" s="42" t="n">
        <v>-12</v>
      </c>
      <c r="C1132" s="42" t="n">
        <v>31</v>
      </c>
      <c r="D1132" s="42" t="n">
        <v>74290946</v>
      </c>
      <c r="E1132" s="43" t="n">
        <v>0.697423250838056</v>
      </c>
      <c r="F1132" s="43" t="n">
        <v>0.73278100650563</v>
      </c>
      <c r="G1132" s="43" t="n">
        <v>0.720263023941538</v>
      </c>
      <c r="H1132" s="43" t="n">
        <v>0.724256800006553</v>
      </c>
      <c r="I1132" s="42" t="n">
        <v>1</v>
      </c>
      <c r="J1132" s="42" t="n">
        <v>0</v>
      </c>
      <c r="K1132" s="44" t="str">
        <f aca="false">IF(AND(I1132=1,J1132=1),"两者都跟住",IF(AND(I1132=0,J1132=1),"仅 PC-TBD 跟住",IF(AND(I1132=1,J1132=0),"仅 VIT-LPS 跟住","都没跟住")))</f>
        <v>仅 VIT-LPS 跟住</v>
      </c>
      <c r="L1132" s="45" t="n">
        <f aca="false">F1132-G1132</f>
        <v>0.0125179825640921</v>
      </c>
      <c r="M1132" s="46" t="n">
        <v>0.2598595</v>
      </c>
      <c r="N1132" s="46" t="n">
        <v>0.1431336</v>
      </c>
      <c r="O1132" s="46" t="n">
        <v>0.270842</v>
      </c>
      <c r="P1132" s="46" t="n">
        <v>0.7160966</v>
      </c>
      <c r="Q1132" s="46" t="n">
        <v>2.2673229</v>
      </c>
      <c r="R1132" s="46" t="n">
        <v>2.4397863</v>
      </c>
      <c r="S1132" s="47" t="n">
        <f aca="false">M1132+N1132+O1132</f>
        <v>0.6738351</v>
      </c>
      <c r="T1132" s="47" t="n">
        <f aca="false">M1132+P1132</f>
        <v>0.9759561</v>
      </c>
    </row>
    <row r="1133" customFormat="false" ht="15" hidden="false" customHeight="false" outlineLevel="0" collapsed="false">
      <c r="A1133" s="42" t="s">
        <v>45</v>
      </c>
      <c r="B1133" s="42" t="n">
        <v>-12</v>
      </c>
      <c r="C1133" s="42" t="n">
        <v>32</v>
      </c>
      <c r="D1133" s="42" t="n">
        <v>74290947</v>
      </c>
      <c r="E1133" s="43" t="n">
        <v>0.7428500333389</v>
      </c>
      <c r="F1133" s="43" t="n">
        <v>0.801272284833092</v>
      </c>
      <c r="G1133" s="43" t="n">
        <v>0.819708885890816</v>
      </c>
      <c r="H1133" s="43" t="n">
        <v>0.82092813534087</v>
      </c>
      <c r="I1133" s="42" t="n">
        <v>1</v>
      </c>
      <c r="J1133" s="42" t="n">
        <v>1</v>
      </c>
      <c r="K1133" s="44" t="str">
        <f aca="false">IF(AND(I1133=1,J1133=1),"两者都跟住",IF(AND(I1133=0,J1133=1),"仅 PC-TBD 跟住",IF(AND(I1133=1,J1133=0),"仅 VIT-LPS 跟住","都没跟住")))</f>
        <v>两者都跟住</v>
      </c>
      <c r="L1133" s="45" t="n">
        <f aca="false">F1133-G1133</f>
        <v>-0.018436601057724</v>
      </c>
      <c r="M1133" s="46" t="n">
        <v>0.2393878</v>
      </c>
      <c r="N1133" s="46" t="n">
        <v>0.1565796</v>
      </c>
      <c r="O1133" s="46" t="n">
        <v>0.2950555</v>
      </c>
      <c r="P1133" s="46" t="n">
        <v>0.7628968</v>
      </c>
      <c r="Q1133" s="46" t="n">
        <v>1.9681471</v>
      </c>
      <c r="R1133" s="46" t="n">
        <v>2.0286986</v>
      </c>
      <c r="S1133" s="47" t="n">
        <f aca="false">M1133+N1133+O1133</f>
        <v>0.6910229</v>
      </c>
      <c r="T1133" s="47" t="n">
        <f aca="false">M1133+P1133</f>
        <v>1.0022846</v>
      </c>
    </row>
    <row r="1134" customFormat="false" ht="15" hidden="false" customHeight="false" outlineLevel="0" collapsed="false">
      <c r="A1134" s="42" t="s">
        <v>45</v>
      </c>
      <c r="B1134" s="42" t="n">
        <v>-12</v>
      </c>
      <c r="C1134" s="42" t="n">
        <v>33</v>
      </c>
      <c r="D1134" s="42" t="n">
        <v>74290948</v>
      </c>
      <c r="E1134" s="43" t="n">
        <v>0.761738442685055</v>
      </c>
      <c r="F1134" s="43" t="n">
        <v>0.799296240517756</v>
      </c>
      <c r="G1134" s="43" t="n">
        <v>0.80395694065477</v>
      </c>
      <c r="H1134" s="43" t="n">
        <v>0.813646471571182</v>
      </c>
      <c r="I1134" s="42" t="n">
        <v>1</v>
      </c>
      <c r="J1134" s="42" t="n">
        <v>1</v>
      </c>
      <c r="K1134" s="44" t="str">
        <f aca="false">IF(AND(I1134=1,J1134=1),"两者都跟住",IF(AND(I1134=0,J1134=1),"仅 PC-TBD 跟住",IF(AND(I1134=1,J1134=0),"仅 VIT-LPS 跟住","都没跟住")))</f>
        <v>两者都跟住</v>
      </c>
      <c r="L1134" s="45" t="n">
        <f aca="false">F1134-G1134</f>
        <v>-0.00466070013701392</v>
      </c>
      <c r="M1134" s="46" t="n">
        <v>0.2472399</v>
      </c>
      <c r="N1134" s="46" t="n">
        <v>0.1369081</v>
      </c>
      <c r="O1134" s="46" t="n">
        <v>0.3117669</v>
      </c>
      <c r="P1134" s="46" t="n">
        <v>0.7409396</v>
      </c>
      <c r="Q1134" s="46" t="n">
        <v>2.2913043</v>
      </c>
      <c r="R1134" s="46" t="n">
        <v>2.2127456</v>
      </c>
      <c r="S1134" s="47" t="n">
        <f aca="false">M1134+N1134+O1134</f>
        <v>0.6959149</v>
      </c>
      <c r="T1134" s="47" t="n">
        <f aca="false">M1134+P1134</f>
        <v>0.9881795</v>
      </c>
    </row>
    <row r="1135" customFormat="false" ht="15" hidden="false" customHeight="false" outlineLevel="0" collapsed="false">
      <c r="A1135" s="42" t="s">
        <v>45</v>
      </c>
      <c r="B1135" s="42" t="n">
        <v>-12</v>
      </c>
      <c r="C1135" s="42" t="n">
        <v>34</v>
      </c>
      <c r="D1135" s="42" t="n">
        <v>74290949</v>
      </c>
      <c r="E1135" s="43" t="n">
        <v>0.728918907644277</v>
      </c>
      <c r="F1135" s="43" t="n">
        <v>0.762225241451607</v>
      </c>
      <c r="G1135" s="43" t="n">
        <v>0.769162028807144</v>
      </c>
      <c r="H1135" s="43" t="n">
        <v>0.793908388020517</v>
      </c>
      <c r="I1135" s="42" t="n">
        <v>1</v>
      </c>
      <c r="J1135" s="42" t="n">
        <v>1</v>
      </c>
      <c r="K1135" s="44" t="str">
        <f aca="false">IF(AND(I1135=1,J1135=1),"两者都跟住",IF(AND(I1135=0,J1135=1),"仅 PC-TBD 跟住",IF(AND(I1135=1,J1135=0),"仅 VIT-LPS 跟住","都没跟住")))</f>
        <v>两者都跟住</v>
      </c>
      <c r="L1135" s="45" t="n">
        <f aca="false">F1135-G1135</f>
        <v>-0.00693678735553704</v>
      </c>
      <c r="M1135" s="46" t="n">
        <v>0.229732</v>
      </c>
      <c r="N1135" s="46" t="n">
        <v>0.1283778</v>
      </c>
      <c r="O1135" s="46" t="n">
        <v>0.3146595</v>
      </c>
      <c r="P1135" s="46" t="n">
        <v>0.8408777</v>
      </c>
      <c r="Q1135" s="46" t="n">
        <v>2.2068186</v>
      </c>
      <c r="R1135" s="46" t="n">
        <v>2.440653</v>
      </c>
      <c r="S1135" s="47" t="n">
        <f aca="false">M1135+N1135+O1135</f>
        <v>0.6727693</v>
      </c>
      <c r="T1135" s="47" t="n">
        <f aca="false">M1135+P1135</f>
        <v>1.0706097</v>
      </c>
    </row>
    <row r="1136" customFormat="false" ht="15" hidden="false" customHeight="false" outlineLevel="0" collapsed="false">
      <c r="A1136" s="42" t="s">
        <v>45</v>
      </c>
      <c r="B1136" s="42" t="n">
        <v>-12</v>
      </c>
      <c r="C1136" s="42" t="n">
        <v>35</v>
      </c>
      <c r="D1136" s="42" t="n">
        <v>74290950</v>
      </c>
      <c r="E1136" s="43" t="n">
        <v>0.786447777754617</v>
      </c>
      <c r="F1136" s="43" t="n">
        <v>0.807570442743263</v>
      </c>
      <c r="G1136" s="43" t="n">
        <v>0.798629741425019</v>
      </c>
      <c r="H1136" s="43" t="n">
        <v>0.823855644757859</v>
      </c>
      <c r="I1136" s="42" t="n">
        <v>1</v>
      </c>
      <c r="J1136" s="42" t="n">
        <v>1</v>
      </c>
      <c r="K1136" s="44" t="str">
        <f aca="false">IF(AND(I1136=1,J1136=1),"两者都跟住",IF(AND(I1136=0,J1136=1),"仅 PC-TBD 跟住",IF(AND(I1136=1,J1136=0),"仅 VIT-LPS 跟住","都没跟住")))</f>
        <v>两者都跟住</v>
      </c>
      <c r="L1136" s="45" t="n">
        <f aca="false">F1136-G1136</f>
        <v>0.00894070131824398</v>
      </c>
      <c r="M1136" s="46" t="n">
        <v>0.2615174</v>
      </c>
      <c r="N1136" s="46" t="n">
        <v>0.1641838</v>
      </c>
      <c r="O1136" s="46" t="n">
        <v>0.3708987</v>
      </c>
      <c r="P1136" s="46" t="n">
        <v>0.7005871</v>
      </c>
      <c r="Q1136" s="46" t="n">
        <v>2.0834867</v>
      </c>
      <c r="R1136" s="46" t="n">
        <v>2.039642</v>
      </c>
      <c r="S1136" s="47" t="n">
        <f aca="false">M1136+N1136+O1136</f>
        <v>0.7965999</v>
      </c>
      <c r="T1136" s="47" t="n">
        <f aca="false">M1136+P1136</f>
        <v>0.9621045</v>
      </c>
    </row>
    <row r="1137" customFormat="false" ht="15" hidden="false" customHeight="false" outlineLevel="0" collapsed="false">
      <c r="A1137" s="42" t="s">
        <v>45</v>
      </c>
      <c r="B1137" s="42" t="n">
        <v>-12</v>
      </c>
      <c r="C1137" s="42" t="n">
        <v>36</v>
      </c>
      <c r="D1137" s="42" t="n">
        <v>74290951</v>
      </c>
      <c r="E1137" s="43" t="n">
        <v>0.66043721132913</v>
      </c>
      <c r="F1137" s="43" t="n">
        <v>0.762768278794376</v>
      </c>
      <c r="G1137" s="43" t="n">
        <v>0.734277642521713</v>
      </c>
      <c r="H1137" s="43" t="n">
        <v>0.756534670929878</v>
      </c>
      <c r="I1137" s="42" t="n">
        <v>1</v>
      </c>
      <c r="J1137" s="42" t="n">
        <v>1</v>
      </c>
      <c r="K1137" s="44" t="str">
        <f aca="false">IF(AND(I1137=1,J1137=1),"两者都跟住",IF(AND(I1137=0,J1137=1),"仅 PC-TBD 跟住",IF(AND(I1137=1,J1137=0),"仅 VIT-LPS 跟住","都没跟住")))</f>
        <v>两者都跟住</v>
      </c>
      <c r="L1137" s="45" t="n">
        <f aca="false">F1137-G1137</f>
        <v>0.028490636272663</v>
      </c>
      <c r="M1137" s="46" t="n">
        <v>0.2386375</v>
      </c>
      <c r="N1137" s="46" t="n">
        <v>0.150398</v>
      </c>
      <c r="O1137" s="46" t="n">
        <v>0.3221238</v>
      </c>
      <c r="P1137" s="46" t="n">
        <v>0.7346104</v>
      </c>
      <c r="Q1137" s="46" t="n">
        <v>1.9012966</v>
      </c>
      <c r="R1137" s="46" t="n">
        <v>2.3436794</v>
      </c>
      <c r="S1137" s="47" t="n">
        <f aca="false">M1137+N1137+O1137</f>
        <v>0.7111593</v>
      </c>
      <c r="T1137" s="47" t="n">
        <f aca="false">M1137+P1137</f>
        <v>0.9732479</v>
      </c>
    </row>
    <row r="1138" customFormat="false" ht="15" hidden="false" customHeight="false" outlineLevel="0" collapsed="false">
      <c r="A1138" s="42" t="s">
        <v>45</v>
      </c>
      <c r="B1138" s="42" t="n">
        <v>-12</v>
      </c>
      <c r="C1138" s="42" t="n">
        <v>37</v>
      </c>
      <c r="D1138" s="42" t="n">
        <v>74290952</v>
      </c>
      <c r="E1138" s="43" t="n">
        <v>0.726613447772205</v>
      </c>
      <c r="F1138" s="43" t="n">
        <v>0.764157920827792</v>
      </c>
      <c r="G1138" s="43" t="n">
        <v>0.76554338058369</v>
      </c>
      <c r="H1138" s="43" t="n">
        <v>0.781826861559531</v>
      </c>
      <c r="I1138" s="42" t="n">
        <v>1</v>
      </c>
      <c r="J1138" s="42" t="n">
        <v>1</v>
      </c>
      <c r="K1138" s="44" t="str">
        <f aca="false">IF(AND(I1138=1,J1138=1),"两者都跟住",IF(AND(I1138=0,J1138=1),"仅 PC-TBD 跟住",IF(AND(I1138=1,J1138=0),"仅 VIT-LPS 跟住","都没跟住")))</f>
        <v>两者都跟住</v>
      </c>
      <c r="L1138" s="45" t="n">
        <f aca="false">F1138-G1138</f>
        <v>-0.00138545975589799</v>
      </c>
      <c r="M1138" s="46" t="n">
        <v>0.1450345</v>
      </c>
      <c r="N1138" s="46" t="n">
        <v>0.0817021</v>
      </c>
      <c r="O1138" s="46" t="n">
        <v>0.1553219</v>
      </c>
      <c r="P1138" s="46" t="n">
        <v>0.4185524</v>
      </c>
      <c r="Q1138" s="46" t="n">
        <v>1.6044404</v>
      </c>
      <c r="R1138" s="46" t="n">
        <v>1.4250131</v>
      </c>
      <c r="S1138" s="47" t="n">
        <f aca="false">M1138+N1138+O1138</f>
        <v>0.3820585</v>
      </c>
      <c r="T1138" s="47" t="n">
        <f aca="false">M1138+P1138</f>
        <v>0.5635869</v>
      </c>
    </row>
    <row r="1139" customFormat="false" ht="15" hidden="false" customHeight="false" outlineLevel="0" collapsed="false">
      <c r="A1139" s="42" t="s">
        <v>45</v>
      </c>
      <c r="B1139" s="42" t="n">
        <v>-12</v>
      </c>
      <c r="C1139" s="42" t="n">
        <v>38</v>
      </c>
      <c r="D1139" s="42" t="n">
        <v>74290953</v>
      </c>
      <c r="E1139" s="43" t="n">
        <v>0.701988142898801</v>
      </c>
      <c r="F1139" s="43" t="n">
        <v>0.76822400141477</v>
      </c>
      <c r="G1139" s="43" t="n">
        <v>0.775590128858935</v>
      </c>
      <c r="H1139" s="43" t="n">
        <v>0.788779042233366</v>
      </c>
      <c r="I1139" s="42" t="n">
        <v>1</v>
      </c>
      <c r="J1139" s="42" t="n">
        <v>1</v>
      </c>
      <c r="K1139" s="44" t="str">
        <f aca="false">IF(AND(I1139=1,J1139=1),"两者都跟住",IF(AND(I1139=0,J1139=1),"仅 PC-TBD 跟住",IF(AND(I1139=1,J1139=0),"仅 VIT-LPS 跟住","都没跟住")))</f>
        <v>两者都跟住</v>
      </c>
      <c r="L1139" s="45" t="n">
        <f aca="false">F1139-G1139</f>
        <v>-0.00736612744416498</v>
      </c>
      <c r="M1139" s="46" t="n">
        <v>0.1529844</v>
      </c>
      <c r="N1139" s="46" t="n">
        <v>0.0894211</v>
      </c>
      <c r="O1139" s="46" t="n">
        <v>0.1625954</v>
      </c>
      <c r="P1139" s="46" t="n">
        <v>0.4389129</v>
      </c>
      <c r="Q1139" s="46" t="n">
        <v>1.6187547</v>
      </c>
      <c r="R1139" s="46" t="n">
        <v>1.4926511</v>
      </c>
      <c r="S1139" s="47" t="n">
        <f aca="false">M1139+N1139+O1139</f>
        <v>0.4050009</v>
      </c>
      <c r="T1139" s="47" t="n">
        <f aca="false">M1139+P1139</f>
        <v>0.5918973</v>
      </c>
    </row>
    <row r="1140" customFormat="false" ht="15" hidden="false" customHeight="false" outlineLevel="0" collapsed="false">
      <c r="A1140" s="42" t="s">
        <v>45</v>
      </c>
      <c r="B1140" s="42" t="n">
        <v>-12</v>
      </c>
      <c r="C1140" s="42" t="n">
        <v>39</v>
      </c>
      <c r="D1140" s="42" t="n">
        <v>74290954</v>
      </c>
      <c r="E1140" s="43" t="n">
        <v>0.764962070284788</v>
      </c>
      <c r="F1140" s="43" t="n">
        <v>0.795645513002928</v>
      </c>
      <c r="G1140" s="43" t="n">
        <v>0.812069239141393</v>
      </c>
      <c r="H1140" s="43" t="n">
        <v>0.812832077379732</v>
      </c>
      <c r="I1140" s="42" t="n">
        <v>1</v>
      </c>
      <c r="J1140" s="42" t="n">
        <v>1</v>
      </c>
      <c r="K1140" s="44" t="str">
        <f aca="false">IF(AND(I1140=1,J1140=1),"两者都跟住",IF(AND(I1140=0,J1140=1),"仅 PC-TBD 跟住",IF(AND(I1140=1,J1140=0),"仅 VIT-LPS 跟住","都没跟住")))</f>
        <v>两者都跟住</v>
      </c>
      <c r="L1140" s="45" t="n">
        <f aca="false">F1140-G1140</f>
        <v>-0.016423726138465</v>
      </c>
      <c r="M1140" s="46" t="n">
        <v>0.146157</v>
      </c>
      <c r="N1140" s="46" t="n">
        <v>0.0960096</v>
      </c>
      <c r="O1140" s="46" t="n">
        <v>0.1219971</v>
      </c>
      <c r="P1140" s="46" t="n">
        <v>0.4652474</v>
      </c>
      <c r="Q1140" s="46" t="n">
        <v>1.5717772</v>
      </c>
      <c r="R1140" s="46" t="n">
        <v>1.6757641</v>
      </c>
      <c r="S1140" s="47" t="n">
        <f aca="false">M1140+N1140+O1140</f>
        <v>0.3641637</v>
      </c>
      <c r="T1140" s="47" t="n">
        <f aca="false">M1140+P1140</f>
        <v>0.6114044</v>
      </c>
    </row>
    <row r="1141" customFormat="false" ht="15" hidden="false" customHeight="false" outlineLevel="0" collapsed="false">
      <c r="A1141" s="42" t="s">
        <v>45</v>
      </c>
      <c r="B1141" s="42" t="n">
        <v>-12</v>
      </c>
      <c r="C1141" s="42" t="n">
        <v>40</v>
      </c>
      <c r="D1141" s="42" t="n">
        <v>74290955</v>
      </c>
      <c r="E1141" s="43" t="n">
        <v>0.774600747414002</v>
      </c>
      <c r="F1141" s="43" t="n">
        <v>0.80915474927181</v>
      </c>
      <c r="G1141" s="43" t="n">
        <v>0.815442226124892</v>
      </c>
      <c r="H1141" s="43" t="n">
        <v>0.817233216911495</v>
      </c>
      <c r="I1141" s="42" t="n">
        <v>1</v>
      </c>
      <c r="J1141" s="42" t="n">
        <v>1</v>
      </c>
      <c r="K1141" s="44" t="str">
        <f aca="false">IF(AND(I1141=1,J1141=1),"两者都跟住",IF(AND(I1141=0,J1141=1),"仅 PC-TBD 跟住",IF(AND(I1141=1,J1141=0),"仅 VIT-LPS 跟住","都没跟住")))</f>
        <v>两者都跟住</v>
      </c>
      <c r="L1141" s="45" t="n">
        <f aca="false">F1141-G1141</f>
        <v>-0.00628747685308206</v>
      </c>
      <c r="M1141" s="46" t="n">
        <v>0.1542609</v>
      </c>
      <c r="N1141" s="46" t="n">
        <v>0.1028504</v>
      </c>
      <c r="O1141" s="46" t="n">
        <v>0.1417757</v>
      </c>
      <c r="P1141" s="46" t="n">
        <v>0.4246729</v>
      </c>
      <c r="Q1141" s="46" t="n">
        <v>1.507875</v>
      </c>
      <c r="R1141" s="46" t="n">
        <v>1.5976493</v>
      </c>
      <c r="S1141" s="47" t="n">
        <f aca="false">M1141+N1141+O1141</f>
        <v>0.398887</v>
      </c>
      <c r="T1141" s="47" t="n">
        <f aca="false">M1141+P1141</f>
        <v>0.5789338</v>
      </c>
    </row>
    <row r="1142" customFormat="false" ht="15" hidden="false" customHeight="false" outlineLevel="0" collapsed="false">
      <c r="A1142" s="42" t="s">
        <v>45</v>
      </c>
      <c r="B1142" s="42" t="n">
        <v>-12</v>
      </c>
      <c r="C1142" s="42" t="n">
        <v>41</v>
      </c>
      <c r="D1142" s="42" t="n">
        <v>74290956</v>
      </c>
      <c r="E1142" s="43" t="n">
        <v>0.712596251816754</v>
      </c>
      <c r="F1142" s="43" t="n">
        <v>0.751674665377812</v>
      </c>
      <c r="G1142" s="43" t="n">
        <v>0.755838113419687</v>
      </c>
      <c r="H1142" s="43" t="n">
        <v>0.789031836575996</v>
      </c>
      <c r="I1142" s="42" t="n">
        <v>1</v>
      </c>
      <c r="J1142" s="42" t="n">
        <v>1</v>
      </c>
      <c r="K1142" s="44" t="str">
        <f aca="false">IF(AND(I1142=1,J1142=1),"两者都跟住",IF(AND(I1142=0,J1142=1),"仅 PC-TBD 跟住",IF(AND(I1142=1,J1142=0),"仅 VIT-LPS 跟住","都没跟住")))</f>
        <v>两者都跟住</v>
      </c>
      <c r="L1142" s="45" t="n">
        <f aca="false">F1142-G1142</f>
        <v>-0.00416344804187496</v>
      </c>
      <c r="M1142" s="46" t="n">
        <v>0.2274246</v>
      </c>
      <c r="N1142" s="46" t="n">
        <v>0.126872</v>
      </c>
      <c r="O1142" s="46" t="n">
        <v>0.2240831</v>
      </c>
      <c r="P1142" s="46" t="n">
        <v>0.6438664</v>
      </c>
      <c r="Q1142" s="46" t="n">
        <v>2.09869</v>
      </c>
      <c r="R1142" s="46" t="n">
        <v>2.2378508</v>
      </c>
      <c r="S1142" s="47" t="n">
        <f aca="false">M1142+N1142+O1142</f>
        <v>0.5783797</v>
      </c>
      <c r="T1142" s="47" t="n">
        <f aca="false">M1142+P1142</f>
        <v>0.871291</v>
      </c>
    </row>
    <row r="1143" customFormat="false" ht="15" hidden="false" customHeight="false" outlineLevel="0" collapsed="false">
      <c r="A1143" s="42" t="s">
        <v>45</v>
      </c>
      <c r="B1143" s="42" t="n">
        <v>-12</v>
      </c>
      <c r="C1143" s="42" t="n">
        <v>42</v>
      </c>
      <c r="D1143" s="42" t="n">
        <v>74290957</v>
      </c>
      <c r="E1143" s="43" t="n">
        <v>0.766372921545808</v>
      </c>
      <c r="F1143" s="43" t="n">
        <v>0.79777380966042</v>
      </c>
      <c r="G1143" s="43" t="n">
        <v>0.782659176480112</v>
      </c>
      <c r="H1143" s="43" t="n">
        <v>0.808993490556541</v>
      </c>
      <c r="I1143" s="42" t="n">
        <v>1</v>
      </c>
      <c r="J1143" s="42" t="n">
        <v>1</v>
      </c>
      <c r="K1143" s="44" t="str">
        <f aca="false">IF(AND(I1143=1,J1143=1),"两者都跟住",IF(AND(I1143=0,J1143=1),"仅 PC-TBD 跟住",IF(AND(I1143=1,J1143=0),"仅 VIT-LPS 跟住","都没跟住")))</f>
        <v>两者都跟住</v>
      </c>
      <c r="L1143" s="45" t="n">
        <f aca="false">F1143-G1143</f>
        <v>0.015114633180308</v>
      </c>
      <c r="M1143" s="46" t="n">
        <v>0.1959234</v>
      </c>
      <c r="N1143" s="46" t="n">
        <v>0.1092572</v>
      </c>
      <c r="O1143" s="46" t="n">
        <v>0.2014053</v>
      </c>
      <c r="P1143" s="46" t="n">
        <v>0.6626659</v>
      </c>
      <c r="Q1143" s="46" t="n">
        <v>2.7172032</v>
      </c>
      <c r="R1143" s="46" t="n">
        <v>2.4345873</v>
      </c>
      <c r="S1143" s="47" t="n">
        <f aca="false">M1143+N1143+O1143</f>
        <v>0.5065859</v>
      </c>
      <c r="T1143" s="47" t="n">
        <f aca="false">M1143+P1143</f>
        <v>0.8585893</v>
      </c>
    </row>
    <row r="1144" customFormat="false" ht="15" hidden="false" customHeight="false" outlineLevel="0" collapsed="false">
      <c r="A1144" s="42" t="s">
        <v>45</v>
      </c>
      <c r="B1144" s="42" t="n">
        <v>-12</v>
      </c>
      <c r="C1144" s="42" t="n">
        <v>43</v>
      </c>
      <c r="D1144" s="42" t="n">
        <v>74290958</v>
      </c>
      <c r="E1144" s="43" t="n">
        <v>0.749166888989571</v>
      </c>
      <c r="F1144" s="43" t="n">
        <v>0.798704209335335</v>
      </c>
      <c r="G1144" s="43" t="n">
        <v>0.811491156345771</v>
      </c>
      <c r="H1144" s="43" t="n">
        <v>0.816091728031143</v>
      </c>
      <c r="I1144" s="42" t="n">
        <v>1</v>
      </c>
      <c r="J1144" s="42" t="n">
        <v>1</v>
      </c>
      <c r="K1144" s="44" t="str">
        <f aca="false">IF(AND(I1144=1,J1144=1),"两者都跟住",IF(AND(I1144=0,J1144=1),"仅 PC-TBD 跟住",IF(AND(I1144=1,J1144=0),"仅 VIT-LPS 跟住","都没跟住")))</f>
        <v>两者都跟住</v>
      </c>
      <c r="L1144" s="45" t="n">
        <f aca="false">F1144-G1144</f>
        <v>-0.0127869470104359</v>
      </c>
      <c r="M1144" s="46" t="n">
        <v>0.2142988</v>
      </c>
      <c r="N1144" s="46" t="n">
        <v>0.1421416</v>
      </c>
      <c r="O1144" s="46" t="n">
        <v>0.2000655</v>
      </c>
      <c r="P1144" s="46" t="n">
        <v>0.6069949</v>
      </c>
      <c r="Q1144" s="46" t="n">
        <v>2.2754355</v>
      </c>
      <c r="R1144" s="46" t="n">
        <v>2.0385659</v>
      </c>
      <c r="S1144" s="47" t="n">
        <f aca="false">M1144+N1144+O1144</f>
        <v>0.5565059</v>
      </c>
      <c r="T1144" s="47" t="n">
        <f aca="false">M1144+P1144</f>
        <v>0.8212937</v>
      </c>
    </row>
    <row r="1145" customFormat="false" ht="15" hidden="false" customHeight="false" outlineLevel="0" collapsed="false">
      <c r="A1145" s="42" t="s">
        <v>45</v>
      </c>
      <c r="B1145" s="42" t="n">
        <v>-12</v>
      </c>
      <c r="C1145" s="42" t="n">
        <v>44</v>
      </c>
      <c r="D1145" s="42" t="n">
        <v>74290959</v>
      </c>
      <c r="E1145" s="43" t="n">
        <v>0.749311527664923</v>
      </c>
      <c r="F1145" s="43" t="n">
        <v>0.799285876252165</v>
      </c>
      <c r="G1145" s="43" t="n">
        <v>0.8109571041795</v>
      </c>
      <c r="H1145" s="43" t="n">
        <v>0.813142379101543</v>
      </c>
      <c r="I1145" s="42" t="n">
        <v>1</v>
      </c>
      <c r="J1145" s="42" t="n">
        <v>1</v>
      </c>
      <c r="K1145" s="44" t="str">
        <f aca="false">IF(AND(I1145=1,J1145=1),"两者都跟住",IF(AND(I1145=0,J1145=1),"仅 PC-TBD 跟住",IF(AND(I1145=1,J1145=0),"仅 VIT-LPS 跟住","都没跟住")))</f>
        <v>两者都跟住</v>
      </c>
      <c r="L1145" s="45" t="n">
        <f aca="false">F1145-G1145</f>
        <v>-0.011671227927335</v>
      </c>
      <c r="M1145" s="46" t="n">
        <v>0.1875443</v>
      </c>
      <c r="N1145" s="46" t="n">
        <v>0.1424544</v>
      </c>
      <c r="O1145" s="46" t="n">
        <v>0.2043223</v>
      </c>
      <c r="P1145" s="46" t="n">
        <v>0.7035665</v>
      </c>
      <c r="Q1145" s="46" t="n">
        <v>2.3881258</v>
      </c>
      <c r="R1145" s="46" t="n">
        <v>2.0866717</v>
      </c>
      <c r="S1145" s="47" t="n">
        <f aca="false">M1145+N1145+O1145</f>
        <v>0.534321</v>
      </c>
      <c r="T1145" s="47" t="n">
        <f aca="false">M1145+P1145</f>
        <v>0.8911108</v>
      </c>
    </row>
    <row r="1146" customFormat="false" ht="15" hidden="false" customHeight="false" outlineLevel="0" collapsed="false">
      <c r="A1146" s="42" t="s">
        <v>45</v>
      </c>
      <c r="B1146" s="42" t="n">
        <v>-12</v>
      </c>
      <c r="C1146" s="42" t="n">
        <v>45</v>
      </c>
      <c r="D1146" s="42" t="n">
        <v>74290960</v>
      </c>
      <c r="E1146" s="43" t="n">
        <v>0.752250587439466</v>
      </c>
      <c r="F1146" s="43" t="n">
        <v>0.801240029998658</v>
      </c>
      <c r="G1146" s="43" t="n">
        <v>0.822051970483887</v>
      </c>
      <c r="H1146" s="43" t="n">
        <v>0.829236860410197</v>
      </c>
      <c r="I1146" s="42" t="n">
        <v>1</v>
      </c>
      <c r="J1146" s="42" t="n">
        <v>1</v>
      </c>
      <c r="K1146" s="44" t="str">
        <f aca="false">IF(AND(I1146=1,J1146=1),"两者都跟住",IF(AND(I1146=0,J1146=1),"仅 PC-TBD 跟住",IF(AND(I1146=1,J1146=0),"仅 VIT-LPS 跟住","都没跟住")))</f>
        <v>两者都跟住</v>
      </c>
      <c r="L1146" s="45" t="n">
        <f aca="false">F1146-G1146</f>
        <v>-0.0208119404852291</v>
      </c>
      <c r="M1146" s="46" t="n">
        <v>0.2564294</v>
      </c>
      <c r="N1146" s="46" t="n">
        <v>0.1427551</v>
      </c>
      <c r="O1146" s="46" t="n">
        <v>0.3571195</v>
      </c>
      <c r="P1146" s="46" t="n">
        <v>0.5634451</v>
      </c>
      <c r="Q1146" s="46" t="n">
        <v>2.0993608</v>
      </c>
      <c r="R1146" s="46" t="n">
        <v>2.3001349</v>
      </c>
      <c r="S1146" s="47" t="n">
        <f aca="false">M1146+N1146+O1146</f>
        <v>0.756304</v>
      </c>
      <c r="T1146" s="47" t="n">
        <f aca="false">M1146+P1146</f>
        <v>0.8198745</v>
      </c>
    </row>
    <row r="1147" customFormat="false" ht="15" hidden="false" customHeight="false" outlineLevel="0" collapsed="false">
      <c r="A1147" s="42" t="s">
        <v>45</v>
      </c>
      <c r="B1147" s="42" t="n">
        <v>-12</v>
      </c>
      <c r="C1147" s="42" t="n">
        <v>46</v>
      </c>
      <c r="D1147" s="42" t="n">
        <v>74290961</v>
      </c>
      <c r="E1147" s="43" t="n">
        <v>0.723137506624091</v>
      </c>
      <c r="F1147" s="43" t="n">
        <v>0.753877618081915</v>
      </c>
      <c r="G1147" s="43" t="n">
        <v>0.750424552551806</v>
      </c>
      <c r="H1147" s="43" t="n">
        <v>0.77155277503041</v>
      </c>
      <c r="I1147" s="42" t="n">
        <v>1</v>
      </c>
      <c r="J1147" s="42" t="n">
        <v>1</v>
      </c>
      <c r="K1147" s="44" t="str">
        <f aca="false">IF(AND(I1147=1,J1147=1),"两者都跟住",IF(AND(I1147=0,J1147=1),"仅 PC-TBD 跟住",IF(AND(I1147=1,J1147=0),"仅 VIT-LPS 跟住","都没跟住")))</f>
        <v>两者都跟住</v>
      </c>
      <c r="L1147" s="45" t="n">
        <f aca="false">F1147-G1147</f>
        <v>0.00345306553010905</v>
      </c>
      <c r="M1147" s="46" t="n">
        <v>0.2293936</v>
      </c>
      <c r="N1147" s="46" t="n">
        <v>0.1236564</v>
      </c>
      <c r="O1147" s="46" t="n">
        <v>0.3806437</v>
      </c>
      <c r="P1147" s="46" t="n">
        <v>0.660936</v>
      </c>
      <c r="Q1147" s="46" t="n">
        <v>2.2839144</v>
      </c>
      <c r="R1147" s="46" t="n">
        <v>2.2159821</v>
      </c>
      <c r="S1147" s="47" t="n">
        <f aca="false">M1147+N1147+O1147</f>
        <v>0.7336937</v>
      </c>
      <c r="T1147" s="47" t="n">
        <f aca="false">M1147+P1147</f>
        <v>0.8903296</v>
      </c>
    </row>
    <row r="1148" customFormat="false" ht="15" hidden="false" customHeight="false" outlineLevel="0" collapsed="false">
      <c r="A1148" s="42" t="s">
        <v>45</v>
      </c>
      <c r="B1148" s="42" t="n">
        <v>-12</v>
      </c>
      <c r="C1148" s="42" t="n">
        <v>47</v>
      </c>
      <c r="D1148" s="42" t="n">
        <v>74290962</v>
      </c>
      <c r="E1148" s="43" t="n">
        <v>0.717592983071851</v>
      </c>
      <c r="F1148" s="43" t="n">
        <v>0.795092623287041</v>
      </c>
      <c r="G1148" s="43" t="n">
        <v>0.813960200899718</v>
      </c>
      <c r="H1148" s="43" t="n">
        <v>0.814726732756181</v>
      </c>
      <c r="I1148" s="42" t="n">
        <v>1</v>
      </c>
      <c r="J1148" s="42" t="n">
        <v>1</v>
      </c>
      <c r="K1148" s="44" t="str">
        <f aca="false">IF(AND(I1148=1,J1148=1),"两者都跟住",IF(AND(I1148=0,J1148=1),"仅 PC-TBD 跟住",IF(AND(I1148=1,J1148=0),"仅 VIT-LPS 跟住","都没跟住")))</f>
        <v>两者都跟住</v>
      </c>
      <c r="L1148" s="45" t="n">
        <f aca="false">F1148-G1148</f>
        <v>-0.018867577612677</v>
      </c>
      <c r="M1148" s="46" t="n">
        <v>0.185146</v>
      </c>
      <c r="N1148" s="46" t="n">
        <v>0.1230115</v>
      </c>
      <c r="O1148" s="46" t="n">
        <v>0.1778596</v>
      </c>
      <c r="P1148" s="46" t="n">
        <v>0.6078535</v>
      </c>
      <c r="Q1148" s="46" t="n">
        <v>1.6896403</v>
      </c>
      <c r="R1148" s="46" t="n">
        <v>1.3149568</v>
      </c>
      <c r="S1148" s="47" t="n">
        <f aca="false">M1148+N1148+O1148</f>
        <v>0.4860171</v>
      </c>
      <c r="T1148" s="47" t="n">
        <f aca="false">M1148+P1148</f>
        <v>0.7929995</v>
      </c>
    </row>
    <row r="1149" customFormat="false" ht="15" hidden="false" customHeight="false" outlineLevel="0" collapsed="false">
      <c r="A1149" s="42" t="s">
        <v>45</v>
      </c>
      <c r="B1149" s="42" t="n">
        <v>-12</v>
      </c>
      <c r="C1149" s="42" t="n">
        <v>48</v>
      </c>
      <c r="D1149" s="42" t="n">
        <v>74290963</v>
      </c>
      <c r="E1149" s="43" t="n">
        <v>0.70919110421648</v>
      </c>
      <c r="F1149" s="43" t="n">
        <v>0.768061971836353</v>
      </c>
      <c r="G1149" s="43" t="n">
        <v>0.777663405302885</v>
      </c>
      <c r="H1149" s="43" t="n">
        <v>0.785924967466322</v>
      </c>
      <c r="I1149" s="42" t="n">
        <v>1</v>
      </c>
      <c r="J1149" s="42" t="n">
        <v>1</v>
      </c>
      <c r="K1149" s="44" t="str">
        <f aca="false">IF(AND(I1149=1,J1149=1),"两者都跟住",IF(AND(I1149=0,J1149=1),"仅 PC-TBD 跟住",IF(AND(I1149=1,J1149=0),"仅 VIT-LPS 跟住","都没跟住")))</f>
        <v>两者都跟住</v>
      </c>
      <c r="L1149" s="45" t="n">
        <f aca="false">F1149-G1149</f>
        <v>-0.00960143346653197</v>
      </c>
      <c r="M1149" s="46" t="n">
        <v>0.1727402</v>
      </c>
      <c r="N1149" s="46" t="n">
        <v>0.0972968</v>
      </c>
      <c r="O1149" s="46" t="n">
        <v>0.1604339</v>
      </c>
      <c r="P1149" s="46" t="n">
        <v>0.4798666</v>
      </c>
      <c r="Q1149" s="46" t="n">
        <v>1.6590686</v>
      </c>
      <c r="R1149" s="46" t="n">
        <v>1.6623988</v>
      </c>
      <c r="S1149" s="47" t="n">
        <f aca="false">M1149+N1149+O1149</f>
        <v>0.4304709</v>
      </c>
      <c r="T1149" s="47" t="n">
        <f aca="false">M1149+P1149</f>
        <v>0.6526068</v>
      </c>
    </row>
    <row r="1150" customFormat="false" ht="15" hidden="false" customHeight="false" outlineLevel="0" collapsed="false">
      <c r="A1150" s="42" t="s">
        <v>45</v>
      </c>
      <c r="B1150" s="42" t="n">
        <v>-12</v>
      </c>
      <c r="C1150" s="42" t="n">
        <v>49</v>
      </c>
      <c r="D1150" s="42" t="n">
        <v>74290964</v>
      </c>
      <c r="E1150" s="43" t="n">
        <v>0.709669309266505</v>
      </c>
      <c r="F1150" s="43" t="n">
        <v>0.76828251267032</v>
      </c>
      <c r="G1150" s="43" t="n">
        <v>0.71351393589468</v>
      </c>
      <c r="H1150" s="43" t="n">
        <v>0.731034750973692</v>
      </c>
      <c r="I1150" s="42" t="n">
        <v>1</v>
      </c>
      <c r="J1150" s="42" t="n">
        <v>1</v>
      </c>
      <c r="K1150" s="44" t="str">
        <f aca="false">IF(AND(I1150=1,J1150=1),"两者都跟住",IF(AND(I1150=0,J1150=1),"仅 PC-TBD 跟住",IF(AND(I1150=1,J1150=0),"仅 VIT-LPS 跟住","都没跟住")))</f>
        <v>两者都跟住</v>
      </c>
      <c r="L1150" s="45" t="n">
        <f aca="false">F1150-G1150</f>
        <v>0.05476857677564</v>
      </c>
      <c r="M1150" s="46" t="n">
        <v>0.1471246</v>
      </c>
      <c r="N1150" s="46" t="n">
        <v>0.091262</v>
      </c>
      <c r="O1150" s="46" t="n">
        <v>0.167581</v>
      </c>
      <c r="P1150" s="46" t="n">
        <v>0.5053258</v>
      </c>
      <c r="Q1150" s="46" t="n">
        <v>1.5231069</v>
      </c>
      <c r="R1150" s="46" t="n">
        <v>1.5551891</v>
      </c>
      <c r="S1150" s="47" t="n">
        <f aca="false">M1150+N1150+O1150</f>
        <v>0.4059676</v>
      </c>
      <c r="T1150" s="47" t="n">
        <f aca="false">M1150+P1150</f>
        <v>0.6524504</v>
      </c>
    </row>
    <row r="1151" customFormat="false" ht="15" hidden="false" customHeight="false" outlineLevel="0" collapsed="false">
      <c r="A1151" s="42" t="s">
        <v>45</v>
      </c>
      <c r="B1151" s="42" t="n">
        <v>-12</v>
      </c>
      <c r="C1151" s="42" t="n">
        <v>50</v>
      </c>
      <c r="D1151" s="42" t="n">
        <v>74290965</v>
      </c>
      <c r="E1151" s="43" t="n">
        <v>0.733812455541978</v>
      </c>
      <c r="F1151" s="43" t="n">
        <v>0.788073203658663</v>
      </c>
      <c r="G1151" s="43" t="n">
        <v>0.807037819302476</v>
      </c>
      <c r="H1151" s="43" t="n">
        <v>0.815641921213714</v>
      </c>
      <c r="I1151" s="42" t="n">
        <v>1</v>
      </c>
      <c r="J1151" s="42" t="n">
        <v>1</v>
      </c>
      <c r="K1151" s="44" t="str">
        <f aca="false">IF(AND(I1151=1,J1151=1),"两者都跟住",IF(AND(I1151=0,J1151=1),"仅 PC-TBD 跟住",IF(AND(I1151=1,J1151=0),"仅 VIT-LPS 跟住","都没跟住")))</f>
        <v>两者都跟住</v>
      </c>
      <c r="L1151" s="45" t="n">
        <f aca="false">F1151-G1151</f>
        <v>-0.018964615643813</v>
      </c>
      <c r="M1151" s="46" t="n">
        <v>0.1491609</v>
      </c>
      <c r="N1151" s="46" t="n">
        <v>0.1104739</v>
      </c>
      <c r="O1151" s="46" t="n">
        <v>0.1420905</v>
      </c>
      <c r="P1151" s="46" t="n">
        <v>0.5588586</v>
      </c>
      <c r="Q1151" s="46" t="n">
        <v>1.5967374</v>
      </c>
      <c r="R1151" s="46" t="n">
        <v>1.6452156</v>
      </c>
      <c r="S1151" s="47" t="n">
        <f aca="false">M1151+N1151+O1151</f>
        <v>0.4017253</v>
      </c>
      <c r="T1151" s="47" t="n">
        <f aca="false">M1151+P1151</f>
        <v>0.7080195</v>
      </c>
    </row>
    <row r="1152" customFormat="false" ht="15" hidden="false" customHeight="false" outlineLevel="0" collapsed="false">
      <c r="A1152" s="42" t="s">
        <v>45</v>
      </c>
      <c r="B1152" s="42" t="n">
        <v>-12</v>
      </c>
      <c r="C1152" s="42" t="n">
        <v>51</v>
      </c>
      <c r="D1152" s="42" t="n">
        <v>74290966</v>
      </c>
      <c r="E1152" s="43" t="n">
        <v>0.738385225002679</v>
      </c>
      <c r="F1152" s="43" t="n">
        <v>0.663697602394109</v>
      </c>
      <c r="G1152" s="43" t="n">
        <v>0.810443147044034</v>
      </c>
      <c r="H1152" s="43" t="n">
        <v>0.8241879557776</v>
      </c>
      <c r="I1152" s="42" t="n">
        <v>1</v>
      </c>
      <c r="J1152" s="42" t="n">
        <v>1</v>
      </c>
      <c r="K1152" s="44" t="str">
        <f aca="false">IF(AND(I1152=1,J1152=1),"两者都跟住",IF(AND(I1152=0,J1152=1),"仅 PC-TBD 跟住",IF(AND(I1152=1,J1152=0),"仅 VIT-LPS 跟住","都没跟住")))</f>
        <v>两者都跟住</v>
      </c>
      <c r="L1152" s="45" t="n">
        <f aca="false">F1152-G1152</f>
        <v>-0.146745544649925</v>
      </c>
      <c r="M1152" s="46" t="n">
        <v>0.2991093</v>
      </c>
      <c r="N1152" s="46" t="n">
        <v>0.1222035</v>
      </c>
      <c r="O1152" s="46" t="n">
        <v>0.2345907</v>
      </c>
      <c r="P1152" s="46" t="n">
        <v>0.5042896</v>
      </c>
      <c r="Q1152" s="46" t="n">
        <v>4.7103913</v>
      </c>
      <c r="R1152" s="46" t="n">
        <v>2.0969818</v>
      </c>
      <c r="S1152" s="47" t="n">
        <f aca="false">M1152+N1152+O1152</f>
        <v>0.6559035</v>
      </c>
      <c r="T1152" s="47" t="n">
        <f aca="false">M1152+P1152</f>
        <v>0.8033989</v>
      </c>
    </row>
    <row r="1153" customFormat="false" ht="15" hidden="false" customHeight="false" outlineLevel="0" collapsed="false">
      <c r="A1153" s="42" t="s">
        <v>45</v>
      </c>
      <c r="B1153" s="42" t="n">
        <v>-12</v>
      </c>
      <c r="C1153" s="42" t="n">
        <v>52</v>
      </c>
      <c r="D1153" s="42" t="n">
        <v>74290967</v>
      </c>
      <c r="E1153" s="43" t="n">
        <v>0.535127408758699</v>
      </c>
      <c r="F1153" s="43" t="n">
        <v>0.691045581888803</v>
      </c>
      <c r="G1153" s="43" t="n">
        <v>0.769558154557263</v>
      </c>
      <c r="H1153" s="43" t="n">
        <v>0.77663871821318</v>
      </c>
      <c r="I1153" s="42" t="n">
        <v>1</v>
      </c>
      <c r="J1153" s="42" t="n">
        <v>1</v>
      </c>
      <c r="K1153" s="44" t="str">
        <f aca="false">IF(AND(I1153=1,J1153=1),"两者都跟住",IF(AND(I1153=0,J1153=1),"仅 PC-TBD 跟住",IF(AND(I1153=1,J1153=0),"仅 VIT-LPS 跟住","都没跟住")))</f>
        <v>两者都跟住</v>
      </c>
      <c r="L1153" s="45" t="n">
        <f aca="false">F1153-G1153</f>
        <v>-0.0785125726684599</v>
      </c>
      <c r="M1153" s="46" t="n">
        <v>0.2871193</v>
      </c>
      <c r="N1153" s="46" t="n">
        <v>0.1384246</v>
      </c>
      <c r="O1153" s="46" t="n">
        <v>0.2070496</v>
      </c>
      <c r="P1153" s="46" t="n">
        <v>0.5444321</v>
      </c>
      <c r="Q1153" s="46" t="n">
        <v>2.0298458</v>
      </c>
      <c r="R1153" s="46" t="n">
        <v>2.3822442</v>
      </c>
      <c r="S1153" s="47" t="n">
        <f aca="false">M1153+N1153+O1153</f>
        <v>0.6325935</v>
      </c>
      <c r="T1153" s="47" t="n">
        <f aca="false">M1153+P1153</f>
        <v>0.8315514</v>
      </c>
    </row>
    <row r="1154" customFormat="false" ht="15" hidden="false" customHeight="false" outlineLevel="0" collapsed="false">
      <c r="A1154" s="42" t="s">
        <v>45</v>
      </c>
      <c r="B1154" s="42" t="n">
        <v>-12</v>
      </c>
      <c r="C1154" s="42" t="n">
        <v>53</v>
      </c>
      <c r="D1154" s="42" t="n">
        <v>74290968</v>
      </c>
      <c r="E1154" s="43" t="n">
        <v>0.73929059830281</v>
      </c>
      <c r="F1154" s="43" t="n">
        <v>0.795689896504258</v>
      </c>
      <c r="G1154" s="43" t="n">
        <v>0.821377879912936</v>
      </c>
      <c r="H1154" s="43" t="n">
        <v>0.81628526494319</v>
      </c>
      <c r="I1154" s="42" t="n">
        <v>1</v>
      </c>
      <c r="J1154" s="42" t="n">
        <v>1</v>
      </c>
      <c r="K1154" s="44" t="str">
        <f aca="false">IF(AND(I1154=1,J1154=1),"两者都跟住",IF(AND(I1154=0,J1154=1),"仅 PC-TBD 跟住",IF(AND(I1154=1,J1154=0),"仅 VIT-LPS 跟住","都没跟住")))</f>
        <v>两者都跟住</v>
      </c>
      <c r="L1154" s="45" t="n">
        <f aca="false">F1154-G1154</f>
        <v>-0.025687983408678</v>
      </c>
      <c r="M1154" s="46" t="n">
        <v>0.305469</v>
      </c>
      <c r="N1154" s="46" t="n">
        <v>0.134575</v>
      </c>
      <c r="O1154" s="46" t="n">
        <v>0.2483325</v>
      </c>
      <c r="P1154" s="46" t="n">
        <v>0.5895492</v>
      </c>
      <c r="Q1154" s="46" t="n">
        <v>2.7124409</v>
      </c>
      <c r="R1154" s="46" t="n">
        <v>2.4893439</v>
      </c>
      <c r="S1154" s="47" t="n">
        <f aca="false">M1154+N1154+O1154</f>
        <v>0.6883765</v>
      </c>
      <c r="T1154" s="47" t="n">
        <f aca="false">M1154+P1154</f>
        <v>0.8950182</v>
      </c>
    </row>
    <row r="1155" customFormat="false" ht="15" hidden="false" customHeight="false" outlineLevel="0" collapsed="false">
      <c r="A1155" s="42" t="s">
        <v>45</v>
      </c>
      <c r="B1155" s="42" t="n">
        <v>-12</v>
      </c>
      <c r="C1155" s="42" t="n">
        <v>54</v>
      </c>
      <c r="D1155" s="42" t="n">
        <v>74290969</v>
      </c>
      <c r="E1155" s="43" t="n">
        <v>0.656634387653229</v>
      </c>
      <c r="F1155" s="43" t="n">
        <v>0.798991327638662</v>
      </c>
      <c r="G1155" s="43" t="n">
        <v>0.810239509084431</v>
      </c>
      <c r="H1155" s="43" t="n">
        <v>0.815464847014738</v>
      </c>
      <c r="I1155" s="42" t="n">
        <v>1</v>
      </c>
      <c r="J1155" s="42" t="n">
        <v>1</v>
      </c>
      <c r="K1155" s="44" t="str">
        <f aca="false">IF(AND(I1155=1,J1155=1),"两者都跟住",IF(AND(I1155=0,J1155=1),"仅 PC-TBD 跟住",IF(AND(I1155=1,J1155=0),"仅 VIT-LPS 跟住","都没跟住")))</f>
        <v>两者都跟住</v>
      </c>
      <c r="L1155" s="45" t="n">
        <f aca="false">F1155-G1155</f>
        <v>-0.011248181445769</v>
      </c>
      <c r="M1155" s="46" t="n">
        <v>0.2959929</v>
      </c>
      <c r="N1155" s="46" t="n">
        <v>0.1412942</v>
      </c>
      <c r="O1155" s="46" t="n">
        <v>0.263227</v>
      </c>
      <c r="P1155" s="46" t="n">
        <v>0.5761982</v>
      </c>
      <c r="Q1155" s="46" t="n">
        <v>2.4873861</v>
      </c>
      <c r="R1155" s="46" t="n">
        <v>2.1460079</v>
      </c>
      <c r="S1155" s="47" t="n">
        <f aca="false">M1155+N1155+O1155</f>
        <v>0.7005141</v>
      </c>
      <c r="T1155" s="47" t="n">
        <f aca="false">M1155+P1155</f>
        <v>0.8721911</v>
      </c>
    </row>
    <row r="1156" customFormat="false" ht="15" hidden="false" customHeight="false" outlineLevel="0" collapsed="false">
      <c r="A1156" s="42" t="s">
        <v>45</v>
      </c>
      <c r="B1156" s="42" t="n">
        <v>-12</v>
      </c>
      <c r="C1156" s="42" t="n">
        <v>55</v>
      </c>
      <c r="D1156" s="42" t="n">
        <v>74290970</v>
      </c>
      <c r="E1156" s="43" t="n">
        <v>0.741287679657745</v>
      </c>
      <c r="F1156" s="43" t="n">
        <v>0.800485222931556</v>
      </c>
      <c r="G1156" s="43" t="n">
        <v>0.761772014120438</v>
      </c>
      <c r="H1156" s="43" t="n">
        <v>0.782688531673496</v>
      </c>
      <c r="I1156" s="42" t="n">
        <v>1</v>
      </c>
      <c r="J1156" s="42" t="n">
        <v>1</v>
      </c>
      <c r="K1156" s="44" t="str">
        <f aca="false">IF(AND(I1156=1,J1156=1),"两者都跟住",IF(AND(I1156=0,J1156=1),"仅 PC-TBD 跟住",IF(AND(I1156=1,J1156=0),"仅 VIT-LPS 跟住","都没跟住")))</f>
        <v>两者都跟住</v>
      </c>
      <c r="L1156" s="45" t="n">
        <f aca="false">F1156-G1156</f>
        <v>0.038713208811118</v>
      </c>
      <c r="M1156" s="46" t="n">
        <v>0.2753215</v>
      </c>
      <c r="N1156" s="46" t="n">
        <v>0.1352965</v>
      </c>
      <c r="O1156" s="46" t="n">
        <v>0.2361794</v>
      </c>
      <c r="P1156" s="46" t="n">
        <v>0.5093309</v>
      </c>
      <c r="Q1156" s="46" t="n">
        <v>2.3872214</v>
      </c>
      <c r="R1156" s="46" t="n">
        <v>2.3468954</v>
      </c>
      <c r="S1156" s="47" t="n">
        <f aca="false">M1156+N1156+O1156</f>
        <v>0.6467974</v>
      </c>
      <c r="T1156" s="47" t="n">
        <f aca="false">M1156+P1156</f>
        <v>0.7846524</v>
      </c>
    </row>
    <row r="1157" customFormat="false" ht="15" hidden="false" customHeight="false" outlineLevel="0" collapsed="false">
      <c r="A1157" s="42" t="s">
        <v>45</v>
      </c>
      <c r="B1157" s="42" t="n">
        <v>-12</v>
      </c>
      <c r="C1157" s="42" t="n">
        <v>56</v>
      </c>
      <c r="D1157" s="42" t="n">
        <v>74290971</v>
      </c>
      <c r="E1157" s="43" t="n">
        <v>0.712789680750529</v>
      </c>
      <c r="F1157" s="43" t="n">
        <v>0.753819491229936</v>
      </c>
      <c r="G1157" s="43" t="n">
        <v>0.777889341862184</v>
      </c>
      <c r="H1157" s="43" t="n">
        <v>0.792671008648205</v>
      </c>
      <c r="I1157" s="42" t="n">
        <v>1</v>
      </c>
      <c r="J1157" s="42" t="n">
        <v>1</v>
      </c>
      <c r="K1157" s="44" t="str">
        <f aca="false">IF(AND(I1157=1,J1157=1),"两者都跟住",IF(AND(I1157=0,J1157=1),"仅 PC-TBD 跟住",IF(AND(I1157=1,J1157=0),"仅 VIT-LPS 跟住","都没跟住")))</f>
        <v>两者都跟住</v>
      </c>
      <c r="L1157" s="45" t="n">
        <f aca="false">F1157-G1157</f>
        <v>-0.024069850632248</v>
      </c>
      <c r="M1157" s="46" t="n">
        <v>0.2899154</v>
      </c>
      <c r="N1157" s="46" t="n">
        <v>0.1417707</v>
      </c>
      <c r="O1157" s="46" t="n">
        <v>0.2103327</v>
      </c>
      <c r="P1157" s="46" t="n">
        <v>0.4817838</v>
      </c>
      <c r="Q1157" s="46" t="n">
        <v>2.3435054</v>
      </c>
      <c r="R1157" s="46" t="n">
        <v>2.4369256</v>
      </c>
      <c r="S1157" s="47" t="n">
        <f aca="false">M1157+N1157+O1157</f>
        <v>0.6420188</v>
      </c>
      <c r="T1157" s="47" t="n">
        <f aca="false">M1157+P1157</f>
        <v>0.7716992</v>
      </c>
    </row>
    <row r="1158" customFormat="false" ht="15" hidden="false" customHeight="false" outlineLevel="0" collapsed="false">
      <c r="A1158" s="42" t="s">
        <v>45</v>
      </c>
      <c r="B1158" s="42" t="n">
        <v>-12</v>
      </c>
      <c r="C1158" s="42" t="n">
        <v>57</v>
      </c>
      <c r="D1158" s="42" t="n">
        <v>74290972</v>
      </c>
      <c r="E1158" s="43" t="n">
        <v>0.734427648240249</v>
      </c>
      <c r="F1158" s="43" t="n">
        <v>0.788663553368077</v>
      </c>
      <c r="G1158" s="43" t="n">
        <v>0.789384072850259</v>
      </c>
      <c r="H1158" s="43" t="n">
        <v>0.803147458731083</v>
      </c>
      <c r="I1158" s="42" t="n">
        <v>1</v>
      </c>
      <c r="J1158" s="42" t="n">
        <v>1</v>
      </c>
      <c r="K1158" s="44" t="str">
        <f aca="false">IF(AND(I1158=1,J1158=1),"两者都跟住",IF(AND(I1158=0,J1158=1),"仅 PC-TBD 跟住",IF(AND(I1158=1,J1158=0),"仅 VIT-LPS 跟住","都没跟住")))</f>
        <v>两者都跟住</v>
      </c>
      <c r="L1158" s="45" t="n">
        <f aca="false">F1158-G1158</f>
        <v>-0.000720519482181992</v>
      </c>
      <c r="M1158" s="46" t="n">
        <v>0.1288245</v>
      </c>
      <c r="N1158" s="46" t="n">
        <v>0.0859761</v>
      </c>
      <c r="O1158" s="46" t="n">
        <v>0.1543629</v>
      </c>
      <c r="P1158" s="46" t="n">
        <v>0.4721498</v>
      </c>
      <c r="Q1158" s="46" t="n">
        <v>1.4232586</v>
      </c>
      <c r="R1158" s="46" t="n">
        <v>1.6874224</v>
      </c>
      <c r="S1158" s="47" t="n">
        <f aca="false">M1158+N1158+O1158</f>
        <v>0.3691635</v>
      </c>
      <c r="T1158" s="47" t="n">
        <f aca="false">M1158+P1158</f>
        <v>0.6009743</v>
      </c>
    </row>
    <row r="1159" customFormat="false" ht="15" hidden="false" customHeight="false" outlineLevel="0" collapsed="false">
      <c r="A1159" s="42" t="s">
        <v>45</v>
      </c>
      <c r="B1159" s="42" t="n">
        <v>-12</v>
      </c>
      <c r="C1159" s="42" t="n">
        <v>58</v>
      </c>
      <c r="D1159" s="42" t="n">
        <v>74290973</v>
      </c>
      <c r="E1159" s="43" t="n">
        <v>0.737585953962699</v>
      </c>
      <c r="F1159" s="43" t="n">
        <v>0.760815721631862</v>
      </c>
      <c r="G1159" s="43" t="n">
        <v>0.759458461645916</v>
      </c>
      <c r="H1159" s="43" t="n">
        <v>0.756536260765061</v>
      </c>
      <c r="I1159" s="42" t="n">
        <v>1</v>
      </c>
      <c r="J1159" s="42" t="n">
        <v>1</v>
      </c>
      <c r="K1159" s="44" t="str">
        <f aca="false">IF(AND(I1159=1,J1159=1),"两者都跟住",IF(AND(I1159=0,J1159=1),"仅 PC-TBD 跟住",IF(AND(I1159=1,J1159=0),"仅 VIT-LPS 跟住","都没跟住")))</f>
        <v>两者都跟住</v>
      </c>
      <c r="L1159" s="45" t="n">
        <f aca="false">F1159-G1159</f>
        <v>0.00135725998594594</v>
      </c>
      <c r="M1159" s="46" t="n">
        <v>0.16962</v>
      </c>
      <c r="N1159" s="46" t="n">
        <v>0.0799944</v>
      </c>
      <c r="O1159" s="46" t="n">
        <v>0.1198396</v>
      </c>
      <c r="P1159" s="46" t="n">
        <v>0.3270701</v>
      </c>
      <c r="Q1159" s="46" t="n">
        <v>1.6702795</v>
      </c>
      <c r="R1159" s="46" t="n">
        <v>1.186445</v>
      </c>
      <c r="S1159" s="47" t="n">
        <f aca="false">M1159+N1159+O1159</f>
        <v>0.369454</v>
      </c>
      <c r="T1159" s="47" t="n">
        <f aca="false">M1159+P1159</f>
        <v>0.4966901</v>
      </c>
    </row>
    <row r="1160" customFormat="false" ht="15" hidden="false" customHeight="false" outlineLevel="0" collapsed="false">
      <c r="A1160" s="42" t="s">
        <v>45</v>
      </c>
      <c r="B1160" s="42" t="n">
        <v>-12</v>
      </c>
      <c r="C1160" s="42" t="n">
        <v>59</v>
      </c>
      <c r="D1160" s="42" t="n">
        <v>74290974</v>
      </c>
      <c r="E1160" s="43" t="n">
        <v>0.722864494051799</v>
      </c>
      <c r="F1160" s="43" t="n">
        <v>0.766837432868973</v>
      </c>
      <c r="G1160" s="43" t="n">
        <v>0.808007291790615</v>
      </c>
      <c r="H1160" s="43" t="n">
        <v>0.830421617993289</v>
      </c>
      <c r="I1160" s="42" t="n">
        <v>1</v>
      </c>
      <c r="J1160" s="42" t="n">
        <v>1</v>
      </c>
      <c r="K1160" s="44" t="str">
        <f aca="false">IF(AND(I1160=1,J1160=1),"两者都跟住",IF(AND(I1160=0,J1160=1),"仅 PC-TBD 跟住",IF(AND(I1160=1,J1160=0),"仅 VIT-LPS 跟住","都没跟住")))</f>
        <v>两者都跟住</v>
      </c>
      <c r="L1160" s="45" t="n">
        <f aca="false">F1160-G1160</f>
        <v>-0.041169858921642</v>
      </c>
      <c r="M1160" s="46" t="n">
        <v>0.1595817</v>
      </c>
      <c r="N1160" s="46" t="n">
        <v>0.090774</v>
      </c>
      <c r="O1160" s="46" t="n">
        <v>0.1620149</v>
      </c>
      <c r="P1160" s="46" t="n">
        <v>0.426142</v>
      </c>
      <c r="Q1160" s="46" t="n">
        <v>1.5118634</v>
      </c>
      <c r="R1160" s="46" t="n">
        <v>1.6371026</v>
      </c>
      <c r="S1160" s="47" t="n">
        <f aca="false">M1160+N1160+O1160</f>
        <v>0.4123706</v>
      </c>
      <c r="T1160" s="47" t="n">
        <f aca="false">M1160+P1160</f>
        <v>0.5857237</v>
      </c>
    </row>
    <row r="1161" customFormat="false" ht="15" hidden="false" customHeight="false" outlineLevel="0" collapsed="false">
      <c r="A1161" s="42" t="s">
        <v>45</v>
      </c>
      <c r="B1161" s="42" t="n">
        <v>-12</v>
      </c>
      <c r="C1161" s="42" t="n">
        <v>60</v>
      </c>
      <c r="D1161" s="42" t="n">
        <v>74290975</v>
      </c>
      <c r="E1161" s="43" t="n">
        <v>0.784484476893203</v>
      </c>
      <c r="F1161" s="43" t="n">
        <v>0.798569223046408</v>
      </c>
      <c r="G1161" s="43" t="n">
        <v>0.820477226604786</v>
      </c>
      <c r="H1161" s="43" t="n">
        <v>0.814473820676778</v>
      </c>
      <c r="I1161" s="42" t="n">
        <v>1</v>
      </c>
      <c r="J1161" s="42" t="n">
        <v>1</v>
      </c>
      <c r="K1161" s="44" t="str">
        <f aca="false">IF(AND(I1161=1,J1161=1),"两者都跟住",IF(AND(I1161=0,J1161=1),"仅 PC-TBD 跟住",IF(AND(I1161=1,J1161=0),"仅 VIT-LPS 跟住","都没跟住")))</f>
        <v>两者都跟住</v>
      </c>
      <c r="L1161" s="45" t="n">
        <f aca="false">F1161-G1161</f>
        <v>-0.021908003558378</v>
      </c>
      <c r="M1161" s="46" t="n">
        <v>0.1340323</v>
      </c>
      <c r="N1161" s="46" t="n">
        <v>0.0863399</v>
      </c>
      <c r="O1161" s="46" t="n">
        <v>0.1655118</v>
      </c>
      <c r="P1161" s="46" t="n">
        <v>0.4655694</v>
      </c>
      <c r="Q1161" s="46" t="n">
        <v>1.4620184</v>
      </c>
      <c r="R1161" s="46" t="n">
        <v>1.52474</v>
      </c>
      <c r="S1161" s="47" t="n">
        <f aca="false">M1161+N1161+O1161</f>
        <v>0.385884</v>
      </c>
      <c r="T1161" s="47" t="n">
        <f aca="false">M1161+P1161</f>
        <v>0.5996017</v>
      </c>
    </row>
    <row r="1162" customFormat="false" ht="15" hidden="false" customHeight="false" outlineLevel="0" collapsed="false">
      <c r="A1162" s="42" t="s">
        <v>45</v>
      </c>
      <c r="B1162" s="42" t="n">
        <v>-12</v>
      </c>
      <c r="C1162" s="42" t="n">
        <v>61</v>
      </c>
      <c r="D1162" s="42" t="n">
        <v>74290976</v>
      </c>
      <c r="E1162" s="43" t="n">
        <v>0.64913325676953</v>
      </c>
      <c r="F1162" s="43" t="n">
        <v>0.706010896585686</v>
      </c>
      <c r="G1162" s="43" t="n">
        <v>0.768387934500924</v>
      </c>
      <c r="H1162" s="43" t="n">
        <v>0.783270459584983</v>
      </c>
      <c r="I1162" s="42" t="n">
        <v>1</v>
      </c>
      <c r="J1162" s="42" t="n">
        <v>1</v>
      </c>
      <c r="K1162" s="44" t="str">
        <f aca="false">IF(AND(I1162=1,J1162=1),"两者都跟住",IF(AND(I1162=0,J1162=1),"仅 PC-TBD 跟住",IF(AND(I1162=1,J1162=0),"仅 VIT-LPS 跟住","都没跟住")))</f>
        <v>两者都跟住</v>
      </c>
      <c r="L1162" s="45" t="n">
        <f aca="false">F1162-G1162</f>
        <v>-0.062377037915238</v>
      </c>
      <c r="M1162" s="46" t="n">
        <v>0.2247496</v>
      </c>
      <c r="N1162" s="46" t="n">
        <v>0.1241628</v>
      </c>
      <c r="O1162" s="46" t="n">
        <v>0.2499169</v>
      </c>
      <c r="P1162" s="46" t="n">
        <v>0.5412593</v>
      </c>
      <c r="Q1162" s="46" t="n">
        <v>2.1351464</v>
      </c>
      <c r="R1162" s="46" t="n">
        <v>2.1895209</v>
      </c>
      <c r="S1162" s="47" t="n">
        <f aca="false">M1162+N1162+O1162</f>
        <v>0.5988293</v>
      </c>
      <c r="T1162" s="47" t="n">
        <f aca="false">M1162+P1162</f>
        <v>0.7660089</v>
      </c>
    </row>
    <row r="1163" customFormat="false" ht="15" hidden="false" customHeight="false" outlineLevel="0" collapsed="false">
      <c r="A1163" s="42" t="s">
        <v>45</v>
      </c>
      <c r="B1163" s="42" t="n">
        <v>-12</v>
      </c>
      <c r="C1163" s="42" t="n">
        <v>62</v>
      </c>
      <c r="D1163" s="42" t="n">
        <v>74290977</v>
      </c>
      <c r="E1163" s="43" t="n">
        <v>0.776058116965088</v>
      </c>
      <c r="F1163" s="43" t="n">
        <v>0.793531081634514</v>
      </c>
      <c r="G1163" s="43" t="n">
        <v>0.805119711874053</v>
      </c>
      <c r="H1163" s="43" t="n">
        <v>0.816371684144496</v>
      </c>
      <c r="I1163" s="42" t="n">
        <v>1</v>
      </c>
      <c r="J1163" s="42" t="n">
        <v>1</v>
      </c>
      <c r="K1163" s="44" t="str">
        <f aca="false">IF(AND(I1163=1,J1163=1),"两者都跟住",IF(AND(I1163=0,J1163=1),"仅 PC-TBD 跟住",IF(AND(I1163=1,J1163=0),"仅 VIT-LPS 跟住","都没跟住")))</f>
        <v>两者都跟住</v>
      </c>
      <c r="L1163" s="45" t="n">
        <f aca="false">F1163-G1163</f>
        <v>-0.0115886302395389</v>
      </c>
      <c r="M1163" s="46" t="n">
        <v>0.2329002</v>
      </c>
      <c r="N1163" s="46" t="n">
        <v>0.1260695</v>
      </c>
      <c r="O1163" s="46" t="n">
        <v>0.2329514</v>
      </c>
      <c r="P1163" s="46" t="n">
        <v>0.5647997</v>
      </c>
      <c r="Q1163" s="46" t="n">
        <v>2.4378053</v>
      </c>
      <c r="R1163" s="46" t="n">
        <v>1.9641312</v>
      </c>
      <c r="S1163" s="47" t="n">
        <f aca="false">M1163+N1163+O1163</f>
        <v>0.5919211</v>
      </c>
      <c r="T1163" s="47" t="n">
        <f aca="false">M1163+P1163</f>
        <v>0.7976999</v>
      </c>
    </row>
    <row r="1164" customFormat="false" ht="15" hidden="false" customHeight="false" outlineLevel="0" collapsed="false">
      <c r="A1164" s="42" t="s">
        <v>45</v>
      </c>
      <c r="B1164" s="42" t="n">
        <v>-12</v>
      </c>
      <c r="C1164" s="42" t="n">
        <v>63</v>
      </c>
      <c r="D1164" s="42" t="n">
        <v>74290978</v>
      </c>
      <c r="E1164" s="43" t="n">
        <v>0.70511761436752</v>
      </c>
      <c r="F1164" s="43" t="n">
        <v>0.718842885532439</v>
      </c>
      <c r="G1164" s="43" t="n">
        <v>0.786629163252234</v>
      </c>
      <c r="H1164" s="43" t="n">
        <v>0.806936745837901</v>
      </c>
      <c r="I1164" s="42" t="n">
        <v>1</v>
      </c>
      <c r="J1164" s="42" t="n">
        <v>1</v>
      </c>
      <c r="K1164" s="44" t="str">
        <f aca="false">IF(AND(I1164=1,J1164=1),"两者都跟住",IF(AND(I1164=0,J1164=1),"仅 PC-TBD 跟住",IF(AND(I1164=1,J1164=0),"仅 VIT-LPS 跟住","都没跟住")))</f>
        <v>两者都跟住</v>
      </c>
      <c r="L1164" s="45" t="n">
        <f aca="false">F1164-G1164</f>
        <v>-0.067786277719795</v>
      </c>
      <c r="M1164" s="46" t="n">
        <v>0.2490785</v>
      </c>
      <c r="N1164" s="46" t="n">
        <v>0.1288477</v>
      </c>
      <c r="O1164" s="46" t="n">
        <v>0.2425305</v>
      </c>
      <c r="P1164" s="46" t="n">
        <v>0.477149</v>
      </c>
      <c r="Q1164" s="46" t="n">
        <v>4.3671423</v>
      </c>
      <c r="R1164" s="46" t="n">
        <v>1.7845034</v>
      </c>
      <c r="S1164" s="47" t="n">
        <f aca="false">M1164+N1164+O1164</f>
        <v>0.6204567</v>
      </c>
      <c r="T1164" s="47" t="n">
        <f aca="false">M1164+P1164</f>
        <v>0.7262275</v>
      </c>
    </row>
    <row r="1165" customFormat="false" ht="15" hidden="false" customHeight="false" outlineLevel="0" collapsed="false">
      <c r="A1165" s="42" t="s">
        <v>45</v>
      </c>
      <c r="B1165" s="42" t="n">
        <v>-12</v>
      </c>
      <c r="C1165" s="42" t="n">
        <v>64</v>
      </c>
      <c r="D1165" s="42" t="n">
        <v>74290979</v>
      </c>
      <c r="E1165" s="43" t="n">
        <v>0.698966933587663</v>
      </c>
      <c r="F1165" s="43" t="n">
        <v>0.648268361974529</v>
      </c>
      <c r="G1165" s="43" t="n">
        <v>0.791429917646903</v>
      </c>
      <c r="H1165" s="43" t="n">
        <v>0.817669419675417</v>
      </c>
      <c r="I1165" s="42" t="n">
        <v>1</v>
      </c>
      <c r="J1165" s="42" t="n">
        <v>1</v>
      </c>
      <c r="K1165" s="44" t="str">
        <f aca="false">IF(AND(I1165=1,J1165=1),"两者都跟住",IF(AND(I1165=0,J1165=1),"仅 PC-TBD 跟住",IF(AND(I1165=1,J1165=0),"仅 VIT-LPS 跟住","都没跟住")))</f>
        <v>两者都跟住</v>
      </c>
      <c r="L1165" s="45" t="n">
        <f aca="false">F1165-G1165</f>
        <v>-0.143161555672374</v>
      </c>
      <c r="M1165" s="46" t="n">
        <v>0.2341614</v>
      </c>
      <c r="N1165" s="46" t="n">
        <v>0.1137386</v>
      </c>
      <c r="O1165" s="46" t="n">
        <v>0.1875197</v>
      </c>
      <c r="P1165" s="46" t="n">
        <v>0.5826426</v>
      </c>
      <c r="Q1165" s="46" t="n">
        <v>4.0627982</v>
      </c>
      <c r="R1165" s="46" t="n">
        <v>2.1278616</v>
      </c>
      <c r="S1165" s="47" t="n">
        <f aca="false">M1165+N1165+O1165</f>
        <v>0.5354197</v>
      </c>
      <c r="T1165" s="47" t="n">
        <f aca="false">M1165+P1165</f>
        <v>0.816804</v>
      </c>
    </row>
    <row r="1166" customFormat="false" ht="15" hidden="false" customHeight="false" outlineLevel="0" collapsed="false">
      <c r="A1166" s="42" t="s">
        <v>45</v>
      </c>
      <c r="B1166" s="42" t="n">
        <v>-12</v>
      </c>
      <c r="C1166" s="42" t="n">
        <v>65</v>
      </c>
      <c r="D1166" s="42" t="n">
        <v>74290980</v>
      </c>
      <c r="E1166" s="43" t="n">
        <v>0.708226696622286</v>
      </c>
      <c r="F1166" s="43" t="n">
        <v>0.766738085686563</v>
      </c>
      <c r="G1166" s="43" t="n">
        <v>0.764212203979308</v>
      </c>
      <c r="H1166" s="43" t="n">
        <v>0.798102383129252</v>
      </c>
      <c r="I1166" s="42" t="n">
        <v>1</v>
      </c>
      <c r="J1166" s="42" t="n">
        <v>1</v>
      </c>
      <c r="K1166" s="44" t="str">
        <f aca="false">IF(AND(I1166=1,J1166=1),"两者都跟住",IF(AND(I1166=0,J1166=1),"仅 PC-TBD 跟住",IF(AND(I1166=1,J1166=0),"仅 VIT-LPS 跟住","都没跟住")))</f>
        <v>两者都跟住</v>
      </c>
      <c r="L1166" s="45" t="n">
        <f aca="false">F1166-G1166</f>
        <v>0.00252588170725498</v>
      </c>
      <c r="M1166" s="46" t="n">
        <v>0.2278446</v>
      </c>
      <c r="N1166" s="46" t="n">
        <v>0.0979621</v>
      </c>
      <c r="O1166" s="46" t="n">
        <v>0.2128556</v>
      </c>
      <c r="P1166" s="46" t="n">
        <v>0.4906232</v>
      </c>
      <c r="Q1166" s="46" t="n">
        <v>2.2413828</v>
      </c>
      <c r="R1166" s="46" t="n">
        <v>2.1891862</v>
      </c>
      <c r="S1166" s="47" t="n">
        <f aca="false">M1166+N1166+O1166</f>
        <v>0.5386623</v>
      </c>
      <c r="T1166" s="47" t="n">
        <f aca="false">M1166+P1166</f>
        <v>0.7184678</v>
      </c>
    </row>
    <row r="1167" customFormat="false" ht="15" hidden="false" customHeight="false" outlineLevel="0" collapsed="false">
      <c r="A1167" s="42" t="s">
        <v>45</v>
      </c>
      <c r="B1167" s="42" t="n">
        <v>-12</v>
      </c>
      <c r="C1167" s="42" t="n">
        <v>66</v>
      </c>
      <c r="D1167" s="42" t="n">
        <v>74290981</v>
      </c>
      <c r="E1167" s="43" t="n">
        <v>0.727358381411042</v>
      </c>
      <c r="F1167" s="43" t="n">
        <v>0.796955758147182</v>
      </c>
      <c r="G1167" s="43" t="n">
        <v>0.807107058987454</v>
      </c>
      <c r="H1167" s="43" t="n">
        <v>0.80851204577362</v>
      </c>
      <c r="I1167" s="42" t="n">
        <v>1</v>
      </c>
      <c r="J1167" s="42" t="n">
        <v>1</v>
      </c>
      <c r="K1167" s="44" t="str">
        <f aca="false">IF(AND(I1167=1,J1167=1),"两者都跟住",IF(AND(I1167=0,J1167=1),"仅 PC-TBD 跟住",IF(AND(I1167=1,J1167=0),"仅 VIT-LPS 跟住","都没跟住")))</f>
        <v>两者都跟住</v>
      </c>
      <c r="L1167" s="45" t="n">
        <f aca="false">F1167-G1167</f>
        <v>-0.010151300840272</v>
      </c>
      <c r="M1167" s="46" t="n">
        <v>0.2156795</v>
      </c>
      <c r="N1167" s="46" t="n">
        <v>0.1452934</v>
      </c>
      <c r="O1167" s="46" t="n">
        <v>0.2436142</v>
      </c>
      <c r="P1167" s="46" t="n">
        <v>0.5600783</v>
      </c>
      <c r="Q1167" s="46" t="n">
        <v>2.0906232</v>
      </c>
      <c r="R1167" s="46" t="n">
        <v>1.8981376</v>
      </c>
      <c r="S1167" s="47" t="n">
        <f aca="false">M1167+N1167+O1167</f>
        <v>0.6045871</v>
      </c>
      <c r="T1167" s="47" t="n">
        <f aca="false">M1167+P1167</f>
        <v>0.7757578</v>
      </c>
    </row>
    <row r="1168" customFormat="false" ht="15" hidden="false" customHeight="false" outlineLevel="0" collapsed="false">
      <c r="A1168" s="42" t="s">
        <v>45</v>
      </c>
      <c r="B1168" s="42" t="n">
        <v>-12</v>
      </c>
      <c r="C1168" s="42" t="n">
        <v>67</v>
      </c>
      <c r="D1168" s="42" t="n">
        <v>74290982</v>
      </c>
      <c r="E1168" s="43" t="n">
        <v>0.677712473749699</v>
      </c>
      <c r="F1168" s="43" t="n">
        <v>0.710130075358663</v>
      </c>
      <c r="G1168" s="43" t="n">
        <v>0.794795700058301</v>
      </c>
      <c r="H1168" s="43" t="n">
        <v>0.802087219237323</v>
      </c>
      <c r="I1168" s="42" t="n">
        <v>1</v>
      </c>
      <c r="J1168" s="42" t="n">
        <v>1</v>
      </c>
      <c r="K1168" s="44" t="str">
        <f aca="false">IF(AND(I1168=1,J1168=1),"两者都跟住",IF(AND(I1168=0,J1168=1),"仅 PC-TBD 跟住",IF(AND(I1168=1,J1168=0),"仅 VIT-LPS 跟住","都没跟住")))</f>
        <v>两者都跟住</v>
      </c>
      <c r="L1168" s="45" t="n">
        <f aca="false">F1168-G1168</f>
        <v>-0.084665624699638</v>
      </c>
      <c r="M1168" s="46" t="n">
        <v>0.172693</v>
      </c>
      <c r="N1168" s="46" t="n">
        <v>0.0810587</v>
      </c>
      <c r="O1168" s="46" t="n">
        <v>0.1572315</v>
      </c>
      <c r="P1168" s="46" t="n">
        <v>0.4412025</v>
      </c>
      <c r="Q1168" s="46" t="n">
        <v>1.6139775</v>
      </c>
      <c r="R1168" s="46" t="n">
        <v>1.6547041</v>
      </c>
      <c r="S1168" s="47" t="n">
        <f aca="false">M1168+N1168+O1168</f>
        <v>0.4109832</v>
      </c>
      <c r="T1168" s="47" t="n">
        <f aca="false">M1168+P1168</f>
        <v>0.6138955</v>
      </c>
    </row>
    <row r="1169" customFormat="false" ht="15" hidden="false" customHeight="false" outlineLevel="0" collapsed="false">
      <c r="A1169" s="42" t="s">
        <v>45</v>
      </c>
      <c r="B1169" s="42" t="n">
        <v>-12</v>
      </c>
      <c r="C1169" s="42" t="n">
        <v>68</v>
      </c>
      <c r="D1169" s="42" t="n">
        <v>74290983</v>
      </c>
      <c r="E1169" s="43" t="n">
        <v>0.728833862097493</v>
      </c>
      <c r="F1169" s="43" t="n">
        <v>0.753678713824657</v>
      </c>
      <c r="G1169" s="43" t="n">
        <v>0.75754746388269</v>
      </c>
      <c r="H1169" s="43" t="n">
        <v>0.786877797759374</v>
      </c>
      <c r="I1169" s="42" t="n">
        <v>1</v>
      </c>
      <c r="J1169" s="42" t="n">
        <v>1</v>
      </c>
      <c r="K1169" s="44" t="str">
        <f aca="false">IF(AND(I1169=1,J1169=1),"两者都跟住",IF(AND(I1169=0,J1169=1),"仅 PC-TBD 跟住",IF(AND(I1169=1,J1169=0),"仅 VIT-LPS 跟住","都没跟住")))</f>
        <v>两者都跟住</v>
      </c>
      <c r="L1169" s="45" t="n">
        <f aca="false">F1169-G1169</f>
        <v>-0.003868750058033</v>
      </c>
      <c r="M1169" s="46" t="n">
        <v>0.1332715</v>
      </c>
      <c r="N1169" s="46" t="n">
        <v>0.1093068</v>
      </c>
      <c r="O1169" s="46" t="n">
        <v>0.155198</v>
      </c>
      <c r="P1169" s="46" t="n">
        <v>0.438792</v>
      </c>
      <c r="Q1169" s="46" t="n">
        <v>1.3823153</v>
      </c>
      <c r="R1169" s="46" t="n">
        <v>1.472294</v>
      </c>
      <c r="S1169" s="47" t="n">
        <f aca="false">M1169+N1169+O1169</f>
        <v>0.3977763</v>
      </c>
      <c r="T1169" s="47" t="n">
        <f aca="false">M1169+P1169</f>
        <v>0.5720635</v>
      </c>
    </row>
    <row r="1170" customFormat="false" ht="15" hidden="false" customHeight="false" outlineLevel="0" collapsed="false">
      <c r="A1170" s="42" t="s">
        <v>45</v>
      </c>
      <c r="B1170" s="42" t="n">
        <v>-12</v>
      </c>
      <c r="C1170" s="42" t="n">
        <v>69</v>
      </c>
      <c r="D1170" s="42" t="n">
        <v>74290984</v>
      </c>
      <c r="E1170" s="43" t="n">
        <v>0.715874173008674</v>
      </c>
      <c r="F1170" s="43" t="n">
        <v>0.79894750007941</v>
      </c>
      <c r="G1170" s="43" t="n">
        <v>0.809793826858173</v>
      </c>
      <c r="H1170" s="43" t="n">
        <v>0.8195478149803</v>
      </c>
      <c r="I1170" s="42" t="n">
        <v>1</v>
      </c>
      <c r="J1170" s="42" t="n">
        <v>1</v>
      </c>
      <c r="K1170" s="44" t="str">
        <f aca="false">IF(AND(I1170=1,J1170=1),"两者都跟住",IF(AND(I1170=0,J1170=1),"仅 PC-TBD 跟住",IF(AND(I1170=1,J1170=0),"仅 VIT-LPS 跟住","都没跟住")))</f>
        <v>两者都跟住</v>
      </c>
      <c r="L1170" s="45" t="n">
        <f aca="false">F1170-G1170</f>
        <v>-0.0108463267787631</v>
      </c>
      <c r="M1170" s="46" t="n">
        <v>0.133789</v>
      </c>
      <c r="N1170" s="46" t="n">
        <v>0.0779573</v>
      </c>
      <c r="O1170" s="46" t="n">
        <v>0.1721836</v>
      </c>
      <c r="P1170" s="46" t="n">
        <v>0.4412552</v>
      </c>
      <c r="Q1170" s="46" t="n">
        <v>1.5493716</v>
      </c>
      <c r="R1170" s="46" t="n">
        <v>1.2713483</v>
      </c>
      <c r="S1170" s="47" t="n">
        <f aca="false">M1170+N1170+O1170</f>
        <v>0.3839299</v>
      </c>
      <c r="T1170" s="47" t="n">
        <f aca="false">M1170+P1170</f>
        <v>0.5750442</v>
      </c>
    </row>
    <row r="1171" customFormat="false" ht="15" hidden="false" customHeight="false" outlineLevel="0" collapsed="false">
      <c r="A1171" s="42" t="s">
        <v>45</v>
      </c>
      <c r="B1171" s="42" t="n">
        <v>-12</v>
      </c>
      <c r="C1171" s="42" t="n">
        <v>70</v>
      </c>
      <c r="D1171" s="42" t="n">
        <v>74290985</v>
      </c>
      <c r="E1171" s="43" t="n">
        <v>0.737759804688881</v>
      </c>
      <c r="F1171" s="43" t="n">
        <v>0.80291983356094</v>
      </c>
      <c r="G1171" s="43" t="n">
        <v>0.819322934240077</v>
      </c>
      <c r="H1171" s="43" t="n">
        <v>0.821964064678067</v>
      </c>
      <c r="I1171" s="42" t="n">
        <v>1</v>
      </c>
      <c r="J1171" s="42" t="n">
        <v>1</v>
      </c>
      <c r="K1171" s="44" t="str">
        <f aca="false">IF(AND(I1171=1,J1171=1),"两者都跟住",IF(AND(I1171=0,J1171=1),"仅 PC-TBD 跟住",IF(AND(I1171=1,J1171=0),"仅 VIT-LPS 跟住","都没跟住")))</f>
        <v>两者都跟住</v>
      </c>
      <c r="L1171" s="45" t="n">
        <f aca="false">F1171-G1171</f>
        <v>-0.016403100679137</v>
      </c>
      <c r="M1171" s="46" t="n">
        <v>0.1314955</v>
      </c>
      <c r="N1171" s="46" t="n">
        <v>0.0685223</v>
      </c>
      <c r="O1171" s="46" t="n">
        <v>0.1870027</v>
      </c>
      <c r="P1171" s="46" t="n">
        <v>0.4293004</v>
      </c>
      <c r="Q1171" s="46" t="n">
        <v>1.6937998</v>
      </c>
      <c r="R1171" s="46" t="n">
        <v>1.2690955</v>
      </c>
      <c r="S1171" s="47" t="n">
        <f aca="false">M1171+N1171+O1171</f>
        <v>0.3870205</v>
      </c>
      <c r="T1171" s="47" t="n">
        <f aca="false">M1171+P1171</f>
        <v>0.5607959</v>
      </c>
    </row>
    <row r="1172" customFormat="false" ht="15" hidden="false" customHeight="false" outlineLevel="0" collapsed="false">
      <c r="A1172" s="42" t="s">
        <v>45</v>
      </c>
      <c r="B1172" s="42" t="n">
        <v>-12</v>
      </c>
      <c r="C1172" s="42" t="n">
        <v>71</v>
      </c>
      <c r="D1172" s="42" t="n">
        <v>74290986</v>
      </c>
      <c r="E1172" s="43" t="n">
        <v>0.755674380333747</v>
      </c>
      <c r="F1172" s="43" t="n">
        <v>0.809371603353437</v>
      </c>
      <c r="G1172" s="43" t="n">
        <v>0.81586629550879</v>
      </c>
      <c r="H1172" s="43" t="n">
        <v>0.828709147644829</v>
      </c>
      <c r="I1172" s="42" t="n">
        <v>1</v>
      </c>
      <c r="J1172" s="42" t="n">
        <v>1</v>
      </c>
      <c r="K1172" s="44" t="str">
        <f aca="false">IF(AND(I1172=1,J1172=1),"两者都跟住",IF(AND(I1172=0,J1172=1),"仅 PC-TBD 跟住",IF(AND(I1172=1,J1172=0),"仅 VIT-LPS 跟住","都没跟住")))</f>
        <v>两者都跟住</v>
      </c>
      <c r="L1172" s="45" t="n">
        <f aca="false">F1172-G1172</f>
        <v>-0.00649469215535292</v>
      </c>
      <c r="M1172" s="46" t="n">
        <v>0.2820367</v>
      </c>
      <c r="N1172" s="46" t="n">
        <v>0.1534792</v>
      </c>
      <c r="O1172" s="46" t="n">
        <v>0.1540591</v>
      </c>
      <c r="P1172" s="46" t="n">
        <v>0.5355536</v>
      </c>
      <c r="Q1172" s="46" t="n">
        <v>2.2144909</v>
      </c>
      <c r="R1172" s="46" t="n">
        <v>2.2052451</v>
      </c>
      <c r="S1172" s="47" t="n">
        <f aca="false">M1172+N1172+O1172</f>
        <v>0.589575</v>
      </c>
      <c r="T1172" s="47" t="n">
        <f aca="false">M1172+P1172</f>
        <v>0.8175903</v>
      </c>
    </row>
    <row r="1173" customFormat="false" ht="15" hidden="false" customHeight="false" outlineLevel="0" collapsed="false">
      <c r="A1173" s="42" t="s">
        <v>45</v>
      </c>
      <c r="B1173" s="42" t="n">
        <v>-12</v>
      </c>
      <c r="C1173" s="42" t="n">
        <v>72</v>
      </c>
      <c r="D1173" s="42" t="n">
        <v>74290987</v>
      </c>
      <c r="E1173" s="43" t="n">
        <v>0.640263675999841</v>
      </c>
      <c r="F1173" s="43" t="n">
        <v>0.789630342000807</v>
      </c>
      <c r="G1173" s="43" t="n">
        <v>0.796737469395646</v>
      </c>
      <c r="H1173" s="43" t="n">
        <v>0.812410788549762</v>
      </c>
      <c r="I1173" s="42" t="n">
        <v>1</v>
      </c>
      <c r="J1173" s="42" t="n">
        <v>1</v>
      </c>
      <c r="K1173" s="44" t="str">
        <f aca="false">IF(AND(I1173=1,J1173=1),"两者都跟住",IF(AND(I1173=0,J1173=1),"仅 PC-TBD 跟住",IF(AND(I1173=1,J1173=0),"仅 VIT-LPS 跟住","都没跟住")))</f>
        <v>两者都跟住</v>
      </c>
      <c r="L1173" s="45" t="n">
        <f aca="false">F1173-G1173</f>
        <v>-0.0071071273948391</v>
      </c>
      <c r="M1173" s="46" t="n">
        <v>0.2772761</v>
      </c>
      <c r="N1173" s="46" t="n">
        <v>0.1389211</v>
      </c>
      <c r="O1173" s="46" t="n">
        <v>0.162422</v>
      </c>
      <c r="P1173" s="46" t="n">
        <v>0.5272417</v>
      </c>
      <c r="Q1173" s="46" t="n">
        <v>2.1134808</v>
      </c>
      <c r="R1173" s="46" t="n">
        <v>2.1696451</v>
      </c>
      <c r="S1173" s="47" t="n">
        <f aca="false">M1173+N1173+O1173</f>
        <v>0.5786192</v>
      </c>
      <c r="T1173" s="47" t="n">
        <f aca="false">M1173+P1173</f>
        <v>0.8045178</v>
      </c>
    </row>
    <row r="1174" customFormat="false" ht="15" hidden="false" customHeight="false" outlineLevel="0" collapsed="false">
      <c r="A1174" s="42" t="s">
        <v>45</v>
      </c>
      <c r="B1174" s="42" t="n">
        <v>-12</v>
      </c>
      <c r="C1174" s="42" t="n">
        <v>73</v>
      </c>
      <c r="D1174" s="42" t="n">
        <v>74290988</v>
      </c>
      <c r="E1174" s="43" t="n">
        <v>0.740660439419957</v>
      </c>
      <c r="F1174" s="43" t="n">
        <v>0.764890051228357</v>
      </c>
      <c r="G1174" s="43" t="n">
        <v>0.78042564217117</v>
      </c>
      <c r="H1174" s="43" t="n">
        <v>0.787151782544052</v>
      </c>
      <c r="I1174" s="42" t="n">
        <v>1</v>
      </c>
      <c r="J1174" s="42" t="n">
        <v>1</v>
      </c>
      <c r="K1174" s="44" t="str">
        <f aca="false">IF(AND(I1174=1,J1174=1),"两者都跟住",IF(AND(I1174=0,J1174=1),"仅 PC-TBD 跟住",IF(AND(I1174=1,J1174=0),"仅 VIT-LPS 跟住","都没跟住")))</f>
        <v>两者都跟住</v>
      </c>
      <c r="L1174" s="45" t="n">
        <f aca="false">F1174-G1174</f>
        <v>-0.0155355909428131</v>
      </c>
      <c r="M1174" s="46" t="n">
        <v>0.2408137</v>
      </c>
      <c r="N1174" s="46" t="n">
        <v>0.1572907</v>
      </c>
      <c r="O1174" s="46" t="n">
        <v>0.2297768</v>
      </c>
      <c r="P1174" s="46" t="n">
        <v>0.4896678</v>
      </c>
      <c r="Q1174" s="46" t="n">
        <v>1.8435554</v>
      </c>
      <c r="R1174" s="46" t="n">
        <v>2.6993611</v>
      </c>
      <c r="S1174" s="47" t="n">
        <f aca="false">M1174+N1174+O1174</f>
        <v>0.6278812</v>
      </c>
      <c r="T1174" s="47" t="n">
        <f aca="false">M1174+P1174</f>
        <v>0.7304815</v>
      </c>
    </row>
    <row r="1175" customFormat="false" ht="15" hidden="false" customHeight="false" outlineLevel="0" collapsed="false">
      <c r="A1175" s="42" t="s">
        <v>45</v>
      </c>
      <c r="B1175" s="42" t="n">
        <v>-12</v>
      </c>
      <c r="C1175" s="42" t="n">
        <v>74</v>
      </c>
      <c r="D1175" s="42" t="n">
        <v>74290989</v>
      </c>
      <c r="E1175" s="43" t="n">
        <v>0.745652232602187</v>
      </c>
      <c r="F1175" s="43" t="n">
        <v>0.800136317841306</v>
      </c>
      <c r="G1175" s="43" t="n">
        <v>0.803643575837367</v>
      </c>
      <c r="H1175" s="43" t="n">
        <v>0.812138773935138</v>
      </c>
      <c r="I1175" s="42" t="n">
        <v>1</v>
      </c>
      <c r="J1175" s="42" t="n">
        <v>1</v>
      </c>
      <c r="K1175" s="44" t="str">
        <f aca="false">IF(AND(I1175=1,J1175=1),"两者都跟住",IF(AND(I1175=0,J1175=1),"仅 PC-TBD 跟住",IF(AND(I1175=1,J1175=0),"仅 VIT-LPS 跟住","都没跟住")))</f>
        <v>两者都跟住</v>
      </c>
      <c r="L1175" s="45" t="n">
        <f aca="false">F1175-G1175</f>
        <v>-0.003507257996061</v>
      </c>
      <c r="M1175" s="46" t="n">
        <v>0.2593142</v>
      </c>
      <c r="N1175" s="46" t="n">
        <v>0.1324196</v>
      </c>
      <c r="O1175" s="46" t="n">
        <v>0.1938134</v>
      </c>
      <c r="P1175" s="46" t="n">
        <v>0.5913466</v>
      </c>
      <c r="Q1175" s="46" t="n">
        <v>2.0300674</v>
      </c>
      <c r="R1175" s="46" t="n">
        <v>1.9890674</v>
      </c>
      <c r="S1175" s="47" t="n">
        <f aca="false">M1175+N1175+O1175</f>
        <v>0.5855472</v>
      </c>
      <c r="T1175" s="47" t="n">
        <f aca="false">M1175+P1175</f>
        <v>0.8506608</v>
      </c>
    </row>
    <row r="1176" customFormat="false" ht="15" hidden="false" customHeight="false" outlineLevel="0" collapsed="false">
      <c r="A1176" s="42" t="s">
        <v>45</v>
      </c>
      <c r="B1176" s="42" t="n">
        <v>-12</v>
      </c>
      <c r="C1176" s="42" t="n">
        <v>75</v>
      </c>
      <c r="D1176" s="42" t="n">
        <v>74290990</v>
      </c>
      <c r="E1176" s="43" t="n">
        <v>0.736106091288573</v>
      </c>
      <c r="F1176" s="43" t="n">
        <v>0.771020586269922</v>
      </c>
      <c r="G1176" s="43" t="n">
        <v>0.806046950636204</v>
      </c>
      <c r="H1176" s="43" t="n">
        <v>0.792454614909202</v>
      </c>
      <c r="I1176" s="42" t="n">
        <v>1</v>
      </c>
      <c r="J1176" s="42" t="n">
        <v>1</v>
      </c>
      <c r="K1176" s="44" t="str">
        <f aca="false">IF(AND(I1176=1,J1176=1),"两者都跟住",IF(AND(I1176=0,J1176=1),"仅 PC-TBD 跟住",IF(AND(I1176=1,J1176=0),"仅 VIT-LPS 跟住","都没跟住")))</f>
        <v>两者都跟住</v>
      </c>
      <c r="L1176" s="45" t="n">
        <f aca="false">F1176-G1176</f>
        <v>-0.035026364366282</v>
      </c>
      <c r="M1176" s="46" t="n">
        <v>0.2565893</v>
      </c>
      <c r="N1176" s="46" t="n">
        <v>0.1545055</v>
      </c>
      <c r="O1176" s="46" t="n">
        <v>0.1585619</v>
      </c>
      <c r="P1176" s="46" t="n">
        <v>0.5274547</v>
      </c>
      <c r="Q1176" s="46" t="n">
        <v>2.411411</v>
      </c>
      <c r="R1176" s="46" t="n">
        <v>2.2911582</v>
      </c>
      <c r="S1176" s="47" t="n">
        <f aca="false">M1176+N1176+O1176</f>
        <v>0.5696567</v>
      </c>
      <c r="T1176" s="47" t="n">
        <f aca="false">M1176+P1176</f>
        <v>0.784044</v>
      </c>
    </row>
    <row r="1177" customFormat="false" ht="15" hidden="false" customHeight="false" outlineLevel="0" collapsed="false">
      <c r="A1177" s="42" t="s">
        <v>45</v>
      </c>
      <c r="B1177" s="42" t="n">
        <v>-12</v>
      </c>
      <c r="C1177" s="42" t="n">
        <v>76</v>
      </c>
      <c r="D1177" s="42" t="n">
        <v>74290991</v>
      </c>
      <c r="E1177" s="43" t="n">
        <v>0.773098327254884</v>
      </c>
      <c r="F1177" s="43" t="n">
        <v>0.786489511757314</v>
      </c>
      <c r="G1177" s="43" t="n">
        <v>0.820647843992611</v>
      </c>
      <c r="H1177" s="43" t="n">
        <v>0.81845212386467</v>
      </c>
      <c r="I1177" s="42" t="n">
        <v>1</v>
      </c>
      <c r="J1177" s="42" t="n">
        <v>1</v>
      </c>
      <c r="K1177" s="44" t="str">
        <f aca="false">IF(AND(I1177=1,J1177=1),"两者都跟住",IF(AND(I1177=0,J1177=1),"仅 PC-TBD 跟住",IF(AND(I1177=1,J1177=0),"仅 VIT-LPS 跟住","都没跟住")))</f>
        <v>两者都跟住</v>
      </c>
      <c r="L1177" s="45" t="n">
        <f aca="false">F1177-G1177</f>
        <v>-0.0341583322352971</v>
      </c>
      <c r="M1177" s="46" t="n">
        <v>0.2683246</v>
      </c>
      <c r="N1177" s="46" t="n">
        <v>0.1349891</v>
      </c>
      <c r="O1177" s="46" t="n">
        <v>0.161061</v>
      </c>
      <c r="P1177" s="46" t="n">
        <v>0.5145929</v>
      </c>
      <c r="Q1177" s="46" t="n">
        <v>2.0467131</v>
      </c>
      <c r="R1177" s="46" t="n">
        <v>2.3687864</v>
      </c>
      <c r="S1177" s="47" t="n">
        <f aca="false">M1177+N1177+O1177</f>
        <v>0.5643747</v>
      </c>
      <c r="T1177" s="47" t="n">
        <f aca="false">M1177+P1177</f>
        <v>0.7829175</v>
      </c>
    </row>
    <row r="1178" customFormat="false" ht="15" hidden="false" customHeight="false" outlineLevel="0" collapsed="false">
      <c r="A1178" s="42" t="s">
        <v>45</v>
      </c>
      <c r="B1178" s="42" t="n">
        <v>-12</v>
      </c>
      <c r="C1178" s="42" t="n">
        <v>77</v>
      </c>
      <c r="D1178" s="42" t="n">
        <v>74290992</v>
      </c>
      <c r="E1178" s="43" t="n">
        <v>0.689889766832649</v>
      </c>
      <c r="F1178" s="43" t="n">
        <v>0.749288231690839</v>
      </c>
      <c r="G1178" s="43" t="n">
        <v>0.73866042533535</v>
      </c>
      <c r="H1178" s="43" t="n">
        <v>0.749984170863592</v>
      </c>
      <c r="I1178" s="42" t="n">
        <v>1</v>
      </c>
      <c r="J1178" s="42" t="n">
        <v>1</v>
      </c>
      <c r="K1178" s="44" t="str">
        <f aca="false">IF(AND(I1178=1,J1178=1),"两者都跟住",IF(AND(I1178=0,J1178=1),"仅 PC-TBD 跟住",IF(AND(I1178=1,J1178=0),"仅 VIT-LPS 跟住","都没跟住")))</f>
        <v>两者都跟住</v>
      </c>
      <c r="L1178" s="45" t="n">
        <f aca="false">F1178-G1178</f>
        <v>0.010627806355489</v>
      </c>
      <c r="M1178" s="46" t="n">
        <v>0.1494927</v>
      </c>
      <c r="N1178" s="46" t="n">
        <v>0.0714111</v>
      </c>
      <c r="O1178" s="46" t="n">
        <v>0.1289166</v>
      </c>
      <c r="P1178" s="46" t="n">
        <v>0.4089511</v>
      </c>
      <c r="Q1178" s="46" t="n">
        <v>1.8657485</v>
      </c>
      <c r="R1178" s="46" t="n">
        <v>1.1473102</v>
      </c>
      <c r="S1178" s="47" t="n">
        <f aca="false">M1178+N1178+O1178</f>
        <v>0.3498204</v>
      </c>
      <c r="T1178" s="47" t="n">
        <f aca="false">M1178+P1178</f>
        <v>0.5584438</v>
      </c>
    </row>
    <row r="1179" customFormat="false" ht="15" hidden="false" customHeight="false" outlineLevel="0" collapsed="false">
      <c r="A1179" s="42" t="s">
        <v>45</v>
      </c>
      <c r="B1179" s="42" t="n">
        <v>-12</v>
      </c>
      <c r="C1179" s="42" t="n">
        <v>78</v>
      </c>
      <c r="D1179" s="42" t="n">
        <v>74290993</v>
      </c>
      <c r="E1179" s="43" t="n">
        <v>0.724180948706691</v>
      </c>
      <c r="F1179" s="43" t="n">
        <v>0.766696176861442</v>
      </c>
      <c r="G1179" s="43" t="n">
        <v>0.755037009206391</v>
      </c>
      <c r="H1179" s="43" t="n">
        <v>0.758990997453363</v>
      </c>
      <c r="I1179" s="42" t="n">
        <v>1</v>
      </c>
      <c r="J1179" s="42" t="n">
        <v>1</v>
      </c>
      <c r="K1179" s="44" t="str">
        <f aca="false">IF(AND(I1179=1,J1179=1),"两者都跟住",IF(AND(I1179=0,J1179=1),"仅 PC-TBD 跟住",IF(AND(I1179=1,J1179=0),"仅 VIT-LPS 跟住","都没跟住")))</f>
        <v>两者都跟住</v>
      </c>
      <c r="L1179" s="45" t="n">
        <f aca="false">F1179-G1179</f>
        <v>0.0116591676550509</v>
      </c>
      <c r="M1179" s="46" t="n">
        <v>0.1594013</v>
      </c>
      <c r="N1179" s="46" t="n">
        <v>0.1156486</v>
      </c>
      <c r="O1179" s="46" t="n">
        <v>0.1981849</v>
      </c>
      <c r="P1179" s="46" t="n">
        <v>0.632975</v>
      </c>
      <c r="Q1179" s="46" t="n">
        <v>1.2664725</v>
      </c>
      <c r="R1179" s="46" t="n">
        <v>1.6168971</v>
      </c>
      <c r="S1179" s="47" t="n">
        <f aca="false">M1179+N1179+O1179</f>
        <v>0.4732348</v>
      </c>
      <c r="T1179" s="47" t="n">
        <f aca="false">M1179+P1179</f>
        <v>0.7923763</v>
      </c>
    </row>
    <row r="1180" customFormat="false" ht="15" hidden="false" customHeight="false" outlineLevel="0" collapsed="false">
      <c r="A1180" s="42" t="s">
        <v>45</v>
      </c>
      <c r="B1180" s="42" t="n">
        <v>-12</v>
      </c>
      <c r="C1180" s="42" t="n">
        <v>79</v>
      </c>
      <c r="D1180" s="42" t="n">
        <v>74290994</v>
      </c>
      <c r="E1180" s="43" t="n">
        <v>0.773376903395209</v>
      </c>
      <c r="F1180" s="43" t="n">
        <v>0.804501826641991</v>
      </c>
      <c r="G1180" s="43" t="n">
        <v>0.818126964141648</v>
      </c>
      <c r="H1180" s="43" t="n">
        <v>0.810765166699751</v>
      </c>
      <c r="I1180" s="42" t="n">
        <v>1</v>
      </c>
      <c r="J1180" s="42" t="n">
        <v>1</v>
      </c>
      <c r="K1180" s="44" t="str">
        <f aca="false">IF(AND(I1180=1,J1180=1),"两者都跟住",IF(AND(I1180=0,J1180=1),"仅 PC-TBD 跟住",IF(AND(I1180=1,J1180=0),"仅 VIT-LPS 跟住","都没跟住")))</f>
        <v>两者都跟住</v>
      </c>
      <c r="L1180" s="45" t="n">
        <f aca="false">F1180-G1180</f>
        <v>-0.013625137499657</v>
      </c>
      <c r="M1180" s="46" t="n">
        <v>0.1690542</v>
      </c>
      <c r="N1180" s="46" t="n">
        <v>0.1163172</v>
      </c>
      <c r="O1180" s="46" t="n">
        <v>0.227955</v>
      </c>
      <c r="P1180" s="46" t="n">
        <v>0.5762231</v>
      </c>
      <c r="Q1180" s="46" t="n">
        <v>1.4697286</v>
      </c>
      <c r="R1180" s="46" t="n">
        <v>1.6601181</v>
      </c>
      <c r="S1180" s="47" t="n">
        <f aca="false">M1180+N1180+O1180</f>
        <v>0.5133264</v>
      </c>
      <c r="T1180" s="47" t="n">
        <f aca="false">M1180+P1180</f>
        <v>0.7452773</v>
      </c>
    </row>
    <row r="1181" customFormat="false" ht="15" hidden="false" customHeight="false" outlineLevel="0" collapsed="false">
      <c r="A1181" s="42" t="s">
        <v>45</v>
      </c>
      <c r="B1181" s="42" t="n">
        <v>-12</v>
      </c>
      <c r="C1181" s="42" t="n">
        <v>80</v>
      </c>
      <c r="D1181" s="42" t="n">
        <v>74290995</v>
      </c>
      <c r="E1181" s="43" t="n">
        <v>0.712347615482626</v>
      </c>
      <c r="F1181" s="43" t="n">
        <v>0.74319861826129</v>
      </c>
      <c r="G1181" s="43" t="n">
        <v>0.750208934562846</v>
      </c>
      <c r="H1181" s="43" t="n">
        <v>0.776856055847021</v>
      </c>
      <c r="I1181" s="42" t="n">
        <v>1</v>
      </c>
      <c r="J1181" s="42" t="n">
        <v>1</v>
      </c>
      <c r="K1181" s="44" t="str">
        <f aca="false">IF(AND(I1181=1,J1181=1),"两者都跟住",IF(AND(I1181=0,J1181=1),"仅 PC-TBD 跟住",IF(AND(I1181=1,J1181=0),"仅 VIT-LPS 跟住","都没跟住")))</f>
        <v>两者都跟住</v>
      </c>
      <c r="L1181" s="45" t="n">
        <f aca="false">F1181-G1181</f>
        <v>-0.00701031630155602</v>
      </c>
      <c r="M1181" s="46" t="n">
        <v>0.1499874</v>
      </c>
      <c r="N1181" s="46" t="n">
        <v>0.0655089</v>
      </c>
      <c r="O1181" s="46" t="n">
        <v>0.1552566</v>
      </c>
      <c r="P1181" s="46" t="n">
        <v>0.4656823</v>
      </c>
      <c r="Q1181" s="46" t="n">
        <v>1.8075239</v>
      </c>
      <c r="R1181" s="46" t="n">
        <v>1.3158121</v>
      </c>
      <c r="S1181" s="47" t="n">
        <f aca="false">M1181+N1181+O1181</f>
        <v>0.3707529</v>
      </c>
      <c r="T1181" s="47" t="n">
        <f aca="false">M1181+P1181</f>
        <v>0.6156697</v>
      </c>
    </row>
    <row r="1182" customFormat="false" ht="15" hidden="false" customHeight="false" outlineLevel="0" collapsed="false">
      <c r="A1182" s="42" t="s">
        <v>45</v>
      </c>
      <c r="B1182" s="42" t="n">
        <v>-12</v>
      </c>
      <c r="C1182" s="42" t="n">
        <v>81</v>
      </c>
      <c r="D1182" s="42" t="n">
        <v>74290996</v>
      </c>
      <c r="E1182" s="43" t="n">
        <v>0.776264604891927</v>
      </c>
      <c r="F1182" s="43" t="n">
        <v>0.792915346615802</v>
      </c>
      <c r="G1182" s="43" t="n">
        <v>0.774098341354871</v>
      </c>
      <c r="H1182" s="43" t="n">
        <v>0.78298010509153</v>
      </c>
      <c r="I1182" s="42" t="n">
        <v>1</v>
      </c>
      <c r="J1182" s="42" t="n">
        <v>1</v>
      </c>
      <c r="K1182" s="44" t="str">
        <f aca="false">IF(AND(I1182=1,J1182=1),"两者都跟住",IF(AND(I1182=0,J1182=1),"仅 PC-TBD 跟住",IF(AND(I1182=1,J1182=0),"仅 VIT-LPS 跟住","都没跟住")))</f>
        <v>两者都跟住</v>
      </c>
      <c r="L1182" s="45" t="n">
        <f aca="false">F1182-G1182</f>
        <v>0.018817005260931</v>
      </c>
      <c r="M1182" s="46" t="n">
        <v>0.2600847</v>
      </c>
      <c r="N1182" s="46" t="n">
        <v>0.1443454</v>
      </c>
      <c r="O1182" s="46" t="n">
        <v>0.1862095</v>
      </c>
      <c r="P1182" s="46" t="n">
        <v>0.5086297</v>
      </c>
      <c r="Q1182" s="46" t="n">
        <v>1.920866</v>
      </c>
      <c r="R1182" s="46" t="n">
        <v>2.3222776</v>
      </c>
      <c r="S1182" s="47" t="n">
        <f aca="false">M1182+N1182+O1182</f>
        <v>0.5906396</v>
      </c>
      <c r="T1182" s="47" t="n">
        <f aca="false">M1182+P1182</f>
        <v>0.7687144</v>
      </c>
    </row>
    <row r="1183" customFormat="false" ht="15" hidden="false" customHeight="false" outlineLevel="0" collapsed="false">
      <c r="A1183" s="42" t="s">
        <v>45</v>
      </c>
      <c r="B1183" s="42" t="n">
        <v>-12</v>
      </c>
      <c r="C1183" s="42" t="n">
        <v>82</v>
      </c>
      <c r="D1183" s="42" t="n">
        <v>74290997</v>
      </c>
      <c r="E1183" s="43" t="n">
        <v>0.504756811010934</v>
      </c>
      <c r="F1183" s="43" t="n">
        <v>0.738438642264751</v>
      </c>
      <c r="G1183" s="43" t="n">
        <v>0.808236335266781</v>
      </c>
      <c r="H1183" s="43" t="n">
        <v>0.800977274916392</v>
      </c>
      <c r="I1183" s="42" t="n">
        <v>1</v>
      </c>
      <c r="J1183" s="42" t="n">
        <v>1</v>
      </c>
      <c r="K1183" s="44" t="str">
        <f aca="false">IF(AND(I1183=1,J1183=1),"两者都跟住",IF(AND(I1183=0,J1183=1),"仅 PC-TBD 跟住",IF(AND(I1183=1,J1183=0),"仅 VIT-LPS 跟住","都没跟住")))</f>
        <v>两者都跟住</v>
      </c>
      <c r="L1183" s="45" t="n">
        <f aca="false">F1183-G1183</f>
        <v>-0.06979769300203</v>
      </c>
      <c r="M1183" s="46" t="n">
        <v>0.2449585</v>
      </c>
      <c r="N1183" s="46" t="n">
        <v>0.112006</v>
      </c>
      <c r="O1183" s="46" t="n">
        <v>0.196899</v>
      </c>
      <c r="P1183" s="46" t="n">
        <v>0.4763386</v>
      </c>
      <c r="Q1183" s="46" t="n">
        <v>2.1684939</v>
      </c>
      <c r="R1183" s="46" t="n">
        <v>2.0741812</v>
      </c>
      <c r="S1183" s="47" t="n">
        <f aca="false">M1183+N1183+O1183</f>
        <v>0.5538635</v>
      </c>
      <c r="T1183" s="47" t="n">
        <f aca="false">M1183+P1183</f>
        <v>0.7212971</v>
      </c>
    </row>
    <row r="1184" customFormat="false" ht="15" hidden="false" customHeight="false" outlineLevel="0" collapsed="false">
      <c r="A1184" s="42" t="s">
        <v>45</v>
      </c>
      <c r="B1184" s="42" t="n">
        <v>-12</v>
      </c>
      <c r="C1184" s="42" t="n">
        <v>83</v>
      </c>
      <c r="D1184" s="42" t="n">
        <v>74290998</v>
      </c>
      <c r="E1184" s="43" t="n">
        <v>0.722363624089763</v>
      </c>
      <c r="F1184" s="43" t="n">
        <v>0.754957985994894</v>
      </c>
      <c r="G1184" s="43" t="n">
        <v>0.764912925156956</v>
      </c>
      <c r="H1184" s="43" t="n">
        <v>0.782520619268613</v>
      </c>
      <c r="I1184" s="42" t="n">
        <v>1</v>
      </c>
      <c r="J1184" s="42" t="n">
        <v>1</v>
      </c>
      <c r="K1184" s="44" t="str">
        <f aca="false">IF(AND(I1184=1,J1184=1),"两者都跟住",IF(AND(I1184=0,J1184=1),"仅 PC-TBD 跟住",IF(AND(I1184=1,J1184=0),"仅 VIT-LPS 跟住","都没跟住")))</f>
        <v>两者都跟住</v>
      </c>
      <c r="L1184" s="45" t="n">
        <f aca="false">F1184-G1184</f>
        <v>-0.00995493916206192</v>
      </c>
      <c r="M1184" s="46" t="n">
        <v>0.1902084</v>
      </c>
      <c r="N1184" s="46" t="n">
        <v>0.1615092</v>
      </c>
      <c r="O1184" s="46" t="n">
        <v>0.2043375</v>
      </c>
      <c r="P1184" s="46" t="n">
        <v>0.5736691</v>
      </c>
      <c r="Q1184" s="46" t="n">
        <v>2.3800793</v>
      </c>
      <c r="R1184" s="46" t="n">
        <v>2.1960392</v>
      </c>
      <c r="S1184" s="47" t="n">
        <f aca="false">M1184+N1184+O1184</f>
        <v>0.5560551</v>
      </c>
      <c r="T1184" s="47" t="n">
        <f aca="false">M1184+P1184</f>
        <v>0.7638775</v>
      </c>
    </row>
    <row r="1185" customFormat="false" ht="15" hidden="false" customHeight="false" outlineLevel="0" collapsed="false">
      <c r="A1185" s="42" t="s">
        <v>45</v>
      </c>
      <c r="B1185" s="42" t="n">
        <v>-12</v>
      </c>
      <c r="C1185" s="42" t="n">
        <v>84</v>
      </c>
      <c r="D1185" s="42" t="n">
        <v>74290999</v>
      </c>
      <c r="E1185" s="43" t="n">
        <v>0.745422010715327</v>
      </c>
      <c r="F1185" s="43" t="n">
        <v>0.788402407197706</v>
      </c>
      <c r="G1185" s="43" t="n">
        <v>0.792448711120418</v>
      </c>
      <c r="H1185" s="43" t="n">
        <v>0.794894427015165</v>
      </c>
      <c r="I1185" s="42" t="n">
        <v>1</v>
      </c>
      <c r="J1185" s="42" t="n">
        <v>1</v>
      </c>
      <c r="K1185" s="44" t="str">
        <f aca="false">IF(AND(I1185=1,J1185=1),"两者都跟住",IF(AND(I1185=0,J1185=1),"仅 PC-TBD 跟住",IF(AND(I1185=1,J1185=0),"仅 VIT-LPS 跟住","都没跟住")))</f>
        <v>两者都跟住</v>
      </c>
      <c r="L1185" s="45" t="n">
        <f aca="false">F1185-G1185</f>
        <v>-0.00404630392271199</v>
      </c>
      <c r="M1185" s="46" t="n">
        <v>0.2318452</v>
      </c>
      <c r="N1185" s="46" t="n">
        <v>0.1483387</v>
      </c>
      <c r="O1185" s="46" t="n">
        <v>0.1997732</v>
      </c>
      <c r="P1185" s="46" t="n">
        <v>0.5698343</v>
      </c>
      <c r="Q1185" s="46" t="n">
        <v>2.4733716</v>
      </c>
      <c r="R1185" s="46" t="n">
        <v>2.2114989</v>
      </c>
      <c r="S1185" s="47" t="n">
        <f aca="false">M1185+N1185+O1185</f>
        <v>0.5799571</v>
      </c>
      <c r="T1185" s="47" t="n">
        <f aca="false">M1185+P1185</f>
        <v>0.8016795</v>
      </c>
    </row>
    <row r="1186" customFormat="false" ht="15" hidden="false" customHeight="false" outlineLevel="0" collapsed="false">
      <c r="A1186" s="42" t="s">
        <v>45</v>
      </c>
      <c r="B1186" s="42" t="n">
        <v>-12</v>
      </c>
      <c r="C1186" s="42" t="n">
        <v>85</v>
      </c>
      <c r="D1186" s="42" t="n">
        <v>74291000</v>
      </c>
      <c r="E1186" s="43" t="n">
        <v>0.614567579082979</v>
      </c>
      <c r="F1186" s="43" t="n">
        <v>0.688762111402327</v>
      </c>
      <c r="G1186" s="43" t="n">
        <v>0.823995991391586</v>
      </c>
      <c r="H1186" s="43" t="n">
        <v>0.824569758596527</v>
      </c>
      <c r="I1186" s="42" t="n">
        <v>1</v>
      </c>
      <c r="J1186" s="42" t="n">
        <v>1</v>
      </c>
      <c r="K1186" s="44" t="str">
        <f aca="false">IF(AND(I1186=1,J1186=1),"两者都跟住",IF(AND(I1186=0,J1186=1),"仅 PC-TBD 跟住",IF(AND(I1186=1,J1186=0),"仅 VIT-LPS 跟住","都没跟住")))</f>
        <v>两者都跟住</v>
      </c>
      <c r="L1186" s="45" t="n">
        <f aca="false">F1186-G1186</f>
        <v>-0.135233879989259</v>
      </c>
      <c r="M1186" s="46" t="n">
        <v>0.2395691</v>
      </c>
      <c r="N1186" s="46" t="n">
        <v>0.132408</v>
      </c>
      <c r="O1186" s="46" t="n">
        <v>0.1921719</v>
      </c>
      <c r="P1186" s="46" t="n">
        <v>0.4741712</v>
      </c>
      <c r="Q1186" s="46" t="n">
        <v>2.3302565</v>
      </c>
      <c r="R1186" s="46" t="n">
        <v>2.1012308</v>
      </c>
      <c r="S1186" s="47" t="n">
        <f aca="false">M1186+N1186+O1186</f>
        <v>0.564149</v>
      </c>
      <c r="T1186" s="47" t="n">
        <f aca="false">M1186+P1186</f>
        <v>0.7137403</v>
      </c>
    </row>
    <row r="1187" customFormat="false" ht="15" hidden="false" customHeight="false" outlineLevel="0" collapsed="false">
      <c r="A1187" s="42" t="s">
        <v>45</v>
      </c>
      <c r="B1187" s="42" t="n">
        <v>-12</v>
      </c>
      <c r="C1187" s="42" t="n">
        <v>86</v>
      </c>
      <c r="D1187" s="42" t="n">
        <v>74291001</v>
      </c>
      <c r="E1187" s="43" t="n">
        <v>0.740835584329097</v>
      </c>
      <c r="F1187" s="43" t="n">
        <v>0.776260928594884</v>
      </c>
      <c r="G1187" s="43" t="n">
        <v>0.760276299982245</v>
      </c>
      <c r="H1187" s="43" t="n">
        <v>0.765923216703214</v>
      </c>
      <c r="I1187" s="42" t="n">
        <v>1</v>
      </c>
      <c r="J1187" s="42" t="n">
        <v>1</v>
      </c>
      <c r="K1187" s="44" t="str">
        <f aca="false">IF(AND(I1187=1,J1187=1),"两者都跟住",IF(AND(I1187=0,J1187=1),"仅 PC-TBD 跟住",IF(AND(I1187=1,J1187=0),"仅 VIT-LPS 跟住","都没跟住")))</f>
        <v>两者都跟住</v>
      </c>
      <c r="L1187" s="45" t="n">
        <f aca="false">F1187-G1187</f>
        <v>0.0159846286126391</v>
      </c>
      <c r="M1187" s="46" t="n">
        <v>0.2487281</v>
      </c>
      <c r="N1187" s="46" t="n">
        <v>0.1220705</v>
      </c>
      <c r="O1187" s="46" t="n">
        <v>0.149507</v>
      </c>
      <c r="P1187" s="46" t="n">
        <v>0.5298002</v>
      </c>
      <c r="Q1187" s="46" t="n">
        <v>2.2206741</v>
      </c>
      <c r="R1187" s="46" t="n">
        <v>2.0498926</v>
      </c>
      <c r="S1187" s="47" t="n">
        <f aca="false">M1187+N1187+O1187</f>
        <v>0.5203056</v>
      </c>
      <c r="T1187" s="47" t="n">
        <f aca="false">M1187+P1187</f>
        <v>0.7785283</v>
      </c>
    </row>
    <row r="1188" customFormat="false" ht="15" hidden="false" customHeight="false" outlineLevel="0" collapsed="false">
      <c r="A1188" s="42" t="s">
        <v>45</v>
      </c>
      <c r="B1188" s="42" t="n">
        <v>-12</v>
      </c>
      <c r="C1188" s="42" t="n">
        <v>87</v>
      </c>
      <c r="D1188" s="42" t="n">
        <v>74291002</v>
      </c>
      <c r="E1188" s="43" t="n">
        <v>0.702967650252754</v>
      </c>
      <c r="F1188" s="43" t="n">
        <v>0.790495762510835</v>
      </c>
      <c r="G1188" s="43" t="n">
        <v>0.806873479411239</v>
      </c>
      <c r="H1188" s="43" t="n">
        <v>0.813883021193629</v>
      </c>
      <c r="I1188" s="42" t="n">
        <v>1</v>
      </c>
      <c r="J1188" s="42" t="n">
        <v>1</v>
      </c>
      <c r="K1188" s="44" t="str">
        <f aca="false">IF(AND(I1188=1,J1188=1),"两者都跟住",IF(AND(I1188=0,J1188=1),"仅 PC-TBD 跟住",IF(AND(I1188=1,J1188=0),"仅 VIT-LPS 跟住","都没跟住")))</f>
        <v>两者都跟住</v>
      </c>
      <c r="L1188" s="45" t="n">
        <f aca="false">F1188-G1188</f>
        <v>-0.016377716900404</v>
      </c>
      <c r="M1188" s="46" t="n">
        <v>0.1449664</v>
      </c>
      <c r="N1188" s="46" t="n">
        <v>0.0819087</v>
      </c>
      <c r="O1188" s="46" t="n">
        <v>0.1207852</v>
      </c>
      <c r="P1188" s="46" t="n">
        <v>0.407076</v>
      </c>
      <c r="Q1188" s="46" t="n">
        <v>1.6684514</v>
      </c>
      <c r="R1188" s="46" t="n">
        <v>1.649459</v>
      </c>
      <c r="S1188" s="47" t="n">
        <f aca="false">M1188+N1188+O1188</f>
        <v>0.3476603</v>
      </c>
      <c r="T1188" s="47" t="n">
        <f aca="false">M1188+P1188</f>
        <v>0.5520424</v>
      </c>
    </row>
    <row r="1189" customFormat="false" ht="15" hidden="false" customHeight="false" outlineLevel="0" collapsed="false">
      <c r="A1189" s="42" t="s">
        <v>45</v>
      </c>
      <c r="B1189" s="42" t="n">
        <v>-12</v>
      </c>
      <c r="C1189" s="42" t="n">
        <v>88</v>
      </c>
      <c r="D1189" s="42" t="n">
        <v>74291003</v>
      </c>
      <c r="E1189" s="43" t="n">
        <v>0.724586713936567</v>
      </c>
      <c r="F1189" s="43" t="n">
        <v>0.762148040105549</v>
      </c>
      <c r="G1189" s="43" t="n">
        <v>0.74478983390799</v>
      </c>
      <c r="H1189" s="43" t="n">
        <v>0.788016631168263</v>
      </c>
      <c r="I1189" s="42" t="n">
        <v>1</v>
      </c>
      <c r="J1189" s="42" t="n">
        <v>1</v>
      </c>
      <c r="K1189" s="44" t="str">
        <f aca="false">IF(AND(I1189=1,J1189=1),"两者都跟住",IF(AND(I1189=0,J1189=1),"仅 PC-TBD 跟住",IF(AND(I1189=1,J1189=0),"仅 VIT-LPS 跟住","都没跟住")))</f>
        <v>两者都跟住</v>
      </c>
      <c r="L1189" s="45" t="n">
        <f aca="false">F1189-G1189</f>
        <v>0.017358206197559</v>
      </c>
      <c r="M1189" s="46" t="n">
        <v>0.138199</v>
      </c>
      <c r="N1189" s="46" t="n">
        <v>0.0931435</v>
      </c>
      <c r="O1189" s="46" t="n">
        <v>0.1437591</v>
      </c>
      <c r="P1189" s="46" t="n">
        <v>0.4016111</v>
      </c>
      <c r="Q1189" s="46" t="n">
        <v>1.3234161</v>
      </c>
      <c r="R1189" s="46" t="n">
        <v>1.6111179</v>
      </c>
      <c r="S1189" s="47" t="n">
        <f aca="false">M1189+N1189+O1189</f>
        <v>0.3751016</v>
      </c>
      <c r="T1189" s="47" t="n">
        <f aca="false">M1189+P1189</f>
        <v>0.5398101</v>
      </c>
    </row>
    <row r="1190" customFormat="false" ht="15" hidden="false" customHeight="false" outlineLevel="0" collapsed="false">
      <c r="A1190" s="42" t="s">
        <v>45</v>
      </c>
      <c r="B1190" s="42" t="n">
        <v>-12</v>
      </c>
      <c r="C1190" s="42" t="n">
        <v>89</v>
      </c>
      <c r="D1190" s="42" t="n">
        <v>74291004</v>
      </c>
      <c r="E1190" s="43" t="n">
        <v>0.580431659828816</v>
      </c>
      <c r="F1190" s="43" t="n">
        <v>0.750941082190418</v>
      </c>
      <c r="G1190" s="43" t="n">
        <v>0.817406880749902</v>
      </c>
      <c r="H1190" s="43" t="n">
        <v>0.834225598326013</v>
      </c>
      <c r="I1190" s="42" t="n">
        <v>1</v>
      </c>
      <c r="J1190" s="42" t="n">
        <v>1</v>
      </c>
      <c r="K1190" s="44" t="str">
        <f aca="false">IF(AND(I1190=1,J1190=1),"两者都跟住",IF(AND(I1190=0,J1190=1),"仅 PC-TBD 跟住",IF(AND(I1190=1,J1190=0),"仅 VIT-LPS 跟住","都没跟住")))</f>
        <v>两者都跟住</v>
      </c>
      <c r="L1190" s="45" t="n">
        <f aca="false">F1190-G1190</f>
        <v>-0.066465798559484</v>
      </c>
      <c r="M1190" s="46" t="n">
        <v>0.137997</v>
      </c>
      <c r="N1190" s="46" t="n">
        <v>0.0880549</v>
      </c>
      <c r="O1190" s="46" t="n">
        <v>0.1323321</v>
      </c>
      <c r="P1190" s="46" t="n">
        <v>0.3985507</v>
      </c>
      <c r="Q1190" s="46" t="n">
        <v>1.3871838</v>
      </c>
      <c r="R1190" s="46" t="n">
        <v>1.5592397</v>
      </c>
      <c r="S1190" s="47" t="n">
        <f aca="false">M1190+N1190+O1190</f>
        <v>0.358384</v>
      </c>
      <c r="T1190" s="47" t="n">
        <f aca="false">M1190+P1190</f>
        <v>0.5365477</v>
      </c>
    </row>
    <row r="1191" customFormat="false" ht="15" hidden="false" customHeight="false" outlineLevel="0" collapsed="false">
      <c r="A1191" s="42" t="s">
        <v>45</v>
      </c>
      <c r="B1191" s="42" t="n">
        <v>-12</v>
      </c>
      <c r="C1191" s="42" t="n">
        <v>90</v>
      </c>
      <c r="D1191" s="42" t="n">
        <v>74291005</v>
      </c>
      <c r="E1191" s="43" t="n">
        <v>0.734459252845325</v>
      </c>
      <c r="F1191" s="43" t="n">
        <v>0.775192687932362</v>
      </c>
      <c r="G1191" s="43" t="n">
        <v>0.782030196798798</v>
      </c>
      <c r="H1191" s="43" t="n">
        <v>0.792057599780438</v>
      </c>
      <c r="I1191" s="42" t="n">
        <v>1</v>
      </c>
      <c r="J1191" s="42" t="n">
        <v>1</v>
      </c>
      <c r="K1191" s="44" t="str">
        <f aca="false">IF(AND(I1191=1,J1191=1),"两者都跟住",IF(AND(I1191=0,J1191=1),"仅 PC-TBD 跟住",IF(AND(I1191=1,J1191=0),"仅 VIT-LPS 跟住","都没跟住")))</f>
        <v>两者都跟住</v>
      </c>
      <c r="L1191" s="45" t="n">
        <f aca="false">F1191-G1191</f>
        <v>-0.00683750886643608</v>
      </c>
      <c r="M1191" s="46" t="n">
        <v>0.1501423</v>
      </c>
      <c r="N1191" s="46" t="n">
        <v>0.0950765</v>
      </c>
      <c r="O1191" s="46" t="n">
        <v>0.1337602</v>
      </c>
      <c r="P1191" s="46" t="n">
        <v>0.4702221</v>
      </c>
      <c r="Q1191" s="46" t="n">
        <v>1.6320261</v>
      </c>
      <c r="R1191" s="46" t="n">
        <v>1.835577</v>
      </c>
      <c r="S1191" s="47" t="n">
        <f aca="false">M1191+N1191+O1191</f>
        <v>0.378979</v>
      </c>
      <c r="T1191" s="47" t="n">
        <f aca="false">M1191+P1191</f>
        <v>0.6203644</v>
      </c>
    </row>
    <row r="1192" customFormat="false" ht="15" hidden="false" customHeight="false" outlineLevel="0" collapsed="false">
      <c r="A1192" s="42" t="s">
        <v>45</v>
      </c>
      <c r="B1192" s="42" t="n">
        <v>-12</v>
      </c>
      <c r="C1192" s="42" t="n">
        <v>91</v>
      </c>
      <c r="D1192" s="42" t="n">
        <v>74291006</v>
      </c>
      <c r="E1192" s="43" t="n">
        <v>0.735240053338462</v>
      </c>
      <c r="F1192" s="43" t="n">
        <v>0.781196531333046</v>
      </c>
      <c r="G1192" s="43" t="n">
        <v>0.820813383455054</v>
      </c>
      <c r="H1192" s="43" t="n">
        <v>0.819003910607905</v>
      </c>
      <c r="I1192" s="42" t="n">
        <v>1</v>
      </c>
      <c r="J1192" s="42" t="n">
        <v>1</v>
      </c>
      <c r="K1192" s="44" t="str">
        <f aca="false">IF(AND(I1192=1,J1192=1),"两者都跟住",IF(AND(I1192=0,J1192=1),"仅 PC-TBD 跟住",IF(AND(I1192=1,J1192=0),"仅 VIT-LPS 跟住","都没跟住")))</f>
        <v>两者都跟住</v>
      </c>
      <c r="L1192" s="45" t="n">
        <f aca="false">F1192-G1192</f>
        <v>-0.0396168521220079</v>
      </c>
      <c r="M1192" s="46" t="n">
        <v>0.2637297</v>
      </c>
      <c r="N1192" s="46" t="n">
        <v>0.1387549</v>
      </c>
      <c r="O1192" s="46" t="n">
        <v>0.1634062</v>
      </c>
      <c r="P1192" s="46" t="n">
        <v>0.5141773</v>
      </c>
      <c r="Q1192" s="46" t="n">
        <v>1.7639032</v>
      </c>
      <c r="R1192" s="46" t="n">
        <v>2.5203995</v>
      </c>
      <c r="S1192" s="47" t="n">
        <f aca="false">M1192+N1192+O1192</f>
        <v>0.5658908</v>
      </c>
      <c r="T1192" s="47" t="n">
        <f aca="false">M1192+P1192</f>
        <v>0.777907</v>
      </c>
    </row>
    <row r="1193" customFormat="false" ht="15" hidden="false" customHeight="false" outlineLevel="0" collapsed="false">
      <c r="A1193" s="42" t="s">
        <v>45</v>
      </c>
      <c r="B1193" s="42" t="n">
        <v>-12</v>
      </c>
      <c r="C1193" s="42" t="n">
        <v>92</v>
      </c>
      <c r="D1193" s="42" t="n">
        <v>74291007</v>
      </c>
      <c r="E1193" s="43" t="n">
        <v>0.706727760042928</v>
      </c>
      <c r="F1193" s="43" t="n">
        <v>0.757522013842217</v>
      </c>
      <c r="G1193" s="43" t="n">
        <v>0.779510832418678</v>
      </c>
      <c r="H1193" s="43" t="n">
        <v>0.807392262862891</v>
      </c>
      <c r="I1193" s="42" t="n">
        <v>1</v>
      </c>
      <c r="J1193" s="42" t="n">
        <v>1</v>
      </c>
      <c r="K1193" s="44" t="str">
        <f aca="false">IF(AND(I1193=1,J1193=1),"两者都跟住",IF(AND(I1193=0,J1193=1),"仅 PC-TBD 跟住",IF(AND(I1193=1,J1193=0),"仅 VIT-LPS 跟住","都没跟住")))</f>
        <v>两者都跟住</v>
      </c>
      <c r="L1193" s="45" t="n">
        <f aca="false">F1193-G1193</f>
        <v>-0.0219888185764611</v>
      </c>
      <c r="M1193" s="46" t="n">
        <v>0.2226766</v>
      </c>
      <c r="N1193" s="46" t="n">
        <v>0.1295407</v>
      </c>
      <c r="O1193" s="46" t="n">
        <v>0.2196496</v>
      </c>
      <c r="P1193" s="46" t="n">
        <v>0.459583</v>
      </c>
      <c r="Q1193" s="46" t="n">
        <v>2.4143489</v>
      </c>
      <c r="R1193" s="46" t="n">
        <v>2.9972551</v>
      </c>
      <c r="S1193" s="47" t="n">
        <f aca="false">M1193+N1193+O1193</f>
        <v>0.5718669</v>
      </c>
      <c r="T1193" s="47" t="n">
        <f aca="false">M1193+P1193</f>
        <v>0.6822596</v>
      </c>
    </row>
    <row r="1194" customFormat="false" ht="15" hidden="false" customHeight="false" outlineLevel="0" collapsed="false">
      <c r="A1194" s="42" t="s">
        <v>45</v>
      </c>
      <c r="B1194" s="42" t="n">
        <v>-12</v>
      </c>
      <c r="C1194" s="42" t="n">
        <v>93</v>
      </c>
      <c r="D1194" s="42" t="n">
        <v>74291008</v>
      </c>
      <c r="E1194" s="43" t="n">
        <v>0.658282196742386</v>
      </c>
      <c r="F1194" s="43" t="n">
        <v>0.761834710120854</v>
      </c>
      <c r="G1194" s="43" t="n">
        <v>0.789071748832985</v>
      </c>
      <c r="H1194" s="43" t="n">
        <v>0.81103562487947</v>
      </c>
      <c r="I1194" s="42" t="n">
        <v>1</v>
      </c>
      <c r="J1194" s="42" t="n">
        <v>1</v>
      </c>
      <c r="K1194" s="44" t="str">
        <f aca="false">IF(AND(I1194=1,J1194=1),"两者都跟住",IF(AND(I1194=0,J1194=1),"仅 PC-TBD 跟住",IF(AND(I1194=1,J1194=0),"仅 VIT-LPS 跟住","都没跟住")))</f>
        <v>两者都跟住</v>
      </c>
      <c r="L1194" s="45" t="n">
        <f aca="false">F1194-G1194</f>
        <v>-0.027237038712131</v>
      </c>
      <c r="M1194" s="46" t="n">
        <v>0.2421753</v>
      </c>
      <c r="N1194" s="46" t="n">
        <v>0.1415546</v>
      </c>
      <c r="O1194" s="46" t="n">
        <v>0.2265001</v>
      </c>
      <c r="P1194" s="46" t="n">
        <v>0.5316301</v>
      </c>
      <c r="Q1194" s="46" t="n">
        <v>2.2655876</v>
      </c>
      <c r="R1194" s="46" t="n">
        <v>2.9312417</v>
      </c>
      <c r="S1194" s="47" t="n">
        <f aca="false">M1194+N1194+O1194</f>
        <v>0.61023</v>
      </c>
      <c r="T1194" s="47" t="n">
        <f aca="false">M1194+P1194</f>
        <v>0.7738054</v>
      </c>
    </row>
    <row r="1195" customFormat="false" ht="15" hidden="false" customHeight="false" outlineLevel="0" collapsed="false">
      <c r="A1195" s="42" t="s">
        <v>45</v>
      </c>
      <c r="B1195" s="42" t="n">
        <v>-12</v>
      </c>
      <c r="C1195" s="42" t="n">
        <v>94</v>
      </c>
      <c r="D1195" s="42" t="n">
        <v>74291009</v>
      </c>
      <c r="E1195" s="43" t="n">
        <v>0.721800553760215</v>
      </c>
      <c r="F1195" s="43" t="n">
        <v>0.757001692259997</v>
      </c>
      <c r="G1195" s="43" t="n">
        <v>0.769047535571225</v>
      </c>
      <c r="H1195" s="43" t="n">
        <v>0.790196234984205</v>
      </c>
      <c r="I1195" s="42" t="n">
        <v>1</v>
      </c>
      <c r="J1195" s="42" t="n">
        <v>1</v>
      </c>
      <c r="K1195" s="44" t="str">
        <f aca="false">IF(AND(I1195=1,J1195=1),"两者都跟住",IF(AND(I1195=0,J1195=1),"仅 PC-TBD 跟住",IF(AND(I1195=1,J1195=0),"仅 VIT-LPS 跟住","都没跟住")))</f>
        <v>两者都跟住</v>
      </c>
      <c r="L1195" s="45" t="n">
        <f aca="false">F1195-G1195</f>
        <v>-0.0120458433112279</v>
      </c>
      <c r="M1195" s="46" t="n">
        <v>0.2258076</v>
      </c>
      <c r="N1195" s="46" t="n">
        <v>0.1132338</v>
      </c>
      <c r="O1195" s="46" t="n">
        <v>0.1875027</v>
      </c>
      <c r="P1195" s="46" t="n">
        <v>0.5591878</v>
      </c>
      <c r="Q1195" s="46" t="n">
        <v>2.5034059</v>
      </c>
      <c r="R1195" s="46" t="n">
        <v>2.6923259</v>
      </c>
      <c r="S1195" s="47" t="n">
        <f aca="false">M1195+N1195+O1195</f>
        <v>0.5265441</v>
      </c>
      <c r="T1195" s="47" t="n">
        <f aca="false">M1195+P1195</f>
        <v>0.7849954</v>
      </c>
    </row>
    <row r="1196" customFormat="false" ht="15" hidden="false" customHeight="false" outlineLevel="0" collapsed="false">
      <c r="A1196" s="42" t="s">
        <v>45</v>
      </c>
      <c r="B1196" s="42" t="n">
        <v>-12</v>
      </c>
      <c r="C1196" s="42" t="n">
        <v>95</v>
      </c>
      <c r="D1196" s="42" t="n">
        <v>74291010</v>
      </c>
      <c r="E1196" s="43" t="n">
        <v>0.682076312573748</v>
      </c>
      <c r="F1196" s="43" t="n">
        <v>0.804729707064301</v>
      </c>
      <c r="G1196" s="43" t="n">
        <v>0.812042137780048</v>
      </c>
      <c r="H1196" s="43" t="n">
        <v>0.809570759230758</v>
      </c>
      <c r="I1196" s="42" t="n">
        <v>1</v>
      </c>
      <c r="J1196" s="42" t="n">
        <v>1</v>
      </c>
      <c r="K1196" s="44" t="str">
        <f aca="false">IF(AND(I1196=1,J1196=1),"两者都跟住",IF(AND(I1196=0,J1196=1),"仅 PC-TBD 跟住",IF(AND(I1196=1,J1196=0),"仅 VIT-LPS 跟住","都没跟住")))</f>
        <v>两者都跟住</v>
      </c>
      <c r="L1196" s="45" t="n">
        <f aca="false">F1196-G1196</f>
        <v>-0.00731243071574694</v>
      </c>
      <c r="M1196" s="46" t="n">
        <v>0.2666472</v>
      </c>
      <c r="N1196" s="46" t="n">
        <v>0.1425319</v>
      </c>
      <c r="O1196" s="46" t="n">
        <v>0.2115508</v>
      </c>
      <c r="P1196" s="46" t="n">
        <v>0.4658455</v>
      </c>
      <c r="Q1196" s="46" t="n">
        <v>2.2934448</v>
      </c>
      <c r="R1196" s="46" t="n">
        <v>2.5259986</v>
      </c>
      <c r="S1196" s="47" t="n">
        <f aca="false">M1196+N1196+O1196</f>
        <v>0.6207299</v>
      </c>
      <c r="T1196" s="47" t="n">
        <f aca="false">M1196+P1196</f>
        <v>0.7324927</v>
      </c>
    </row>
    <row r="1197" customFormat="false" ht="15" hidden="false" customHeight="false" outlineLevel="0" collapsed="false">
      <c r="A1197" s="42" t="s">
        <v>45</v>
      </c>
      <c r="B1197" s="42" t="n">
        <v>-12</v>
      </c>
      <c r="C1197" s="42" t="n">
        <v>96</v>
      </c>
      <c r="D1197" s="42" t="n">
        <v>74291011</v>
      </c>
      <c r="E1197" s="43" t="n">
        <v>0.737671643172894</v>
      </c>
      <c r="F1197" s="43" t="n">
        <v>0.751379587870824</v>
      </c>
      <c r="G1197" s="43" t="n">
        <v>0.772144644578487</v>
      </c>
      <c r="H1197" s="43" t="n">
        <v>0.784893245752585</v>
      </c>
      <c r="I1197" s="42" t="n">
        <v>1</v>
      </c>
      <c r="J1197" s="42" t="n">
        <v>1</v>
      </c>
      <c r="K1197" s="44" t="str">
        <f aca="false">IF(AND(I1197=1,J1197=1),"两者都跟住",IF(AND(I1197=0,J1197=1),"仅 PC-TBD 跟住",IF(AND(I1197=1,J1197=0),"仅 VIT-LPS 跟住","都没跟住")))</f>
        <v>两者都跟住</v>
      </c>
      <c r="L1197" s="45" t="n">
        <f aca="false">F1197-G1197</f>
        <v>-0.0207650567076629</v>
      </c>
      <c r="M1197" s="46" t="n">
        <v>0.2652503</v>
      </c>
      <c r="N1197" s="46" t="n">
        <v>0.0986568</v>
      </c>
      <c r="O1197" s="46" t="n">
        <v>0.2319064</v>
      </c>
      <c r="P1197" s="46" t="n">
        <v>0.5116836</v>
      </c>
      <c r="Q1197" s="46" t="n">
        <v>2.2762297</v>
      </c>
      <c r="R1197" s="46" t="n">
        <v>3.041683</v>
      </c>
      <c r="S1197" s="47" t="n">
        <f aca="false">M1197+N1197+O1197</f>
        <v>0.5958135</v>
      </c>
      <c r="T1197" s="47" t="n">
        <f aca="false">M1197+P1197</f>
        <v>0.7769339</v>
      </c>
    </row>
    <row r="1198" customFormat="false" ht="15" hidden="false" customHeight="false" outlineLevel="0" collapsed="false">
      <c r="A1198" s="42" t="s">
        <v>45</v>
      </c>
      <c r="B1198" s="42" t="n">
        <v>-12</v>
      </c>
      <c r="C1198" s="42" t="n">
        <v>97</v>
      </c>
      <c r="D1198" s="42" t="n">
        <v>74291012</v>
      </c>
      <c r="E1198" s="43" t="n">
        <v>0.705330505954169</v>
      </c>
      <c r="F1198" s="43" t="n">
        <v>0.782940006573234</v>
      </c>
      <c r="G1198" s="43" t="n">
        <v>0.813376696035356</v>
      </c>
      <c r="H1198" s="43" t="n">
        <v>0.792128453314831</v>
      </c>
      <c r="I1198" s="42" t="n">
        <v>1</v>
      </c>
      <c r="J1198" s="42" t="n">
        <v>1</v>
      </c>
      <c r="K1198" s="44" t="str">
        <f aca="false">IF(AND(I1198=1,J1198=1),"两者都跟住",IF(AND(I1198=0,J1198=1),"仅 PC-TBD 跟住",IF(AND(I1198=1,J1198=0),"仅 VIT-LPS 跟住","都没跟住")))</f>
        <v>两者都跟住</v>
      </c>
      <c r="L1198" s="45" t="n">
        <f aca="false">F1198-G1198</f>
        <v>-0.030436689462122</v>
      </c>
      <c r="M1198" s="46" t="n">
        <v>0.1739773</v>
      </c>
      <c r="N1198" s="46" t="n">
        <v>0.1085918</v>
      </c>
      <c r="O1198" s="46" t="n">
        <v>0.1762575</v>
      </c>
      <c r="P1198" s="46" t="n">
        <v>0.4864018</v>
      </c>
      <c r="Q1198" s="46" t="n">
        <v>1.4707716</v>
      </c>
      <c r="R1198" s="46" t="n">
        <v>1.7333203</v>
      </c>
      <c r="S1198" s="47" t="n">
        <f aca="false">M1198+N1198+O1198</f>
        <v>0.4588266</v>
      </c>
      <c r="T1198" s="47" t="n">
        <f aca="false">M1198+P1198</f>
        <v>0.6603791</v>
      </c>
    </row>
    <row r="1199" customFormat="false" ht="15" hidden="false" customHeight="false" outlineLevel="0" collapsed="false">
      <c r="A1199" s="42" t="s">
        <v>45</v>
      </c>
      <c r="B1199" s="42" t="n">
        <v>-12</v>
      </c>
      <c r="C1199" s="42" t="n">
        <v>98</v>
      </c>
      <c r="D1199" s="42" t="n">
        <v>74291013</v>
      </c>
      <c r="E1199" s="43" t="n">
        <v>0.745776095234006</v>
      </c>
      <c r="F1199" s="43" t="n">
        <v>0.800197610802934</v>
      </c>
      <c r="G1199" s="43" t="n">
        <v>0.807783394957076</v>
      </c>
      <c r="H1199" s="43" t="n">
        <v>0.807203363146487</v>
      </c>
      <c r="I1199" s="42" t="n">
        <v>1</v>
      </c>
      <c r="J1199" s="42" t="n">
        <v>1</v>
      </c>
      <c r="K1199" s="44" t="str">
        <f aca="false">IF(AND(I1199=1,J1199=1),"两者都跟住",IF(AND(I1199=0,J1199=1),"仅 PC-TBD 跟住",IF(AND(I1199=1,J1199=0),"仅 VIT-LPS 跟住","都没跟住")))</f>
        <v>两者都跟住</v>
      </c>
      <c r="L1199" s="45" t="n">
        <f aca="false">F1199-G1199</f>
        <v>-0.00758578415414202</v>
      </c>
      <c r="M1199" s="46" t="n">
        <v>0.1572708</v>
      </c>
      <c r="N1199" s="46" t="n">
        <v>0.1037965</v>
      </c>
      <c r="O1199" s="46" t="n">
        <v>0.179311</v>
      </c>
      <c r="P1199" s="46" t="n">
        <v>0.352235</v>
      </c>
      <c r="Q1199" s="46" t="n">
        <v>1.5489557</v>
      </c>
      <c r="R1199" s="46" t="n">
        <v>1.5451454</v>
      </c>
      <c r="S1199" s="47" t="n">
        <f aca="false">M1199+N1199+O1199</f>
        <v>0.4403783</v>
      </c>
      <c r="T1199" s="47" t="n">
        <f aca="false">M1199+P1199</f>
        <v>0.5095058</v>
      </c>
    </row>
    <row r="1200" customFormat="false" ht="15" hidden="false" customHeight="false" outlineLevel="0" collapsed="false">
      <c r="A1200" s="42" t="s">
        <v>45</v>
      </c>
      <c r="B1200" s="42" t="n">
        <v>-12</v>
      </c>
      <c r="C1200" s="42" t="n">
        <v>99</v>
      </c>
      <c r="D1200" s="42" t="n">
        <v>74291014</v>
      </c>
      <c r="E1200" s="43" t="n">
        <v>0.704048576261143</v>
      </c>
      <c r="F1200" s="43" t="n">
        <v>0.78761959207087</v>
      </c>
      <c r="G1200" s="43" t="n">
        <v>0.812466446131594</v>
      </c>
      <c r="H1200" s="43" t="n">
        <v>0.809741532020869</v>
      </c>
      <c r="I1200" s="42" t="n">
        <v>1</v>
      </c>
      <c r="J1200" s="42" t="n">
        <v>1</v>
      </c>
      <c r="K1200" s="44" t="str">
        <f aca="false">IF(AND(I1200=1,J1200=1),"两者都跟住",IF(AND(I1200=0,J1200=1),"仅 PC-TBD 跟住",IF(AND(I1200=1,J1200=0),"仅 VIT-LPS 跟住","都没跟住")))</f>
        <v>两者都跟住</v>
      </c>
      <c r="L1200" s="45" t="n">
        <f aca="false">F1200-G1200</f>
        <v>-0.0248468540607241</v>
      </c>
      <c r="M1200" s="46" t="n">
        <v>0.1570375</v>
      </c>
      <c r="N1200" s="46" t="n">
        <v>0.081585</v>
      </c>
      <c r="O1200" s="46" t="n">
        <v>0.1398949</v>
      </c>
      <c r="P1200" s="46" t="n">
        <v>0.3928402</v>
      </c>
      <c r="Q1200" s="46" t="n">
        <v>1.3526429</v>
      </c>
      <c r="R1200" s="46" t="n">
        <v>1.4592262</v>
      </c>
      <c r="S1200" s="47" t="n">
        <f aca="false">M1200+N1200+O1200</f>
        <v>0.3785174</v>
      </c>
      <c r="T1200" s="47" t="n">
        <f aca="false">M1200+P1200</f>
        <v>0.5498777</v>
      </c>
    </row>
    <row r="1201" customFormat="false" ht="15" hidden="false" customHeight="false" outlineLevel="0" collapsed="false">
      <c r="A1201" s="42" t="s">
        <v>45</v>
      </c>
      <c r="B1201" s="42" t="n">
        <v>-12</v>
      </c>
      <c r="C1201" s="42" t="n">
        <v>100</v>
      </c>
      <c r="D1201" s="42" t="n">
        <v>74291015</v>
      </c>
      <c r="E1201" s="43" t="n">
        <v>0.524409513791877</v>
      </c>
      <c r="F1201" s="43" t="n">
        <v>0.659261691729303</v>
      </c>
      <c r="G1201" s="43" t="n">
        <v>0.740234066885141</v>
      </c>
      <c r="H1201" s="43" t="n">
        <v>0.761306014008348</v>
      </c>
      <c r="I1201" s="42" t="n">
        <v>1</v>
      </c>
      <c r="J1201" s="42" t="n">
        <v>1</v>
      </c>
      <c r="K1201" s="44" t="str">
        <f aca="false">IF(AND(I1201=1,J1201=1),"两者都跟住",IF(AND(I1201=0,J1201=1),"仅 PC-TBD 跟住",IF(AND(I1201=1,J1201=0),"仅 VIT-LPS 跟住","都没跟住")))</f>
        <v>两者都跟住</v>
      </c>
      <c r="L1201" s="45" t="n">
        <f aca="false">F1201-G1201</f>
        <v>-0.080972375155838</v>
      </c>
      <c r="M1201" s="46" t="n">
        <v>0.1416999</v>
      </c>
      <c r="N1201" s="46" t="n">
        <v>0.080895</v>
      </c>
      <c r="O1201" s="46" t="n">
        <v>0.1237973</v>
      </c>
      <c r="P1201" s="46" t="n">
        <v>0.4074287</v>
      </c>
      <c r="Q1201" s="46" t="n">
        <v>1.8226198</v>
      </c>
      <c r="R1201" s="46" t="n">
        <v>1.9907836</v>
      </c>
      <c r="S1201" s="47" t="n">
        <f aca="false">M1201+N1201+O1201</f>
        <v>0.3463922</v>
      </c>
      <c r="T1201" s="47" t="n">
        <f aca="false">M1201+P1201</f>
        <v>0.5491286</v>
      </c>
    </row>
    <row r="1202" customFormat="false" ht="15" hidden="false" customHeight="false" outlineLevel="0" collapsed="false">
      <c r="A1202" s="42" t="s">
        <v>45</v>
      </c>
      <c r="B1202" s="42" t="n">
        <v>-10</v>
      </c>
      <c r="C1202" s="42" t="n">
        <v>1</v>
      </c>
      <c r="D1202" s="42" t="n">
        <v>74290916</v>
      </c>
      <c r="E1202" s="43" t="n">
        <v>0.778979756326129</v>
      </c>
      <c r="F1202" s="43" t="n">
        <v>0.81195166382874</v>
      </c>
      <c r="G1202" s="43" t="n">
        <v>0.807445933901229</v>
      </c>
      <c r="H1202" s="43" t="n">
        <v>0.828573130107147</v>
      </c>
      <c r="I1202" s="42" t="n">
        <v>1</v>
      </c>
      <c r="J1202" s="42" t="n">
        <v>1</v>
      </c>
      <c r="K1202" s="44" t="str">
        <f aca="false">IF(AND(I1202=1,J1202=1),"两者都跟住",IF(AND(I1202=0,J1202=1),"仅 PC-TBD 跟住",IF(AND(I1202=1,J1202=0),"仅 VIT-LPS 跟住","都没跟住")))</f>
        <v>两者都跟住</v>
      </c>
      <c r="L1202" s="45" t="n">
        <f aca="false">F1202-G1202</f>
        <v>0.00450572992751097</v>
      </c>
      <c r="M1202" s="46" t="n">
        <v>0.6221868</v>
      </c>
      <c r="N1202" s="46" t="n">
        <v>0.3716083</v>
      </c>
      <c r="O1202" s="46" t="n">
        <v>2.8970072</v>
      </c>
      <c r="P1202" s="46" t="n">
        <v>1.1123425</v>
      </c>
      <c r="Q1202" s="46" t="n">
        <v>3.4942112</v>
      </c>
      <c r="R1202" s="46" t="n">
        <v>1.7128163</v>
      </c>
      <c r="S1202" s="47" t="n">
        <f aca="false">M1202+N1202+O1202</f>
        <v>3.8908023</v>
      </c>
      <c r="T1202" s="47" t="n">
        <f aca="false">M1202+P1202</f>
        <v>1.7345293</v>
      </c>
    </row>
    <row r="1203" customFormat="false" ht="15" hidden="false" customHeight="false" outlineLevel="0" collapsed="false">
      <c r="A1203" s="42" t="s">
        <v>45</v>
      </c>
      <c r="B1203" s="42" t="n">
        <v>-10</v>
      </c>
      <c r="C1203" s="42" t="n">
        <v>2</v>
      </c>
      <c r="D1203" s="42" t="n">
        <v>74290917</v>
      </c>
      <c r="E1203" s="43" t="n">
        <v>0.774259519031106</v>
      </c>
      <c r="F1203" s="43" t="n">
        <v>0.798231461879526</v>
      </c>
      <c r="G1203" s="43" t="n">
        <v>0.815995048083402</v>
      </c>
      <c r="H1203" s="43" t="n">
        <v>0.819083017848899</v>
      </c>
      <c r="I1203" s="42" t="n">
        <v>1</v>
      </c>
      <c r="J1203" s="42" t="n">
        <v>1</v>
      </c>
      <c r="K1203" s="44" t="str">
        <f aca="false">IF(AND(I1203=1,J1203=1),"两者都跟住",IF(AND(I1203=0,J1203=1),"仅 PC-TBD 跟住",IF(AND(I1203=1,J1203=0),"仅 VIT-LPS 跟住","都没跟住")))</f>
        <v>两者都跟住</v>
      </c>
      <c r="L1203" s="45" t="n">
        <f aca="false">F1203-G1203</f>
        <v>-0.017763586203876</v>
      </c>
      <c r="M1203" s="46" t="n">
        <v>0.6036908</v>
      </c>
      <c r="N1203" s="46" t="n">
        <v>0.3942265</v>
      </c>
      <c r="O1203" s="46" t="n">
        <v>2.8716092</v>
      </c>
      <c r="P1203" s="46" t="n">
        <v>1.1217811</v>
      </c>
      <c r="Q1203" s="46" t="n">
        <v>3.4064446</v>
      </c>
      <c r="R1203" s="46" t="n">
        <v>2.0008427</v>
      </c>
      <c r="S1203" s="47" t="n">
        <f aca="false">M1203+N1203+O1203</f>
        <v>3.8695265</v>
      </c>
      <c r="T1203" s="47" t="n">
        <f aca="false">M1203+P1203</f>
        <v>1.7254719</v>
      </c>
    </row>
    <row r="1204" customFormat="false" ht="15" hidden="false" customHeight="false" outlineLevel="0" collapsed="false">
      <c r="A1204" s="42" t="s">
        <v>45</v>
      </c>
      <c r="B1204" s="42" t="n">
        <v>-10</v>
      </c>
      <c r="C1204" s="42" t="n">
        <v>3</v>
      </c>
      <c r="D1204" s="42" t="n">
        <v>74290918</v>
      </c>
      <c r="E1204" s="43" t="n">
        <v>0.784694598480335</v>
      </c>
      <c r="F1204" s="43" t="n">
        <v>0.805465081545483</v>
      </c>
      <c r="G1204" s="43" t="n">
        <v>0.780956149481265</v>
      </c>
      <c r="H1204" s="43" t="n">
        <v>0.795574468315011</v>
      </c>
      <c r="I1204" s="42" t="n">
        <v>1</v>
      </c>
      <c r="J1204" s="42" t="n">
        <v>1</v>
      </c>
      <c r="K1204" s="44" t="str">
        <f aca="false">IF(AND(I1204=1,J1204=1),"两者都跟住",IF(AND(I1204=0,J1204=1),"仅 PC-TBD 跟住",IF(AND(I1204=1,J1204=0),"仅 VIT-LPS 跟住","都没跟住")))</f>
        <v>两者都跟住</v>
      </c>
      <c r="L1204" s="45" t="n">
        <f aca="false">F1204-G1204</f>
        <v>0.024508932064218</v>
      </c>
      <c r="M1204" s="46" t="n">
        <v>0.6105878</v>
      </c>
      <c r="N1204" s="46" t="n">
        <v>0.400957</v>
      </c>
      <c r="O1204" s="46" t="n">
        <v>2.7946137</v>
      </c>
      <c r="P1204" s="46" t="n">
        <v>0.9997078</v>
      </c>
      <c r="Q1204" s="46" t="n">
        <v>3.2756189</v>
      </c>
      <c r="R1204" s="46" t="n">
        <v>1.7855679</v>
      </c>
      <c r="S1204" s="47" t="n">
        <f aca="false">M1204+N1204+O1204</f>
        <v>3.8061585</v>
      </c>
      <c r="T1204" s="47" t="n">
        <f aca="false">M1204+P1204</f>
        <v>1.6102956</v>
      </c>
    </row>
    <row r="1205" customFormat="false" ht="15" hidden="false" customHeight="false" outlineLevel="0" collapsed="false">
      <c r="A1205" s="42" t="s">
        <v>45</v>
      </c>
      <c r="B1205" s="42" t="n">
        <v>-10</v>
      </c>
      <c r="C1205" s="42" t="n">
        <v>4</v>
      </c>
      <c r="D1205" s="42" t="n">
        <v>74290919</v>
      </c>
      <c r="E1205" s="43" t="n">
        <v>0.728997959907029</v>
      </c>
      <c r="F1205" s="43" t="n">
        <v>0.75909882245717</v>
      </c>
      <c r="G1205" s="43" t="n">
        <v>0.824813169360904</v>
      </c>
      <c r="H1205" s="43" t="n">
        <v>0.807625396045166</v>
      </c>
      <c r="I1205" s="42" t="n">
        <v>1</v>
      </c>
      <c r="J1205" s="42" t="n">
        <v>1</v>
      </c>
      <c r="K1205" s="44" t="str">
        <f aca="false">IF(AND(I1205=1,J1205=1),"两者都跟住",IF(AND(I1205=0,J1205=1),"仅 PC-TBD 跟住",IF(AND(I1205=1,J1205=0),"仅 VIT-LPS 跟住","都没跟住")))</f>
        <v>两者都跟住</v>
      </c>
      <c r="L1205" s="45" t="n">
        <f aca="false">F1205-G1205</f>
        <v>-0.065714346903734</v>
      </c>
      <c r="M1205" s="46" t="n">
        <v>0.5843825</v>
      </c>
      <c r="N1205" s="46" t="n">
        <v>0.3838219</v>
      </c>
      <c r="O1205" s="46" t="n">
        <v>2.8931748</v>
      </c>
      <c r="P1205" s="46" t="n">
        <v>1.1153158</v>
      </c>
      <c r="Q1205" s="46" t="n">
        <v>6.4258478</v>
      </c>
      <c r="R1205" s="46" t="n">
        <v>2.3534841</v>
      </c>
      <c r="S1205" s="47" t="n">
        <f aca="false">M1205+N1205+O1205</f>
        <v>3.8613792</v>
      </c>
      <c r="T1205" s="47" t="n">
        <f aca="false">M1205+P1205</f>
        <v>1.6996983</v>
      </c>
    </row>
    <row r="1206" customFormat="false" ht="15" hidden="false" customHeight="false" outlineLevel="0" collapsed="false">
      <c r="A1206" s="42" t="s">
        <v>45</v>
      </c>
      <c r="B1206" s="42" t="n">
        <v>-10</v>
      </c>
      <c r="C1206" s="42" t="n">
        <v>5</v>
      </c>
      <c r="D1206" s="42" t="n">
        <v>74290920</v>
      </c>
      <c r="E1206" s="43" t="n">
        <v>0.770650417078885</v>
      </c>
      <c r="F1206" s="43" t="n">
        <v>0.795938885235923</v>
      </c>
      <c r="G1206" s="43" t="n">
        <v>0.80816414445014</v>
      </c>
      <c r="H1206" s="43" t="n">
        <v>0.819608028701992</v>
      </c>
      <c r="I1206" s="42" t="n">
        <v>1</v>
      </c>
      <c r="J1206" s="42" t="n">
        <v>1</v>
      </c>
      <c r="K1206" s="44" t="str">
        <f aca="false">IF(AND(I1206=1,J1206=1),"两者都跟住",IF(AND(I1206=0,J1206=1),"仅 PC-TBD 跟住",IF(AND(I1206=1,J1206=0),"仅 VIT-LPS 跟住","都没跟住")))</f>
        <v>两者都跟住</v>
      </c>
      <c r="L1206" s="45" t="n">
        <f aca="false">F1206-G1206</f>
        <v>-0.0122252592142169</v>
      </c>
      <c r="M1206" s="46" t="n">
        <v>0.6230814</v>
      </c>
      <c r="N1206" s="46" t="n">
        <v>0.4068784</v>
      </c>
      <c r="O1206" s="46" t="n">
        <v>2.7739496</v>
      </c>
      <c r="P1206" s="46" t="n">
        <v>0.93503</v>
      </c>
      <c r="Q1206" s="46" t="n">
        <v>3.4765373</v>
      </c>
      <c r="R1206" s="46" t="n">
        <v>2.3243451</v>
      </c>
      <c r="S1206" s="47" t="n">
        <f aca="false">M1206+N1206+O1206</f>
        <v>3.8039094</v>
      </c>
      <c r="T1206" s="47" t="n">
        <f aca="false">M1206+P1206</f>
        <v>1.5581114</v>
      </c>
    </row>
    <row r="1207" customFormat="false" ht="15" hidden="false" customHeight="false" outlineLevel="0" collapsed="false">
      <c r="A1207" s="42" t="s">
        <v>45</v>
      </c>
      <c r="B1207" s="42" t="n">
        <v>-10</v>
      </c>
      <c r="C1207" s="42" t="n">
        <v>6</v>
      </c>
      <c r="D1207" s="42" t="n">
        <v>74290921</v>
      </c>
      <c r="E1207" s="43" t="n">
        <v>0.792352014934662</v>
      </c>
      <c r="F1207" s="43" t="n">
        <v>0.815835000536005</v>
      </c>
      <c r="G1207" s="43" t="n">
        <v>0.824705259664551</v>
      </c>
      <c r="H1207" s="43" t="n">
        <v>0.831228392151654</v>
      </c>
      <c r="I1207" s="42" t="n">
        <v>1</v>
      </c>
      <c r="J1207" s="42" t="n">
        <v>1</v>
      </c>
      <c r="K1207" s="44" t="str">
        <f aca="false">IF(AND(I1207=1,J1207=1),"两者都跟住",IF(AND(I1207=0,J1207=1),"仅 PC-TBD 跟住",IF(AND(I1207=1,J1207=0),"仅 VIT-LPS 跟住","都没跟住")))</f>
        <v>两者都跟住</v>
      </c>
      <c r="L1207" s="45" t="n">
        <f aca="false">F1207-G1207</f>
        <v>-0.008870259128546</v>
      </c>
      <c r="M1207" s="46" t="n">
        <v>0.5755889</v>
      </c>
      <c r="N1207" s="46" t="n">
        <v>0.3930431</v>
      </c>
      <c r="O1207" s="46" t="n">
        <v>2.8466333</v>
      </c>
      <c r="P1207" s="46" t="n">
        <v>0.9785167</v>
      </c>
      <c r="Q1207" s="46" t="n">
        <v>2.8097158</v>
      </c>
      <c r="R1207" s="46" t="n">
        <v>2.0493309</v>
      </c>
      <c r="S1207" s="47" t="n">
        <f aca="false">M1207+N1207+O1207</f>
        <v>3.8152653</v>
      </c>
      <c r="T1207" s="47" t="n">
        <f aca="false">M1207+P1207</f>
        <v>1.5541056</v>
      </c>
    </row>
    <row r="1208" customFormat="false" ht="15" hidden="false" customHeight="false" outlineLevel="0" collapsed="false">
      <c r="A1208" s="42" t="s">
        <v>45</v>
      </c>
      <c r="B1208" s="42" t="n">
        <v>-10</v>
      </c>
      <c r="C1208" s="42" t="n">
        <v>7</v>
      </c>
      <c r="D1208" s="42" t="n">
        <v>74290922</v>
      </c>
      <c r="E1208" s="43" t="n">
        <v>0.733845536003595</v>
      </c>
      <c r="F1208" s="43" t="n">
        <v>0.773491728255017</v>
      </c>
      <c r="G1208" s="43" t="n">
        <v>0.815373888369295</v>
      </c>
      <c r="H1208" s="43" t="n">
        <v>0.834813674107558</v>
      </c>
      <c r="I1208" s="42" t="n">
        <v>1</v>
      </c>
      <c r="J1208" s="42" t="n">
        <v>1</v>
      </c>
      <c r="K1208" s="44" t="str">
        <f aca="false">IF(AND(I1208=1,J1208=1),"两者都跟住",IF(AND(I1208=0,J1208=1),"仅 PC-TBD 跟住",IF(AND(I1208=1,J1208=0),"仅 VIT-LPS 跟住","都没跟住")))</f>
        <v>两者都跟住</v>
      </c>
      <c r="L1208" s="45" t="n">
        <f aca="false">F1208-G1208</f>
        <v>-0.041882160114278</v>
      </c>
      <c r="M1208" s="46" t="n">
        <v>0.2062543</v>
      </c>
      <c r="N1208" s="46" t="n">
        <v>0.1520754</v>
      </c>
      <c r="O1208" s="46" t="n">
        <v>0.3324406</v>
      </c>
      <c r="P1208" s="46" t="n">
        <v>0.592861</v>
      </c>
      <c r="Q1208" s="46" t="n">
        <v>1.4565141</v>
      </c>
      <c r="R1208" s="46" t="n">
        <v>1.7257072</v>
      </c>
      <c r="S1208" s="47" t="n">
        <f aca="false">M1208+N1208+O1208</f>
        <v>0.6907703</v>
      </c>
      <c r="T1208" s="47" t="n">
        <f aca="false">M1208+P1208</f>
        <v>0.7991153</v>
      </c>
    </row>
    <row r="1209" customFormat="false" ht="15" hidden="false" customHeight="false" outlineLevel="0" collapsed="false">
      <c r="A1209" s="42" t="s">
        <v>45</v>
      </c>
      <c r="B1209" s="42" t="n">
        <v>-10</v>
      </c>
      <c r="C1209" s="42" t="n">
        <v>8</v>
      </c>
      <c r="D1209" s="42" t="n">
        <v>74290923</v>
      </c>
      <c r="E1209" s="43" t="n">
        <v>0.753396459599059</v>
      </c>
      <c r="F1209" s="43" t="n">
        <v>0.783249468252883</v>
      </c>
      <c r="G1209" s="43" t="n">
        <v>0.785287991983012</v>
      </c>
      <c r="H1209" s="43" t="n">
        <v>0.807111190985538</v>
      </c>
      <c r="I1209" s="42" t="n">
        <v>1</v>
      </c>
      <c r="J1209" s="42" t="n">
        <v>1</v>
      </c>
      <c r="K1209" s="44" t="str">
        <f aca="false">IF(AND(I1209=1,J1209=1),"两者都跟住",IF(AND(I1209=0,J1209=1),"仅 PC-TBD 跟住",IF(AND(I1209=1,J1209=0),"仅 VIT-LPS 跟住","都没跟住")))</f>
        <v>两者都跟住</v>
      </c>
      <c r="L1209" s="45" t="n">
        <f aca="false">F1209-G1209</f>
        <v>-0.00203852373012903</v>
      </c>
      <c r="M1209" s="46" t="n">
        <v>0.2128204</v>
      </c>
      <c r="N1209" s="46" t="n">
        <v>0.1426324</v>
      </c>
      <c r="O1209" s="46" t="n">
        <v>0.2967818</v>
      </c>
      <c r="P1209" s="46" t="n">
        <v>0.5443884</v>
      </c>
      <c r="Q1209" s="46" t="n">
        <v>1.2888938</v>
      </c>
      <c r="R1209" s="46" t="n">
        <v>1.9478581</v>
      </c>
      <c r="S1209" s="47" t="n">
        <f aca="false">M1209+N1209+O1209</f>
        <v>0.6522346</v>
      </c>
      <c r="T1209" s="47" t="n">
        <f aca="false">M1209+P1209</f>
        <v>0.7572088</v>
      </c>
    </row>
    <row r="1210" customFormat="false" ht="15" hidden="false" customHeight="false" outlineLevel="0" collapsed="false">
      <c r="A1210" s="42" t="s">
        <v>45</v>
      </c>
      <c r="B1210" s="42" t="n">
        <v>-10</v>
      </c>
      <c r="C1210" s="42" t="n">
        <v>9</v>
      </c>
      <c r="D1210" s="42" t="n">
        <v>74290924</v>
      </c>
      <c r="E1210" s="43" t="n">
        <v>0.792111092150145</v>
      </c>
      <c r="F1210" s="43" t="n">
        <v>0.818367072381915</v>
      </c>
      <c r="G1210" s="43" t="n">
        <v>0.82590775075502</v>
      </c>
      <c r="H1210" s="43" t="n">
        <v>0.826516139724456</v>
      </c>
      <c r="I1210" s="42" t="n">
        <v>1</v>
      </c>
      <c r="J1210" s="42" t="n">
        <v>1</v>
      </c>
      <c r="K1210" s="44" t="str">
        <f aca="false">IF(AND(I1210=1,J1210=1),"两者都跟住",IF(AND(I1210=0,J1210=1),"仅 PC-TBD 跟住",IF(AND(I1210=1,J1210=0),"仅 VIT-LPS 跟住","都没跟住")))</f>
        <v>两者都跟住</v>
      </c>
      <c r="L1210" s="45" t="n">
        <f aca="false">F1210-G1210</f>
        <v>-0.00754067837310501</v>
      </c>
      <c r="M1210" s="46" t="n">
        <v>0.1857292</v>
      </c>
      <c r="N1210" s="46" t="n">
        <v>0.150202</v>
      </c>
      <c r="O1210" s="46" t="n">
        <v>0.3464378</v>
      </c>
      <c r="P1210" s="46" t="n">
        <v>0.6366928</v>
      </c>
      <c r="Q1210" s="46" t="n">
        <v>1.223924</v>
      </c>
      <c r="R1210" s="46" t="n">
        <v>1.5836225</v>
      </c>
      <c r="S1210" s="47" t="n">
        <f aca="false">M1210+N1210+O1210</f>
        <v>0.682369</v>
      </c>
      <c r="T1210" s="47" t="n">
        <f aca="false">M1210+P1210</f>
        <v>0.822422</v>
      </c>
    </row>
    <row r="1211" customFormat="false" ht="15" hidden="false" customHeight="false" outlineLevel="0" collapsed="false">
      <c r="A1211" s="42" t="s">
        <v>45</v>
      </c>
      <c r="B1211" s="42" t="n">
        <v>-10</v>
      </c>
      <c r="C1211" s="42" t="n">
        <v>10</v>
      </c>
      <c r="D1211" s="42" t="n">
        <v>74290925</v>
      </c>
      <c r="E1211" s="43" t="n">
        <v>0.769399970409653</v>
      </c>
      <c r="F1211" s="43" t="n">
        <v>0.800229824729317</v>
      </c>
      <c r="G1211" s="43" t="n">
        <v>0.81767173090198</v>
      </c>
      <c r="H1211" s="43" t="n">
        <v>0.81817061492886</v>
      </c>
      <c r="I1211" s="42" t="n">
        <v>1</v>
      </c>
      <c r="J1211" s="42" t="n">
        <v>1</v>
      </c>
      <c r="K1211" s="44" t="str">
        <f aca="false">IF(AND(I1211=1,J1211=1),"两者都跟住",IF(AND(I1211=0,J1211=1),"仅 PC-TBD 跟住",IF(AND(I1211=1,J1211=0),"仅 VIT-LPS 跟住","都没跟住")))</f>
        <v>两者都跟住</v>
      </c>
      <c r="L1211" s="45" t="n">
        <f aca="false">F1211-G1211</f>
        <v>-0.0174419061726629</v>
      </c>
      <c r="M1211" s="46" t="n">
        <v>0.1894366</v>
      </c>
      <c r="N1211" s="46" t="n">
        <v>0.1219268</v>
      </c>
      <c r="O1211" s="46" t="n">
        <v>0.2805511</v>
      </c>
      <c r="P1211" s="46" t="n">
        <v>0.5808676</v>
      </c>
      <c r="Q1211" s="46" t="n">
        <v>1.6300307</v>
      </c>
      <c r="R1211" s="46" t="n">
        <v>0.946048</v>
      </c>
      <c r="S1211" s="47" t="n">
        <f aca="false">M1211+N1211+O1211</f>
        <v>0.5919145</v>
      </c>
      <c r="T1211" s="47" t="n">
        <f aca="false">M1211+P1211</f>
        <v>0.7703042</v>
      </c>
    </row>
    <row r="1212" customFormat="false" ht="15" hidden="false" customHeight="false" outlineLevel="0" collapsed="false">
      <c r="A1212" s="42" t="s">
        <v>45</v>
      </c>
      <c r="B1212" s="42" t="n">
        <v>-10</v>
      </c>
      <c r="C1212" s="42" t="n">
        <v>11</v>
      </c>
      <c r="D1212" s="42" t="n">
        <v>74290926</v>
      </c>
      <c r="E1212" s="43" t="n">
        <v>0.775085343991274</v>
      </c>
      <c r="F1212" s="43" t="n">
        <v>0.812644492987559</v>
      </c>
      <c r="G1212" s="43" t="n">
        <v>0.818691967165851</v>
      </c>
      <c r="H1212" s="43" t="n">
        <v>0.843345780583042</v>
      </c>
      <c r="I1212" s="42" t="n">
        <v>1</v>
      </c>
      <c r="J1212" s="42" t="n">
        <v>1</v>
      </c>
      <c r="K1212" s="44" t="str">
        <f aca="false">IF(AND(I1212=1,J1212=1),"两者都跟住",IF(AND(I1212=0,J1212=1),"仅 PC-TBD 跟住",IF(AND(I1212=1,J1212=0),"仅 VIT-LPS 跟住","都没跟住")))</f>
        <v>两者都跟住</v>
      </c>
      <c r="L1212" s="45" t="n">
        <f aca="false">F1212-G1212</f>
        <v>-0.00604747417829199</v>
      </c>
      <c r="M1212" s="46" t="n">
        <v>0.6395625</v>
      </c>
      <c r="N1212" s="46" t="n">
        <v>0.2540158</v>
      </c>
      <c r="O1212" s="46" t="n">
        <v>0.4945269</v>
      </c>
      <c r="P1212" s="46" t="n">
        <v>0.8823069</v>
      </c>
      <c r="Q1212" s="46" t="n">
        <v>2.8213548</v>
      </c>
      <c r="R1212" s="46" t="n">
        <v>2.3437312</v>
      </c>
      <c r="S1212" s="47" t="n">
        <f aca="false">M1212+N1212+O1212</f>
        <v>1.3881052</v>
      </c>
      <c r="T1212" s="47" t="n">
        <f aca="false">M1212+P1212</f>
        <v>1.5218694</v>
      </c>
    </row>
    <row r="1213" customFormat="false" ht="15" hidden="false" customHeight="false" outlineLevel="0" collapsed="false">
      <c r="A1213" s="42" t="s">
        <v>45</v>
      </c>
      <c r="B1213" s="42" t="n">
        <v>-10</v>
      </c>
      <c r="C1213" s="42" t="n">
        <v>12</v>
      </c>
      <c r="D1213" s="42" t="n">
        <v>74290927</v>
      </c>
      <c r="E1213" s="43" t="n">
        <v>0.773894212238126</v>
      </c>
      <c r="F1213" s="43" t="n">
        <v>0.796946911091454</v>
      </c>
      <c r="G1213" s="43" t="n">
        <v>0.815277691271192</v>
      </c>
      <c r="H1213" s="43" t="n">
        <v>0.819956108385</v>
      </c>
      <c r="I1213" s="42" t="n">
        <v>1</v>
      </c>
      <c r="J1213" s="42" t="n">
        <v>1</v>
      </c>
      <c r="K1213" s="44" t="str">
        <f aca="false">IF(AND(I1213=1,J1213=1),"两者都跟住",IF(AND(I1213=0,J1213=1),"仅 PC-TBD 跟住",IF(AND(I1213=1,J1213=0),"仅 VIT-LPS 跟住","都没跟住")))</f>
        <v>两者都跟住</v>
      </c>
      <c r="L1213" s="45" t="n">
        <f aca="false">F1213-G1213</f>
        <v>-0.018330780179738</v>
      </c>
      <c r="M1213" s="46" t="n">
        <v>0.6600858</v>
      </c>
      <c r="N1213" s="46" t="n">
        <v>0.2478367</v>
      </c>
      <c r="O1213" s="46" t="n">
        <v>0.4806238</v>
      </c>
      <c r="P1213" s="46" t="n">
        <v>0.8843324</v>
      </c>
      <c r="Q1213" s="46" t="n">
        <v>3.0041197</v>
      </c>
      <c r="R1213" s="46" t="n">
        <v>2.1668586</v>
      </c>
      <c r="S1213" s="47" t="n">
        <f aca="false">M1213+N1213+O1213</f>
        <v>1.3885463</v>
      </c>
      <c r="T1213" s="47" t="n">
        <f aca="false">M1213+P1213</f>
        <v>1.5444182</v>
      </c>
    </row>
    <row r="1214" customFormat="false" ht="15" hidden="false" customHeight="false" outlineLevel="0" collapsed="false">
      <c r="A1214" s="42" t="s">
        <v>45</v>
      </c>
      <c r="B1214" s="42" t="n">
        <v>-10</v>
      </c>
      <c r="C1214" s="42" t="n">
        <v>13</v>
      </c>
      <c r="D1214" s="42" t="n">
        <v>74290928</v>
      </c>
      <c r="E1214" s="43" t="n">
        <v>0.753329382258556</v>
      </c>
      <c r="F1214" s="43" t="n">
        <v>0.806193230945992</v>
      </c>
      <c r="G1214" s="43" t="n">
        <v>0.816318016216909</v>
      </c>
      <c r="H1214" s="43" t="n">
        <v>0.832020756024339</v>
      </c>
      <c r="I1214" s="42" t="n">
        <v>1</v>
      </c>
      <c r="J1214" s="42" t="n">
        <v>1</v>
      </c>
      <c r="K1214" s="44" t="str">
        <f aca="false">IF(AND(I1214=1,J1214=1),"两者都跟住",IF(AND(I1214=0,J1214=1),"仅 PC-TBD 跟住",IF(AND(I1214=1,J1214=0),"仅 VIT-LPS 跟住","都没跟住")))</f>
        <v>两者都跟住</v>
      </c>
      <c r="L1214" s="45" t="n">
        <f aca="false">F1214-G1214</f>
        <v>-0.010124785270917</v>
      </c>
      <c r="M1214" s="46" t="n">
        <v>0.590754</v>
      </c>
      <c r="N1214" s="46" t="n">
        <v>0.2471489</v>
      </c>
      <c r="O1214" s="46" t="n">
        <v>0.5435518</v>
      </c>
      <c r="P1214" s="46" t="n">
        <v>1.4491118</v>
      </c>
      <c r="Q1214" s="46" t="n">
        <v>2.8998602</v>
      </c>
      <c r="R1214" s="46" t="n">
        <v>1.6820849</v>
      </c>
      <c r="S1214" s="47" t="n">
        <f aca="false">M1214+N1214+O1214</f>
        <v>1.3814547</v>
      </c>
      <c r="T1214" s="47" t="n">
        <f aca="false">M1214+P1214</f>
        <v>2.0398658</v>
      </c>
    </row>
    <row r="1215" customFormat="false" ht="15" hidden="false" customHeight="false" outlineLevel="0" collapsed="false">
      <c r="A1215" s="42" t="s">
        <v>45</v>
      </c>
      <c r="B1215" s="42" t="n">
        <v>-10</v>
      </c>
      <c r="C1215" s="42" t="n">
        <v>14</v>
      </c>
      <c r="D1215" s="42" t="n">
        <v>74290929</v>
      </c>
      <c r="E1215" s="43" t="n">
        <v>0.7689028850988</v>
      </c>
      <c r="F1215" s="43" t="n">
        <v>0.81040552660725</v>
      </c>
      <c r="G1215" s="43" t="n">
        <v>0.816636198453876</v>
      </c>
      <c r="H1215" s="43" t="n">
        <v>0.838175377497133</v>
      </c>
      <c r="I1215" s="42" t="n">
        <v>1</v>
      </c>
      <c r="J1215" s="42" t="n">
        <v>1</v>
      </c>
      <c r="K1215" s="44" t="str">
        <f aca="false">IF(AND(I1215=1,J1215=1),"两者都跟住",IF(AND(I1215=0,J1215=1),"仅 PC-TBD 跟住",IF(AND(I1215=1,J1215=0),"仅 VIT-LPS 跟住","都没跟住")))</f>
        <v>两者都跟住</v>
      </c>
      <c r="L1215" s="45" t="n">
        <f aca="false">F1215-G1215</f>
        <v>-0.00623067184662607</v>
      </c>
      <c r="M1215" s="46" t="n">
        <v>0.6465929</v>
      </c>
      <c r="N1215" s="46" t="n">
        <v>0.2518562</v>
      </c>
      <c r="O1215" s="46" t="n">
        <v>0.4789017</v>
      </c>
      <c r="P1215" s="46" t="n">
        <v>0.9466993</v>
      </c>
      <c r="Q1215" s="46" t="n">
        <v>3.1287516</v>
      </c>
      <c r="R1215" s="46" t="n">
        <v>2.3615041</v>
      </c>
      <c r="S1215" s="47" t="n">
        <f aca="false">M1215+N1215+O1215</f>
        <v>1.3773508</v>
      </c>
      <c r="T1215" s="47" t="n">
        <f aca="false">M1215+P1215</f>
        <v>1.5932922</v>
      </c>
    </row>
    <row r="1216" customFormat="false" ht="15" hidden="false" customHeight="false" outlineLevel="0" collapsed="false">
      <c r="A1216" s="42" t="s">
        <v>45</v>
      </c>
      <c r="B1216" s="42" t="n">
        <v>-10</v>
      </c>
      <c r="C1216" s="42" t="n">
        <v>15</v>
      </c>
      <c r="D1216" s="42" t="n">
        <v>74290930</v>
      </c>
      <c r="E1216" s="43" t="n">
        <v>0.774894145430449</v>
      </c>
      <c r="F1216" s="43" t="n">
        <v>0.800833632802049</v>
      </c>
      <c r="G1216" s="43" t="n">
        <v>0.801452051115268</v>
      </c>
      <c r="H1216" s="43" t="n">
        <v>0.825328592358261</v>
      </c>
      <c r="I1216" s="42" t="n">
        <v>1</v>
      </c>
      <c r="J1216" s="42" t="n">
        <v>1</v>
      </c>
      <c r="K1216" s="44" t="str">
        <f aca="false">IF(AND(I1216=1,J1216=1),"两者都跟住",IF(AND(I1216=0,J1216=1),"仅 PC-TBD 跟住",IF(AND(I1216=1,J1216=0),"仅 VIT-LPS 跟住","都没跟住")))</f>
        <v>两者都跟住</v>
      </c>
      <c r="L1216" s="45" t="n">
        <f aca="false">F1216-G1216</f>
        <v>-0.00061841831321896</v>
      </c>
      <c r="M1216" s="46" t="n">
        <v>0.6366696</v>
      </c>
      <c r="N1216" s="46" t="n">
        <v>0.2680106</v>
      </c>
      <c r="O1216" s="46" t="n">
        <v>0.4964439</v>
      </c>
      <c r="P1216" s="46" t="n">
        <v>0.9117189</v>
      </c>
      <c r="Q1216" s="46" t="n">
        <v>2.785954</v>
      </c>
      <c r="R1216" s="46" t="n">
        <v>2.3950593</v>
      </c>
      <c r="S1216" s="47" t="n">
        <f aca="false">M1216+N1216+O1216</f>
        <v>1.4011241</v>
      </c>
      <c r="T1216" s="47" t="n">
        <f aca="false">M1216+P1216</f>
        <v>1.5483885</v>
      </c>
    </row>
    <row r="1217" customFormat="false" ht="15" hidden="false" customHeight="false" outlineLevel="0" collapsed="false">
      <c r="A1217" s="42" t="s">
        <v>45</v>
      </c>
      <c r="B1217" s="42" t="n">
        <v>-10</v>
      </c>
      <c r="C1217" s="42" t="n">
        <v>16</v>
      </c>
      <c r="D1217" s="42" t="n">
        <v>74290931</v>
      </c>
      <c r="E1217" s="43" t="n">
        <v>0.777776664561738</v>
      </c>
      <c r="F1217" s="43" t="n">
        <v>0.813768549365585</v>
      </c>
      <c r="G1217" s="43" t="n">
        <v>0.812476928321066</v>
      </c>
      <c r="H1217" s="43" t="n">
        <v>0.832715673358084</v>
      </c>
      <c r="I1217" s="42" t="n">
        <v>1</v>
      </c>
      <c r="J1217" s="42" t="n">
        <v>1</v>
      </c>
      <c r="K1217" s="44" t="str">
        <f aca="false">IF(AND(I1217=1,J1217=1),"两者都跟住",IF(AND(I1217=0,J1217=1),"仅 PC-TBD 跟住",IF(AND(I1217=1,J1217=0),"仅 VIT-LPS 跟住","都没跟住")))</f>
        <v>两者都跟住</v>
      </c>
      <c r="L1217" s="45" t="n">
        <f aca="false">F1217-G1217</f>
        <v>0.00129162104451896</v>
      </c>
      <c r="M1217" s="46" t="n">
        <v>0.5812868</v>
      </c>
      <c r="N1217" s="46" t="n">
        <v>0.2419626</v>
      </c>
      <c r="O1217" s="46" t="n">
        <v>0.6774686</v>
      </c>
      <c r="P1217" s="46" t="n">
        <v>1.1477834</v>
      </c>
      <c r="Q1217" s="46" t="n">
        <v>2.4849476</v>
      </c>
      <c r="R1217" s="46" t="n">
        <v>2.2500412</v>
      </c>
      <c r="S1217" s="47" t="n">
        <f aca="false">M1217+N1217+O1217</f>
        <v>1.500718</v>
      </c>
      <c r="T1217" s="47" t="n">
        <f aca="false">M1217+P1217</f>
        <v>1.7290702</v>
      </c>
    </row>
    <row r="1218" customFormat="false" ht="15" hidden="false" customHeight="false" outlineLevel="0" collapsed="false">
      <c r="A1218" s="42" t="s">
        <v>45</v>
      </c>
      <c r="B1218" s="42" t="n">
        <v>-10</v>
      </c>
      <c r="C1218" s="42" t="n">
        <v>17</v>
      </c>
      <c r="D1218" s="42" t="n">
        <v>74290932</v>
      </c>
      <c r="E1218" s="43" t="n">
        <v>0.668081719297336</v>
      </c>
      <c r="F1218" s="43" t="n">
        <v>0.782783783487527</v>
      </c>
      <c r="G1218" s="43" t="n">
        <v>0.828220884634128</v>
      </c>
      <c r="H1218" s="43" t="n">
        <v>0.822922158931762</v>
      </c>
      <c r="I1218" s="42" t="n">
        <v>1</v>
      </c>
      <c r="J1218" s="42" t="n">
        <v>1</v>
      </c>
      <c r="K1218" s="44" t="str">
        <f aca="false">IF(AND(I1218=1,J1218=1),"两者都跟住",IF(AND(I1218=0,J1218=1),"仅 PC-TBD 跟住",IF(AND(I1218=1,J1218=0),"仅 VIT-LPS 跟住","都没跟住")))</f>
        <v>两者都跟住</v>
      </c>
      <c r="L1218" s="45" t="n">
        <f aca="false">F1218-G1218</f>
        <v>-0.045437101146601</v>
      </c>
      <c r="M1218" s="46" t="n">
        <v>0.1374327</v>
      </c>
      <c r="N1218" s="46" t="n">
        <v>0.1254074</v>
      </c>
      <c r="O1218" s="46" t="n">
        <v>0.297848</v>
      </c>
      <c r="P1218" s="46" t="n">
        <v>0.8190766</v>
      </c>
      <c r="Q1218" s="46" t="n">
        <v>1.5280477</v>
      </c>
      <c r="R1218" s="46" t="n">
        <v>2.6652112</v>
      </c>
      <c r="S1218" s="47" t="n">
        <f aca="false">M1218+N1218+O1218</f>
        <v>0.5606881</v>
      </c>
      <c r="T1218" s="47" t="n">
        <f aca="false">M1218+P1218</f>
        <v>0.9565093</v>
      </c>
    </row>
    <row r="1219" customFormat="false" ht="15" hidden="false" customHeight="false" outlineLevel="0" collapsed="false">
      <c r="A1219" s="42" t="s">
        <v>45</v>
      </c>
      <c r="B1219" s="42" t="n">
        <v>-10</v>
      </c>
      <c r="C1219" s="42" t="n">
        <v>18</v>
      </c>
      <c r="D1219" s="42" t="n">
        <v>74290933</v>
      </c>
      <c r="E1219" s="43" t="n">
        <v>0.749150553753079</v>
      </c>
      <c r="F1219" s="43" t="n">
        <v>0.811517916092028</v>
      </c>
      <c r="G1219" s="43" t="n">
        <v>0.817530810157396</v>
      </c>
      <c r="H1219" s="43" t="n">
        <v>0.838586291768171</v>
      </c>
      <c r="I1219" s="42" t="n">
        <v>1</v>
      </c>
      <c r="J1219" s="42" t="n">
        <v>1</v>
      </c>
      <c r="K1219" s="44" t="str">
        <f aca="false">IF(AND(I1219=1,J1219=1),"两者都跟住",IF(AND(I1219=0,J1219=1),"仅 PC-TBD 跟住",IF(AND(I1219=1,J1219=0),"仅 VIT-LPS 跟住","都没跟住")))</f>
        <v>两者都跟住</v>
      </c>
      <c r="L1219" s="45" t="n">
        <f aca="false">F1219-G1219</f>
        <v>-0.00601289406536809</v>
      </c>
      <c r="M1219" s="46" t="n">
        <v>0.2142939</v>
      </c>
      <c r="N1219" s="46" t="n">
        <v>0.1714373</v>
      </c>
      <c r="O1219" s="46" t="n">
        <v>0.3500787</v>
      </c>
      <c r="P1219" s="46" t="n">
        <v>0.6269374</v>
      </c>
      <c r="Q1219" s="46" t="n">
        <v>1.4555358</v>
      </c>
      <c r="R1219" s="46" t="n">
        <v>2.2754293</v>
      </c>
      <c r="S1219" s="47" t="n">
        <f aca="false">M1219+N1219+O1219</f>
        <v>0.7358099</v>
      </c>
      <c r="T1219" s="47" t="n">
        <f aca="false">M1219+P1219</f>
        <v>0.8412313</v>
      </c>
    </row>
    <row r="1220" customFormat="false" ht="15" hidden="false" customHeight="false" outlineLevel="0" collapsed="false">
      <c r="A1220" s="42" t="s">
        <v>45</v>
      </c>
      <c r="B1220" s="42" t="n">
        <v>-10</v>
      </c>
      <c r="C1220" s="42" t="n">
        <v>19</v>
      </c>
      <c r="D1220" s="42" t="n">
        <v>74290934</v>
      </c>
      <c r="E1220" s="43" t="n">
        <v>0.740170417809932</v>
      </c>
      <c r="F1220" s="43" t="n">
        <v>0.78194997183895</v>
      </c>
      <c r="G1220" s="43" t="n">
        <v>0.757969047298746</v>
      </c>
      <c r="H1220" s="43" t="n">
        <v>0.77221689651046</v>
      </c>
      <c r="I1220" s="42" t="n">
        <v>1</v>
      </c>
      <c r="J1220" s="42" t="n">
        <v>1</v>
      </c>
      <c r="K1220" s="44" t="str">
        <f aca="false">IF(AND(I1220=1,J1220=1),"两者都跟住",IF(AND(I1220=0,J1220=1),"仅 PC-TBD 跟住",IF(AND(I1220=1,J1220=0),"仅 VIT-LPS 跟住","都没跟住")))</f>
        <v>两者都跟住</v>
      </c>
      <c r="L1220" s="45" t="n">
        <f aca="false">F1220-G1220</f>
        <v>0.023980924540204</v>
      </c>
      <c r="M1220" s="46" t="n">
        <v>0.2231789</v>
      </c>
      <c r="N1220" s="46" t="n">
        <v>0.1547128</v>
      </c>
      <c r="O1220" s="46" t="n">
        <v>0.3555091</v>
      </c>
      <c r="P1220" s="46" t="n">
        <v>0.6904309</v>
      </c>
      <c r="Q1220" s="46" t="n">
        <v>1.2633284</v>
      </c>
      <c r="R1220" s="46" t="n">
        <v>2.3486484</v>
      </c>
      <c r="S1220" s="47" t="n">
        <f aca="false">M1220+N1220+O1220</f>
        <v>0.7334008</v>
      </c>
      <c r="T1220" s="47" t="n">
        <f aca="false">M1220+P1220</f>
        <v>0.9136098</v>
      </c>
    </row>
    <row r="1221" customFormat="false" ht="15" hidden="false" customHeight="false" outlineLevel="0" collapsed="false">
      <c r="A1221" s="42" t="s">
        <v>45</v>
      </c>
      <c r="B1221" s="42" t="n">
        <v>-10</v>
      </c>
      <c r="C1221" s="42" t="n">
        <v>20</v>
      </c>
      <c r="D1221" s="42" t="n">
        <v>74290935</v>
      </c>
      <c r="E1221" s="43" t="n">
        <v>0.692745413267252</v>
      </c>
      <c r="F1221" s="43" t="n">
        <v>0.779308787475266</v>
      </c>
      <c r="G1221" s="43" t="n">
        <v>0.778577714003867</v>
      </c>
      <c r="H1221" s="43" t="n">
        <v>0.798176363106325</v>
      </c>
      <c r="I1221" s="42" t="n">
        <v>1</v>
      </c>
      <c r="J1221" s="42" t="n">
        <v>1</v>
      </c>
      <c r="K1221" s="44" t="str">
        <f aca="false">IF(AND(I1221=1,J1221=1),"两者都跟住",IF(AND(I1221=0,J1221=1),"仅 PC-TBD 跟住",IF(AND(I1221=1,J1221=0),"仅 VIT-LPS 跟住","都没跟住")))</f>
        <v>两者都跟住</v>
      </c>
      <c r="L1221" s="45" t="n">
        <f aca="false">F1221-G1221</f>
        <v>0.000731073471399002</v>
      </c>
      <c r="M1221" s="46" t="n">
        <v>0.2275867</v>
      </c>
      <c r="N1221" s="46" t="n">
        <v>0.1560255</v>
      </c>
      <c r="O1221" s="46" t="n">
        <v>0.3757206</v>
      </c>
      <c r="P1221" s="46" t="n">
        <v>0.669348</v>
      </c>
      <c r="Q1221" s="46" t="n">
        <v>1.4649077</v>
      </c>
      <c r="R1221" s="46" t="n">
        <v>2.3795023</v>
      </c>
      <c r="S1221" s="47" t="n">
        <f aca="false">M1221+N1221+O1221</f>
        <v>0.7593328</v>
      </c>
      <c r="T1221" s="47" t="n">
        <f aca="false">M1221+P1221</f>
        <v>0.8969347</v>
      </c>
    </row>
    <row r="1222" customFormat="false" ht="15" hidden="false" customHeight="false" outlineLevel="0" collapsed="false">
      <c r="A1222" s="42" t="s">
        <v>45</v>
      </c>
      <c r="B1222" s="42" t="n">
        <v>-10</v>
      </c>
      <c r="C1222" s="42" t="n">
        <v>21</v>
      </c>
      <c r="D1222" s="42" t="n">
        <v>74290936</v>
      </c>
      <c r="E1222" s="43" t="n">
        <v>0.771830030351085</v>
      </c>
      <c r="F1222" s="43" t="n">
        <v>0.808312662865307</v>
      </c>
      <c r="G1222" s="43" t="n">
        <v>0.816435006786314</v>
      </c>
      <c r="H1222" s="43" t="n">
        <v>0.826623335953316</v>
      </c>
      <c r="I1222" s="42" t="n">
        <v>1</v>
      </c>
      <c r="J1222" s="42" t="n">
        <v>1</v>
      </c>
      <c r="K1222" s="44" t="str">
        <f aca="false">IF(AND(I1222=1,J1222=1),"两者都跟住",IF(AND(I1222=0,J1222=1),"仅 PC-TBD 跟住",IF(AND(I1222=1,J1222=0),"仅 VIT-LPS 跟住","都没跟住")))</f>
        <v>两者都跟住</v>
      </c>
      <c r="L1222" s="45" t="n">
        <f aca="false">F1222-G1222</f>
        <v>-0.00812234392100697</v>
      </c>
      <c r="M1222" s="46" t="n">
        <v>0.2939162</v>
      </c>
      <c r="N1222" s="46" t="n">
        <v>0.1398805</v>
      </c>
      <c r="O1222" s="46" t="n">
        <v>0.5156969</v>
      </c>
      <c r="P1222" s="46" t="n">
        <v>0.9078908</v>
      </c>
      <c r="Q1222" s="46" t="n">
        <v>1.9600801</v>
      </c>
      <c r="R1222" s="46" t="n">
        <v>1.8930453</v>
      </c>
      <c r="S1222" s="47" t="n">
        <f aca="false">M1222+N1222+O1222</f>
        <v>0.9494936</v>
      </c>
      <c r="T1222" s="47" t="n">
        <f aca="false">M1222+P1222</f>
        <v>1.201807</v>
      </c>
    </row>
    <row r="1223" customFormat="false" ht="15" hidden="false" customHeight="false" outlineLevel="0" collapsed="false">
      <c r="A1223" s="42" t="s">
        <v>45</v>
      </c>
      <c r="B1223" s="42" t="n">
        <v>-10</v>
      </c>
      <c r="C1223" s="42" t="n">
        <v>22</v>
      </c>
      <c r="D1223" s="42" t="n">
        <v>74290937</v>
      </c>
      <c r="E1223" s="43" t="n">
        <v>0.78646216179377</v>
      </c>
      <c r="F1223" s="43" t="n">
        <v>0.812591652948383</v>
      </c>
      <c r="G1223" s="43" t="n">
        <v>0.825705770956793</v>
      </c>
      <c r="H1223" s="43" t="n">
        <v>0.829433118602308</v>
      </c>
      <c r="I1223" s="42" t="n">
        <v>1</v>
      </c>
      <c r="J1223" s="42" t="n">
        <v>1</v>
      </c>
      <c r="K1223" s="44" t="str">
        <f aca="false">IF(AND(I1223=1,J1223=1),"两者都跟住",IF(AND(I1223=0,J1223=1),"仅 PC-TBD 跟住",IF(AND(I1223=1,J1223=0),"仅 VIT-LPS 跟住","都没跟住")))</f>
        <v>两者都跟住</v>
      </c>
      <c r="L1223" s="45" t="n">
        <f aca="false">F1223-G1223</f>
        <v>-0.01311411800841</v>
      </c>
      <c r="M1223" s="46" t="n">
        <v>0.2954202</v>
      </c>
      <c r="N1223" s="46" t="n">
        <v>0.115749</v>
      </c>
      <c r="O1223" s="46" t="n">
        <v>0.4312644</v>
      </c>
      <c r="P1223" s="46" t="n">
        <v>0.8162925</v>
      </c>
      <c r="Q1223" s="46" t="n">
        <v>1.8550133</v>
      </c>
      <c r="R1223" s="46" t="n">
        <v>2.123803</v>
      </c>
      <c r="S1223" s="47" t="n">
        <f aca="false">M1223+N1223+O1223</f>
        <v>0.8424336</v>
      </c>
      <c r="T1223" s="47" t="n">
        <f aca="false">M1223+P1223</f>
        <v>1.1117127</v>
      </c>
    </row>
    <row r="1224" customFormat="false" ht="15" hidden="false" customHeight="false" outlineLevel="0" collapsed="false">
      <c r="A1224" s="42" t="s">
        <v>45</v>
      </c>
      <c r="B1224" s="42" t="n">
        <v>-10</v>
      </c>
      <c r="C1224" s="42" t="n">
        <v>23</v>
      </c>
      <c r="D1224" s="42" t="n">
        <v>74290938</v>
      </c>
      <c r="E1224" s="43" t="n">
        <v>0.790622919339771</v>
      </c>
      <c r="F1224" s="43" t="n">
        <v>0.814256047150325</v>
      </c>
      <c r="G1224" s="43" t="n">
        <v>0.823299855114726</v>
      </c>
      <c r="H1224" s="43" t="n">
        <v>0.82534082413756</v>
      </c>
      <c r="I1224" s="42" t="n">
        <v>1</v>
      </c>
      <c r="J1224" s="42" t="n">
        <v>1</v>
      </c>
      <c r="K1224" s="44" t="str">
        <f aca="false">IF(AND(I1224=1,J1224=1),"两者都跟住",IF(AND(I1224=0,J1224=1),"仅 PC-TBD 跟住",IF(AND(I1224=1,J1224=0),"仅 VIT-LPS 跟住","都没跟住")))</f>
        <v>两者都跟住</v>
      </c>
      <c r="L1224" s="45" t="n">
        <f aca="false">F1224-G1224</f>
        <v>-0.00904380796440107</v>
      </c>
      <c r="M1224" s="46" t="n">
        <v>0.3052383</v>
      </c>
      <c r="N1224" s="46" t="n">
        <v>0.1455842</v>
      </c>
      <c r="O1224" s="46" t="n">
        <v>0.4494042</v>
      </c>
      <c r="P1224" s="46" t="n">
        <v>0.8037615</v>
      </c>
      <c r="Q1224" s="46" t="n">
        <v>2.2275749</v>
      </c>
      <c r="R1224" s="46" t="n">
        <v>2.0923202</v>
      </c>
      <c r="S1224" s="47" t="n">
        <f aca="false">M1224+N1224+O1224</f>
        <v>0.9002267</v>
      </c>
      <c r="T1224" s="47" t="n">
        <f aca="false">M1224+P1224</f>
        <v>1.1089998</v>
      </c>
    </row>
    <row r="1225" customFormat="false" ht="15" hidden="false" customHeight="false" outlineLevel="0" collapsed="false">
      <c r="A1225" s="42" t="s">
        <v>45</v>
      </c>
      <c r="B1225" s="42" t="n">
        <v>-10</v>
      </c>
      <c r="C1225" s="42" t="n">
        <v>24</v>
      </c>
      <c r="D1225" s="42" t="n">
        <v>74290939</v>
      </c>
      <c r="E1225" s="43" t="n">
        <v>0.732761222050857</v>
      </c>
      <c r="F1225" s="43" t="n">
        <v>0.772206991175191</v>
      </c>
      <c r="G1225" s="43" t="n">
        <v>0.796284612456866</v>
      </c>
      <c r="H1225" s="43" t="n">
        <v>0.812461449938206</v>
      </c>
      <c r="I1225" s="42" t="n">
        <v>1</v>
      </c>
      <c r="J1225" s="42" t="n">
        <v>1</v>
      </c>
      <c r="K1225" s="44" t="str">
        <f aca="false">IF(AND(I1225=1,J1225=1),"两者都跟住",IF(AND(I1225=0,J1225=1),"仅 PC-TBD 跟住",IF(AND(I1225=1,J1225=0),"仅 VIT-LPS 跟住","都没跟住")))</f>
        <v>两者都跟住</v>
      </c>
      <c r="L1225" s="45" t="n">
        <f aca="false">F1225-G1225</f>
        <v>-0.024077621281675</v>
      </c>
      <c r="M1225" s="46" t="n">
        <v>0.3339345</v>
      </c>
      <c r="N1225" s="46" t="n">
        <v>0.128445</v>
      </c>
      <c r="O1225" s="46" t="n">
        <v>0.6441663</v>
      </c>
      <c r="P1225" s="46" t="n">
        <v>0.7537224</v>
      </c>
      <c r="Q1225" s="46" t="n">
        <v>2.046536</v>
      </c>
      <c r="R1225" s="46" t="n">
        <v>2.2103744</v>
      </c>
      <c r="S1225" s="47" t="n">
        <f aca="false">M1225+N1225+O1225</f>
        <v>1.1065458</v>
      </c>
      <c r="T1225" s="47" t="n">
        <f aca="false">M1225+P1225</f>
        <v>1.0876569</v>
      </c>
    </row>
    <row r="1226" customFormat="false" ht="15" hidden="false" customHeight="false" outlineLevel="0" collapsed="false">
      <c r="A1226" s="42" t="s">
        <v>45</v>
      </c>
      <c r="B1226" s="42" t="n">
        <v>-10</v>
      </c>
      <c r="C1226" s="42" t="n">
        <v>25</v>
      </c>
      <c r="D1226" s="42" t="n">
        <v>74290940</v>
      </c>
      <c r="E1226" s="43" t="n">
        <v>0.754446936886762</v>
      </c>
      <c r="F1226" s="43" t="n">
        <v>0.812036765735162</v>
      </c>
      <c r="G1226" s="43" t="n">
        <v>0.812442178754592</v>
      </c>
      <c r="H1226" s="43" t="n">
        <v>0.843338297258754</v>
      </c>
      <c r="I1226" s="42" t="n">
        <v>1</v>
      </c>
      <c r="J1226" s="42" t="n">
        <v>1</v>
      </c>
      <c r="K1226" s="44" t="str">
        <f aca="false">IF(AND(I1226=1,J1226=1),"两者都跟住",IF(AND(I1226=0,J1226=1),"仅 PC-TBD 跟住",IF(AND(I1226=1,J1226=0),"仅 VIT-LPS 跟住","都没跟住")))</f>
        <v>两者都跟住</v>
      </c>
      <c r="L1226" s="45" t="n">
        <f aca="false">F1226-G1226</f>
        <v>-0.000405413019429979</v>
      </c>
      <c r="M1226" s="46" t="n">
        <v>0.3391139</v>
      </c>
      <c r="N1226" s="46" t="n">
        <v>0.1305616</v>
      </c>
      <c r="O1226" s="46" t="n">
        <v>0.5144847</v>
      </c>
      <c r="P1226" s="46" t="n">
        <v>0.8429547</v>
      </c>
      <c r="Q1226" s="46" t="n">
        <v>1.8457527</v>
      </c>
      <c r="R1226" s="46" t="n">
        <v>2.031573</v>
      </c>
      <c r="S1226" s="47" t="n">
        <f aca="false">M1226+N1226+O1226</f>
        <v>0.9841602</v>
      </c>
      <c r="T1226" s="47" t="n">
        <f aca="false">M1226+P1226</f>
        <v>1.1820686</v>
      </c>
    </row>
    <row r="1227" customFormat="false" ht="15" hidden="false" customHeight="false" outlineLevel="0" collapsed="false">
      <c r="A1227" s="42" t="s">
        <v>45</v>
      </c>
      <c r="B1227" s="42" t="n">
        <v>-10</v>
      </c>
      <c r="C1227" s="42" t="n">
        <v>26</v>
      </c>
      <c r="D1227" s="42" t="n">
        <v>74290941</v>
      </c>
      <c r="E1227" s="43" t="n">
        <v>0.71660256622411</v>
      </c>
      <c r="F1227" s="43" t="n">
        <v>0.784276500915703</v>
      </c>
      <c r="G1227" s="43" t="n">
        <v>0.747706280690832</v>
      </c>
      <c r="H1227" s="43" t="n">
        <v>0.772942077995838</v>
      </c>
      <c r="I1227" s="42" t="n">
        <v>1</v>
      </c>
      <c r="J1227" s="42" t="n">
        <v>1</v>
      </c>
      <c r="K1227" s="44" t="str">
        <f aca="false">IF(AND(I1227=1,J1227=1),"两者都跟住",IF(AND(I1227=0,J1227=1),"仅 PC-TBD 跟住",IF(AND(I1227=1,J1227=0),"仅 VIT-LPS 跟住","都没跟住")))</f>
        <v>两者都跟住</v>
      </c>
      <c r="L1227" s="45" t="n">
        <f aca="false">F1227-G1227</f>
        <v>0.036570220224871</v>
      </c>
      <c r="M1227" s="46" t="n">
        <v>0.2876207</v>
      </c>
      <c r="N1227" s="46" t="n">
        <v>0.1499917</v>
      </c>
      <c r="O1227" s="46" t="n">
        <v>0.2776914</v>
      </c>
      <c r="P1227" s="46" t="n">
        <v>1.0807178</v>
      </c>
      <c r="Q1227" s="46" t="n">
        <v>2.1853752</v>
      </c>
      <c r="R1227" s="46" t="n">
        <v>2.0926066</v>
      </c>
      <c r="S1227" s="47" t="n">
        <f aca="false">M1227+N1227+O1227</f>
        <v>0.7153038</v>
      </c>
      <c r="T1227" s="47" t="n">
        <f aca="false">M1227+P1227</f>
        <v>1.3683385</v>
      </c>
    </row>
    <row r="1228" customFormat="false" ht="15" hidden="false" customHeight="false" outlineLevel="0" collapsed="false">
      <c r="A1228" s="42" t="s">
        <v>45</v>
      </c>
      <c r="B1228" s="42" t="n">
        <v>-10</v>
      </c>
      <c r="C1228" s="42" t="n">
        <v>27</v>
      </c>
      <c r="D1228" s="42" t="n">
        <v>74290942</v>
      </c>
      <c r="E1228" s="43" t="n">
        <v>0.778319958525246</v>
      </c>
      <c r="F1228" s="43" t="n">
        <v>0.804706652644971</v>
      </c>
      <c r="G1228" s="43" t="n">
        <v>0.825483959869667</v>
      </c>
      <c r="H1228" s="43" t="n">
        <v>0.822257325740499</v>
      </c>
      <c r="I1228" s="42" t="n">
        <v>1</v>
      </c>
      <c r="J1228" s="42" t="n">
        <v>1</v>
      </c>
      <c r="K1228" s="44" t="str">
        <f aca="false">IF(AND(I1228=1,J1228=1),"两者都跟住",IF(AND(I1228=0,J1228=1),"仅 PC-TBD 跟住",IF(AND(I1228=1,J1228=0),"仅 VIT-LPS 跟住","都没跟住")))</f>
        <v>两者都跟住</v>
      </c>
      <c r="L1228" s="45" t="n">
        <f aca="false">F1228-G1228</f>
        <v>-0.0207773072246961</v>
      </c>
      <c r="M1228" s="46" t="n">
        <v>0.1652348</v>
      </c>
      <c r="N1228" s="46" t="n">
        <v>0.1115016</v>
      </c>
      <c r="O1228" s="46" t="n">
        <v>0.2013101</v>
      </c>
      <c r="P1228" s="46" t="n">
        <v>0.6339783</v>
      </c>
      <c r="Q1228" s="46" t="n">
        <v>1.4574893</v>
      </c>
      <c r="R1228" s="46" t="n">
        <v>1.3821925</v>
      </c>
      <c r="S1228" s="47" t="n">
        <f aca="false">M1228+N1228+O1228</f>
        <v>0.4780465</v>
      </c>
      <c r="T1228" s="47" t="n">
        <f aca="false">M1228+P1228</f>
        <v>0.7992131</v>
      </c>
    </row>
    <row r="1229" customFormat="false" ht="15" hidden="false" customHeight="false" outlineLevel="0" collapsed="false">
      <c r="A1229" s="42" t="s">
        <v>45</v>
      </c>
      <c r="B1229" s="42" t="n">
        <v>-10</v>
      </c>
      <c r="C1229" s="42" t="n">
        <v>28</v>
      </c>
      <c r="D1229" s="42" t="n">
        <v>74290943</v>
      </c>
      <c r="E1229" s="43" t="n">
        <v>0.78067670582127</v>
      </c>
      <c r="F1229" s="43" t="n">
        <v>0.806351695812619</v>
      </c>
      <c r="G1229" s="43" t="n">
        <v>0.816609259220312</v>
      </c>
      <c r="H1229" s="43" t="n">
        <v>0.829887776673996</v>
      </c>
      <c r="I1229" s="42" t="n">
        <v>1</v>
      </c>
      <c r="J1229" s="42" t="n">
        <v>1</v>
      </c>
      <c r="K1229" s="44" t="str">
        <f aca="false">IF(AND(I1229=1,J1229=1),"两者都跟住",IF(AND(I1229=0,J1229=1),"仅 PC-TBD 跟住",IF(AND(I1229=1,J1229=0),"仅 VIT-LPS 跟住","都没跟住")))</f>
        <v>两者都跟住</v>
      </c>
      <c r="L1229" s="45" t="n">
        <f aca="false">F1229-G1229</f>
        <v>-0.010257563407693</v>
      </c>
      <c r="M1229" s="46" t="n">
        <v>0.1883655</v>
      </c>
      <c r="N1229" s="46" t="n">
        <v>0.089389</v>
      </c>
      <c r="O1229" s="46" t="n">
        <v>0.2098105</v>
      </c>
      <c r="P1229" s="46" t="n">
        <v>0.5879106</v>
      </c>
      <c r="Q1229" s="46" t="n">
        <v>1.6923576</v>
      </c>
      <c r="R1229" s="46" t="n">
        <v>1.6061433</v>
      </c>
      <c r="S1229" s="47" t="n">
        <f aca="false">M1229+N1229+O1229</f>
        <v>0.487565</v>
      </c>
      <c r="T1229" s="47" t="n">
        <f aca="false">M1229+P1229</f>
        <v>0.7762761</v>
      </c>
    </row>
    <row r="1230" customFormat="false" ht="15" hidden="false" customHeight="false" outlineLevel="0" collapsed="false">
      <c r="A1230" s="42" t="s">
        <v>45</v>
      </c>
      <c r="B1230" s="42" t="n">
        <v>-10</v>
      </c>
      <c r="C1230" s="42" t="n">
        <v>29</v>
      </c>
      <c r="D1230" s="42" t="n">
        <v>74290944</v>
      </c>
      <c r="E1230" s="43" t="n">
        <v>0.777339548305249</v>
      </c>
      <c r="F1230" s="43" t="n">
        <v>0.795695722143158</v>
      </c>
      <c r="G1230" s="43" t="n">
        <v>0.816581275905464</v>
      </c>
      <c r="H1230" s="43" t="n">
        <v>0.819605258089932</v>
      </c>
      <c r="I1230" s="42" t="n">
        <v>1</v>
      </c>
      <c r="J1230" s="42" t="n">
        <v>1</v>
      </c>
      <c r="K1230" s="44" t="str">
        <f aca="false">IF(AND(I1230=1,J1230=1),"两者都跟住",IF(AND(I1230=0,J1230=1),"仅 PC-TBD 跟住",IF(AND(I1230=1,J1230=0),"仅 VIT-LPS 跟住","都没跟住")))</f>
        <v>两者都跟住</v>
      </c>
      <c r="L1230" s="45" t="n">
        <f aca="false">F1230-G1230</f>
        <v>-0.0208855537623061</v>
      </c>
      <c r="M1230" s="46" t="n">
        <v>0.1691145</v>
      </c>
      <c r="N1230" s="46" t="n">
        <v>0.1149717</v>
      </c>
      <c r="O1230" s="46" t="n">
        <v>0.1991146</v>
      </c>
      <c r="P1230" s="46" t="n">
        <v>0.485879</v>
      </c>
      <c r="Q1230" s="46" t="n">
        <v>1.4229256</v>
      </c>
      <c r="R1230" s="46" t="n">
        <v>1.269516</v>
      </c>
      <c r="S1230" s="47" t="n">
        <f aca="false">M1230+N1230+O1230</f>
        <v>0.4832008</v>
      </c>
      <c r="T1230" s="47" t="n">
        <f aca="false">M1230+P1230</f>
        <v>0.6549935</v>
      </c>
    </row>
    <row r="1231" customFormat="false" ht="15" hidden="false" customHeight="false" outlineLevel="0" collapsed="false">
      <c r="A1231" s="42" t="s">
        <v>45</v>
      </c>
      <c r="B1231" s="42" t="n">
        <v>-10</v>
      </c>
      <c r="C1231" s="42" t="n">
        <v>30</v>
      </c>
      <c r="D1231" s="42" t="n">
        <v>74290945</v>
      </c>
      <c r="E1231" s="43" t="n">
        <v>0.774460986449649</v>
      </c>
      <c r="F1231" s="43" t="n">
        <v>0.811266997797621</v>
      </c>
      <c r="G1231" s="43" t="n">
        <v>0.814329088546574</v>
      </c>
      <c r="H1231" s="43" t="n">
        <v>0.836388940007719</v>
      </c>
      <c r="I1231" s="42" t="n">
        <v>1</v>
      </c>
      <c r="J1231" s="42" t="n">
        <v>1</v>
      </c>
      <c r="K1231" s="44" t="str">
        <f aca="false">IF(AND(I1231=1,J1231=1),"两者都跟住",IF(AND(I1231=0,J1231=1),"仅 PC-TBD 跟住",IF(AND(I1231=1,J1231=0),"仅 VIT-LPS 跟住","都没跟住")))</f>
        <v>两者都跟住</v>
      </c>
      <c r="L1231" s="45" t="n">
        <f aca="false">F1231-G1231</f>
        <v>-0.00306209074895303</v>
      </c>
      <c r="M1231" s="46" t="n">
        <v>0.1854255</v>
      </c>
      <c r="N1231" s="46" t="n">
        <v>0.1247159</v>
      </c>
      <c r="O1231" s="46" t="n">
        <v>0.2376879</v>
      </c>
      <c r="P1231" s="46" t="n">
        <v>0.4661517</v>
      </c>
      <c r="Q1231" s="46" t="n">
        <v>1.6426903</v>
      </c>
      <c r="R1231" s="46" t="n">
        <v>1.6532387</v>
      </c>
      <c r="S1231" s="47" t="n">
        <f aca="false">M1231+N1231+O1231</f>
        <v>0.5478293</v>
      </c>
      <c r="T1231" s="47" t="n">
        <f aca="false">M1231+P1231</f>
        <v>0.6515772</v>
      </c>
    </row>
    <row r="1232" customFormat="false" ht="15" hidden="false" customHeight="false" outlineLevel="0" collapsed="false">
      <c r="A1232" s="42" t="s">
        <v>45</v>
      </c>
      <c r="B1232" s="42" t="n">
        <v>-10</v>
      </c>
      <c r="C1232" s="42" t="n">
        <v>31</v>
      </c>
      <c r="D1232" s="42" t="n">
        <v>74290946</v>
      </c>
      <c r="E1232" s="43" t="n">
        <v>0.74568467770019</v>
      </c>
      <c r="F1232" s="43" t="n">
        <v>0.778025083111867</v>
      </c>
      <c r="G1232" s="43" t="n">
        <v>0.721553108625371</v>
      </c>
      <c r="H1232" s="43" t="n">
        <v>0.728730553645895</v>
      </c>
      <c r="I1232" s="42" t="n">
        <v>1</v>
      </c>
      <c r="J1232" s="42" t="n">
        <v>1</v>
      </c>
      <c r="K1232" s="44" t="str">
        <f aca="false">IF(AND(I1232=1,J1232=1),"两者都跟住",IF(AND(I1232=0,J1232=1),"仅 PC-TBD 跟住",IF(AND(I1232=1,J1232=0),"仅 VIT-LPS 跟住","都没跟住")))</f>
        <v>两者都跟住</v>
      </c>
      <c r="L1232" s="45" t="n">
        <f aca="false">F1232-G1232</f>
        <v>0.056471974486496</v>
      </c>
      <c r="M1232" s="46" t="n">
        <v>0.2655098</v>
      </c>
      <c r="N1232" s="46" t="n">
        <v>0.1303756</v>
      </c>
      <c r="O1232" s="46" t="n">
        <v>0.3181905</v>
      </c>
      <c r="P1232" s="46" t="n">
        <v>0.7590484</v>
      </c>
      <c r="Q1232" s="46" t="n">
        <v>2.0475669</v>
      </c>
      <c r="R1232" s="46" t="n">
        <v>2.3416508</v>
      </c>
      <c r="S1232" s="47" t="n">
        <f aca="false">M1232+N1232+O1232</f>
        <v>0.7140759</v>
      </c>
      <c r="T1232" s="47" t="n">
        <f aca="false">M1232+P1232</f>
        <v>1.0245582</v>
      </c>
    </row>
    <row r="1233" customFormat="false" ht="15" hidden="false" customHeight="false" outlineLevel="0" collapsed="false">
      <c r="A1233" s="42" t="s">
        <v>45</v>
      </c>
      <c r="B1233" s="42" t="n">
        <v>-10</v>
      </c>
      <c r="C1233" s="42" t="n">
        <v>32</v>
      </c>
      <c r="D1233" s="42" t="n">
        <v>74290947</v>
      </c>
      <c r="E1233" s="43" t="n">
        <v>0.778685527159256</v>
      </c>
      <c r="F1233" s="43" t="n">
        <v>0.813112333961094</v>
      </c>
      <c r="G1233" s="43" t="n">
        <v>0.822610059510917</v>
      </c>
      <c r="H1233" s="43" t="n">
        <v>0.826758599584056</v>
      </c>
      <c r="I1233" s="42" t="n">
        <v>1</v>
      </c>
      <c r="J1233" s="42" t="n">
        <v>1</v>
      </c>
      <c r="K1233" s="44" t="str">
        <f aca="false">IF(AND(I1233=1,J1233=1),"两者都跟住",IF(AND(I1233=0,J1233=1),"仅 PC-TBD 跟住",IF(AND(I1233=1,J1233=0),"仅 VIT-LPS 跟住","都没跟住")))</f>
        <v>两者都跟住</v>
      </c>
      <c r="L1233" s="45" t="n">
        <f aca="false">F1233-G1233</f>
        <v>-0.00949772554982309</v>
      </c>
      <c r="M1233" s="46" t="n">
        <v>0.2689092</v>
      </c>
      <c r="N1233" s="46" t="n">
        <v>0.1412889</v>
      </c>
      <c r="O1233" s="46" t="n">
        <v>0.3097382</v>
      </c>
      <c r="P1233" s="46" t="n">
        <v>0.700816</v>
      </c>
      <c r="Q1233" s="46" t="n">
        <v>1.9797528</v>
      </c>
      <c r="R1233" s="46" t="n">
        <v>2.0031859</v>
      </c>
      <c r="S1233" s="47" t="n">
        <f aca="false">M1233+N1233+O1233</f>
        <v>0.7199363</v>
      </c>
      <c r="T1233" s="47" t="n">
        <f aca="false">M1233+P1233</f>
        <v>0.9697252</v>
      </c>
    </row>
    <row r="1234" customFormat="false" ht="15" hidden="false" customHeight="false" outlineLevel="0" collapsed="false">
      <c r="A1234" s="42" t="s">
        <v>45</v>
      </c>
      <c r="B1234" s="42" t="n">
        <v>-10</v>
      </c>
      <c r="C1234" s="42" t="n">
        <v>33</v>
      </c>
      <c r="D1234" s="42" t="n">
        <v>74290948</v>
      </c>
      <c r="E1234" s="43" t="n">
        <v>0.773141067890362</v>
      </c>
      <c r="F1234" s="43" t="n">
        <v>0.810090392509548</v>
      </c>
      <c r="G1234" s="43" t="n">
        <v>0.811558995734819</v>
      </c>
      <c r="H1234" s="43" t="n">
        <v>0.828551649893366</v>
      </c>
      <c r="I1234" s="42" t="n">
        <v>1</v>
      </c>
      <c r="J1234" s="42" t="n">
        <v>1</v>
      </c>
      <c r="K1234" s="44" t="str">
        <f aca="false">IF(AND(I1234=1,J1234=1),"两者都跟住",IF(AND(I1234=0,J1234=1),"仅 PC-TBD 跟住",IF(AND(I1234=1,J1234=0),"仅 VIT-LPS 跟住","都没跟住")))</f>
        <v>两者都跟住</v>
      </c>
      <c r="L1234" s="45" t="n">
        <f aca="false">F1234-G1234</f>
        <v>-0.00146860322527109</v>
      </c>
      <c r="M1234" s="46" t="n">
        <v>0.2544732</v>
      </c>
      <c r="N1234" s="46" t="n">
        <v>0.0985676</v>
      </c>
      <c r="O1234" s="46" t="n">
        <v>0.2564331</v>
      </c>
      <c r="P1234" s="46" t="n">
        <v>0.7678904</v>
      </c>
      <c r="Q1234" s="46" t="n">
        <v>2.0911063</v>
      </c>
      <c r="R1234" s="46" t="n">
        <v>2.3857777</v>
      </c>
      <c r="S1234" s="47" t="n">
        <f aca="false">M1234+N1234+O1234</f>
        <v>0.6094739</v>
      </c>
      <c r="T1234" s="47" t="n">
        <f aca="false">M1234+P1234</f>
        <v>1.0223636</v>
      </c>
    </row>
    <row r="1235" customFormat="false" ht="15" hidden="false" customHeight="false" outlineLevel="0" collapsed="false">
      <c r="A1235" s="42" t="s">
        <v>45</v>
      </c>
      <c r="B1235" s="42" t="n">
        <v>-10</v>
      </c>
      <c r="C1235" s="42" t="n">
        <v>34</v>
      </c>
      <c r="D1235" s="42" t="n">
        <v>74290949</v>
      </c>
      <c r="E1235" s="43" t="n">
        <v>0.728170424830201</v>
      </c>
      <c r="F1235" s="43" t="n">
        <v>0.775506399710058</v>
      </c>
      <c r="G1235" s="43" t="n">
        <v>0.776902721607593</v>
      </c>
      <c r="H1235" s="43" t="n">
        <v>0.803032213064338</v>
      </c>
      <c r="I1235" s="42" t="n">
        <v>1</v>
      </c>
      <c r="J1235" s="42" t="n">
        <v>1</v>
      </c>
      <c r="K1235" s="44" t="str">
        <f aca="false">IF(AND(I1235=1,J1235=1),"两者都跟住",IF(AND(I1235=0,J1235=1),"仅 PC-TBD 跟住",IF(AND(I1235=1,J1235=0),"仅 VIT-LPS 跟住","都没跟住")))</f>
        <v>两者都跟住</v>
      </c>
      <c r="L1235" s="45" t="n">
        <f aca="false">F1235-G1235</f>
        <v>-0.00139632189753502</v>
      </c>
      <c r="M1235" s="46" t="n">
        <v>0.2772956</v>
      </c>
      <c r="N1235" s="46" t="n">
        <v>0.1527355</v>
      </c>
      <c r="O1235" s="46" t="n">
        <v>0.3213566</v>
      </c>
      <c r="P1235" s="46" t="n">
        <v>0.7451308</v>
      </c>
      <c r="Q1235" s="46" t="n">
        <v>1.9282138</v>
      </c>
      <c r="R1235" s="46" t="n">
        <v>2.5533146</v>
      </c>
      <c r="S1235" s="47" t="n">
        <f aca="false">M1235+N1235+O1235</f>
        <v>0.7513877</v>
      </c>
      <c r="T1235" s="47" t="n">
        <f aca="false">M1235+P1235</f>
        <v>1.0224264</v>
      </c>
    </row>
    <row r="1236" customFormat="false" ht="15" hidden="false" customHeight="false" outlineLevel="0" collapsed="false">
      <c r="A1236" s="42" t="s">
        <v>45</v>
      </c>
      <c r="B1236" s="42" t="n">
        <v>-10</v>
      </c>
      <c r="C1236" s="42" t="n">
        <v>35</v>
      </c>
      <c r="D1236" s="42" t="n">
        <v>74290950</v>
      </c>
      <c r="E1236" s="43" t="n">
        <v>0.779498029508516</v>
      </c>
      <c r="F1236" s="43" t="n">
        <v>0.813755729201306</v>
      </c>
      <c r="G1236" s="43" t="n">
        <v>0.813928515551984</v>
      </c>
      <c r="H1236" s="43" t="n">
        <v>0.83854308650109</v>
      </c>
      <c r="I1236" s="42" t="n">
        <v>1</v>
      </c>
      <c r="J1236" s="42" t="n">
        <v>1</v>
      </c>
      <c r="K1236" s="44" t="str">
        <f aca="false">IF(AND(I1236=1,J1236=1),"两者都跟住",IF(AND(I1236=0,J1236=1),"仅 PC-TBD 跟住",IF(AND(I1236=1,J1236=0),"仅 VIT-LPS 跟住","都没跟住")))</f>
        <v>两者都跟住</v>
      </c>
      <c r="L1236" s="45" t="n">
        <f aca="false">F1236-G1236</f>
        <v>-0.000172786350677967</v>
      </c>
      <c r="M1236" s="46" t="n">
        <v>0.2694846</v>
      </c>
      <c r="N1236" s="46" t="n">
        <v>0.1549618</v>
      </c>
      <c r="O1236" s="46" t="n">
        <v>0.3468219</v>
      </c>
      <c r="P1236" s="46" t="n">
        <v>0.6839348</v>
      </c>
      <c r="Q1236" s="46" t="n">
        <v>2.114532</v>
      </c>
      <c r="R1236" s="46" t="n">
        <v>1.9614097</v>
      </c>
      <c r="S1236" s="47" t="n">
        <f aca="false">M1236+N1236+O1236</f>
        <v>0.7712683</v>
      </c>
      <c r="T1236" s="47" t="n">
        <f aca="false">M1236+P1236</f>
        <v>0.9534194</v>
      </c>
    </row>
    <row r="1237" customFormat="false" ht="15" hidden="false" customHeight="false" outlineLevel="0" collapsed="false">
      <c r="A1237" s="42" t="s">
        <v>45</v>
      </c>
      <c r="B1237" s="42" t="n">
        <v>-10</v>
      </c>
      <c r="C1237" s="42" t="n">
        <v>36</v>
      </c>
      <c r="D1237" s="42" t="n">
        <v>74290951</v>
      </c>
      <c r="E1237" s="43" t="n">
        <v>0.701571726021707</v>
      </c>
      <c r="F1237" s="43" t="n">
        <v>0.77404690708101</v>
      </c>
      <c r="G1237" s="43" t="n">
        <v>0.813110076550188</v>
      </c>
      <c r="H1237" s="43" t="n">
        <v>0.838844078331348</v>
      </c>
      <c r="I1237" s="42" t="n">
        <v>1</v>
      </c>
      <c r="J1237" s="42" t="n">
        <v>1</v>
      </c>
      <c r="K1237" s="44" t="str">
        <f aca="false">IF(AND(I1237=1,J1237=1),"两者都跟住",IF(AND(I1237=0,J1237=1),"仅 PC-TBD 跟住",IF(AND(I1237=1,J1237=0),"仅 VIT-LPS 跟住","都没跟住")))</f>
        <v>两者都跟住</v>
      </c>
      <c r="L1237" s="45" t="n">
        <f aca="false">F1237-G1237</f>
        <v>-0.039063169469178</v>
      </c>
      <c r="M1237" s="46" t="n">
        <v>0.2689105</v>
      </c>
      <c r="N1237" s="46" t="n">
        <v>0.1455544</v>
      </c>
      <c r="O1237" s="46" t="n">
        <v>0.346457</v>
      </c>
      <c r="P1237" s="46" t="n">
        <v>0.746886</v>
      </c>
      <c r="Q1237" s="46" t="n">
        <v>2.21703</v>
      </c>
      <c r="R1237" s="46" t="n">
        <v>2.3421677</v>
      </c>
      <c r="S1237" s="47" t="n">
        <f aca="false">M1237+N1237+O1237</f>
        <v>0.7609219</v>
      </c>
      <c r="T1237" s="47" t="n">
        <f aca="false">M1237+P1237</f>
        <v>1.0157965</v>
      </c>
    </row>
    <row r="1238" customFormat="false" ht="15" hidden="false" customHeight="false" outlineLevel="0" collapsed="false">
      <c r="A1238" s="42" t="s">
        <v>45</v>
      </c>
      <c r="B1238" s="42" t="n">
        <v>-10</v>
      </c>
      <c r="C1238" s="42" t="n">
        <v>37</v>
      </c>
      <c r="D1238" s="42" t="n">
        <v>74290952</v>
      </c>
      <c r="E1238" s="43" t="n">
        <v>0.737711857521638</v>
      </c>
      <c r="F1238" s="43" t="n">
        <v>0.776333698929116</v>
      </c>
      <c r="G1238" s="43" t="n">
        <v>0.770512900990276</v>
      </c>
      <c r="H1238" s="43" t="n">
        <v>0.793121109621955</v>
      </c>
      <c r="I1238" s="42" t="n">
        <v>1</v>
      </c>
      <c r="J1238" s="42" t="n">
        <v>1</v>
      </c>
      <c r="K1238" s="44" t="str">
        <f aca="false">IF(AND(I1238=1,J1238=1),"两者都跟住",IF(AND(I1238=0,J1238=1),"仅 PC-TBD 跟住",IF(AND(I1238=1,J1238=0),"仅 VIT-LPS 跟住","都没跟住")))</f>
        <v>两者都跟住</v>
      </c>
      <c r="L1238" s="45" t="n">
        <f aca="false">F1238-G1238</f>
        <v>0.00582079793883994</v>
      </c>
      <c r="M1238" s="46" t="n">
        <v>0.1438678</v>
      </c>
      <c r="N1238" s="46" t="n">
        <v>0.0887092</v>
      </c>
      <c r="O1238" s="46" t="n">
        <v>0.1160315</v>
      </c>
      <c r="P1238" s="46" t="n">
        <v>0.4463809</v>
      </c>
      <c r="Q1238" s="46" t="n">
        <v>1.2882337</v>
      </c>
      <c r="R1238" s="46" t="n">
        <v>1.3209682</v>
      </c>
      <c r="S1238" s="47" t="n">
        <f aca="false">M1238+N1238+O1238</f>
        <v>0.3486085</v>
      </c>
      <c r="T1238" s="47" t="n">
        <f aca="false">M1238+P1238</f>
        <v>0.5902487</v>
      </c>
    </row>
    <row r="1239" customFormat="false" ht="15" hidden="false" customHeight="false" outlineLevel="0" collapsed="false">
      <c r="A1239" s="42" t="s">
        <v>45</v>
      </c>
      <c r="B1239" s="42" t="n">
        <v>-10</v>
      </c>
      <c r="C1239" s="42" t="n">
        <v>38</v>
      </c>
      <c r="D1239" s="42" t="n">
        <v>74290953</v>
      </c>
      <c r="E1239" s="43" t="n">
        <v>0.67130037967915</v>
      </c>
      <c r="F1239" s="43" t="n">
        <v>0.773672961309487</v>
      </c>
      <c r="G1239" s="43" t="n">
        <v>0.782356722351801</v>
      </c>
      <c r="H1239" s="43" t="n">
        <v>0.795587096707968</v>
      </c>
      <c r="I1239" s="42" t="n">
        <v>1</v>
      </c>
      <c r="J1239" s="42" t="n">
        <v>1</v>
      </c>
      <c r="K1239" s="44" t="str">
        <f aca="false">IF(AND(I1239=1,J1239=1),"两者都跟住",IF(AND(I1239=0,J1239=1),"仅 PC-TBD 跟住",IF(AND(I1239=1,J1239=0),"仅 VIT-LPS 跟住","都没跟住")))</f>
        <v>两者都跟住</v>
      </c>
      <c r="L1239" s="45" t="n">
        <f aca="false">F1239-G1239</f>
        <v>-0.00868376104231394</v>
      </c>
      <c r="M1239" s="46" t="n">
        <v>0.1485514</v>
      </c>
      <c r="N1239" s="46" t="n">
        <v>0.0662852</v>
      </c>
      <c r="O1239" s="46" t="n">
        <v>0.1311041</v>
      </c>
      <c r="P1239" s="46" t="n">
        <v>0.3956678</v>
      </c>
      <c r="Q1239" s="46" t="n">
        <v>1.3680612</v>
      </c>
      <c r="R1239" s="46" t="n">
        <v>1.3102124</v>
      </c>
      <c r="S1239" s="47" t="n">
        <f aca="false">M1239+N1239+O1239</f>
        <v>0.3459407</v>
      </c>
      <c r="T1239" s="47" t="n">
        <f aca="false">M1239+P1239</f>
        <v>0.5442192</v>
      </c>
    </row>
    <row r="1240" customFormat="false" ht="15" hidden="false" customHeight="false" outlineLevel="0" collapsed="false">
      <c r="A1240" s="42" t="s">
        <v>45</v>
      </c>
      <c r="B1240" s="42" t="n">
        <v>-10</v>
      </c>
      <c r="C1240" s="42" t="n">
        <v>39</v>
      </c>
      <c r="D1240" s="42" t="n">
        <v>74290954</v>
      </c>
      <c r="E1240" s="43" t="n">
        <v>0.733009455071105</v>
      </c>
      <c r="F1240" s="43" t="n">
        <v>0.805013489793953</v>
      </c>
      <c r="G1240" s="43" t="n">
        <v>0.82457487327858</v>
      </c>
      <c r="H1240" s="43" t="n">
        <v>0.827221925328686</v>
      </c>
      <c r="I1240" s="42" t="n">
        <v>1</v>
      </c>
      <c r="J1240" s="42" t="n">
        <v>1</v>
      </c>
      <c r="K1240" s="44" t="str">
        <f aca="false">IF(AND(I1240=1,J1240=1),"两者都跟住",IF(AND(I1240=0,J1240=1),"仅 PC-TBD 跟住",IF(AND(I1240=1,J1240=0),"仅 VIT-LPS 跟住","都没跟住")))</f>
        <v>两者都跟住</v>
      </c>
      <c r="L1240" s="45" t="n">
        <f aca="false">F1240-G1240</f>
        <v>-0.019561383484627</v>
      </c>
      <c r="M1240" s="46" t="n">
        <v>0.1539093</v>
      </c>
      <c r="N1240" s="46" t="n">
        <v>0.0962719</v>
      </c>
      <c r="O1240" s="46" t="n">
        <v>0.1362871</v>
      </c>
      <c r="P1240" s="46" t="n">
        <v>0.4296114</v>
      </c>
      <c r="Q1240" s="46" t="n">
        <v>1.6458719</v>
      </c>
      <c r="R1240" s="46" t="n">
        <v>1.7031949</v>
      </c>
      <c r="S1240" s="47" t="n">
        <f aca="false">M1240+N1240+O1240</f>
        <v>0.3864683</v>
      </c>
      <c r="T1240" s="47" t="n">
        <f aca="false">M1240+P1240</f>
        <v>0.5835207</v>
      </c>
    </row>
    <row r="1241" customFormat="false" ht="15" hidden="false" customHeight="false" outlineLevel="0" collapsed="false">
      <c r="A1241" s="42" t="s">
        <v>45</v>
      </c>
      <c r="B1241" s="42" t="n">
        <v>-10</v>
      </c>
      <c r="C1241" s="42" t="n">
        <v>40</v>
      </c>
      <c r="D1241" s="42" t="n">
        <v>74290955</v>
      </c>
      <c r="E1241" s="43" t="n">
        <v>0.780057314949064</v>
      </c>
      <c r="F1241" s="43" t="n">
        <v>0.814288210230938</v>
      </c>
      <c r="G1241" s="43" t="n">
        <v>0.823609367259426</v>
      </c>
      <c r="H1241" s="43" t="n">
        <v>0.827792729257626</v>
      </c>
      <c r="I1241" s="42" t="n">
        <v>1</v>
      </c>
      <c r="J1241" s="42" t="n">
        <v>1</v>
      </c>
      <c r="K1241" s="44" t="str">
        <f aca="false">IF(AND(I1241=1,J1241=1),"两者都跟住",IF(AND(I1241=0,J1241=1),"仅 PC-TBD 跟住",IF(AND(I1241=1,J1241=0),"仅 VIT-LPS 跟住","都没跟住")))</f>
        <v>两者都跟住</v>
      </c>
      <c r="L1241" s="45" t="n">
        <f aca="false">F1241-G1241</f>
        <v>-0.00932115702848801</v>
      </c>
      <c r="M1241" s="46" t="n">
        <v>0.1530268</v>
      </c>
      <c r="N1241" s="46" t="n">
        <v>0.1091445</v>
      </c>
      <c r="O1241" s="46" t="n">
        <v>0.1604916</v>
      </c>
      <c r="P1241" s="46" t="n">
        <v>0.4183373</v>
      </c>
      <c r="Q1241" s="46" t="n">
        <v>1.5803713</v>
      </c>
      <c r="R1241" s="46" t="n">
        <v>1.4815871</v>
      </c>
      <c r="S1241" s="47" t="n">
        <f aca="false">M1241+N1241+O1241</f>
        <v>0.4226629</v>
      </c>
      <c r="T1241" s="47" t="n">
        <f aca="false">M1241+P1241</f>
        <v>0.5713641</v>
      </c>
    </row>
    <row r="1242" customFormat="false" ht="15" hidden="false" customHeight="false" outlineLevel="0" collapsed="false">
      <c r="A1242" s="42" t="s">
        <v>45</v>
      </c>
      <c r="B1242" s="42" t="n">
        <v>-10</v>
      </c>
      <c r="C1242" s="42" t="n">
        <v>41</v>
      </c>
      <c r="D1242" s="42" t="n">
        <v>74290956</v>
      </c>
      <c r="E1242" s="43" t="n">
        <v>0.723323641229126</v>
      </c>
      <c r="F1242" s="43" t="n">
        <v>0.764017630859685</v>
      </c>
      <c r="G1242" s="43" t="n">
        <v>0.77514824805407</v>
      </c>
      <c r="H1242" s="43" t="n">
        <v>0.803842566264957</v>
      </c>
      <c r="I1242" s="42" t="n">
        <v>1</v>
      </c>
      <c r="J1242" s="42" t="n">
        <v>1</v>
      </c>
      <c r="K1242" s="44" t="str">
        <f aca="false">IF(AND(I1242=1,J1242=1),"两者都跟住",IF(AND(I1242=0,J1242=1),"仅 PC-TBD 跟住",IF(AND(I1242=1,J1242=0),"仅 VIT-LPS 跟住","都没跟住")))</f>
        <v>两者都跟住</v>
      </c>
      <c r="L1242" s="45" t="n">
        <f aca="false">F1242-G1242</f>
        <v>-0.011130617194385</v>
      </c>
      <c r="M1242" s="46" t="n">
        <v>0.2406178</v>
      </c>
      <c r="N1242" s="46" t="n">
        <v>0.1299131</v>
      </c>
      <c r="O1242" s="46" t="n">
        <v>0.1945199</v>
      </c>
      <c r="P1242" s="46" t="n">
        <v>0.7310199</v>
      </c>
      <c r="Q1242" s="46" t="n">
        <v>2.1300916</v>
      </c>
      <c r="R1242" s="46" t="n">
        <v>2.1058701</v>
      </c>
      <c r="S1242" s="47" t="n">
        <f aca="false">M1242+N1242+O1242</f>
        <v>0.5650508</v>
      </c>
      <c r="T1242" s="47" t="n">
        <f aca="false">M1242+P1242</f>
        <v>0.9716377</v>
      </c>
    </row>
    <row r="1243" customFormat="false" ht="15" hidden="false" customHeight="false" outlineLevel="0" collapsed="false">
      <c r="A1243" s="42" t="s">
        <v>45</v>
      </c>
      <c r="B1243" s="42" t="n">
        <v>-10</v>
      </c>
      <c r="C1243" s="42" t="n">
        <v>42</v>
      </c>
      <c r="D1243" s="42" t="n">
        <v>74290957</v>
      </c>
      <c r="E1243" s="43" t="n">
        <v>0.775879401405998</v>
      </c>
      <c r="F1243" s="43" t="n">
        <v>0.807727297756653</v>
      </c>
      <c r="G1243" s="43" t="n">
        <v>0.793503732567558</v>
      </c>
      <c r="H1243" s="43" t="n">
        <v>0.816350973410881</v>
      </c>
      <c r="I1243" s="42" t="n">
        <v>1</v>
      </c>
      <c r="J1243" s="42" t="n">
        <v>1</v>
      </c>
      <c r="K1243" s="44" t="str">
        <f aca="false">IF(AND(I1243=1,J1243=1),"两者都跟住",IF(AND(I1243=0,J1243=1),"仅 PC-TBD 跟住",IF(AND(I1243=1,J1243=0),"仅 VIT-LPS 跟住","都没跟住")))</f>
        <v>两者都跟住</v>
      </c>
      <c r="L1243" s="45" t="n">
        <f aca="false">F1243-G1243</f>
        <v>0.014223565189095</v>
      </c>
      <c r="M1243" s="46" t="n">
        <v>0.2158781</v>
      </c>
      <c r="N1243" s="46" t="n">
        <v>0.1359362</v>
      </c>
      <c r="O1243" s="46" t="n">
        <v>0.2076822</v>
      </c>
      <c r="P1243" s="46" t="n">
        <v>0.7460283</v>
      </c>
      <c r="Q1243" s="46" t="n">
        <v>2.2674552</v>
      </c>
      <c r="R1243" s="46" t="n">
        <v>2.3951742</v>
      </c>
      <c r="S1243" s="47" t="n">
        <f aca="false">M1243+N1243+O1243</f>
        <v>0.5594965</v>
      </c>
      <c r="T1243" s="47" t="n">
        <f aca="false">M1243+P1243</f>
        <v>0.9619064</v>
      </c>
    </row>
    <row r="1244" customFormat="false" ht="15" hidden="false" customHeight="false" outlineLevel="0" collapsed="false">
      <c r="A1244" s="42" t="s">
        <v>45</v>
      </c>
      <c r="B1244" s="42" t="n">
        <v>-10</v>
      </c>
      <c r="C1244" s="42" t="n">
        <v>43</v>
      </c>
      <c r="D1244" s="42" t="n">
        <v>74290958</v>
      </c>
      <c r="E1244" s="43" t="n">
        <v>0.775298579777437</v>
      </c>
      <c r="F1244" s="43" t="n">
        <v>0.805901949971039</v>
      </c>
      <c r="G1244" s="43" t="n">
        <v>0.817472251733121</v>
      </c>
      <c r="H1244" s="43" t="n">
        <v>0.826808318482226</v>
      </c>
      <c r="I1244" s="42" t="n">
        <v>1</v>
      </c>
      <c r="J1244" s="42" t="n">
        <v>1</v>
      </c>
      <c r="K1244" s="44" t="str">
        <f aca="false">IF(AND(I1244=1,J1244=1),"两者都跟住",IF(AND(I1244=0,J1244=1),"仅 PC-TBD 跟住",IF(AND(I1244=1,J1244=0),"仅 VIT-LPS 跟住","都没跟住")))</f>
        <v>两者都跟住</v>
      </c>
      <c r="L1244" s="45" t="n">
        <f aca="false">F1244-G1244</f>
        <v>-0.011570301762082</v>
      </c>
      <c r="M1244" s="46" t="n">
        <v>0.2308854</v>
      </c>
      <c r="N1244" s="46" t="n">
        <v>0.1546587</v>
      </c>
      <c r="O1244" s="46" t="n">
        <v>0.205236</v>
      </c>
      <c r="P1244" s="46" t="n">
        <v>0.6828956</v>
      </c>
      <c r="Q1244" s="46" t="n">
        <v>2.2853821</v>
      </c>
      <c r="R1244" s="46" t="n">
        <v>2.0683522</v>
      </c>
      <c r="S1244" s="47" t="n">
        <f aca="false">M1244+N1244+O1244</f>
        <v>0.5907801</v>
      </c>
      <c r="T1244" s="47" t="n">
        <f aca="false">M1244+P1244</f>
        <v>0.913781</v>
      </c>
    </row>
    <row r="1245" customFormat="false" ht="15" hidden="false" customHeight="false" outlineLevel="0" collapsed="false">
      <c r="A1245" s="42" t="s">
        <v>45</v>
      </c>
      <c r="B1245" s="42" t="n">
        <v>-10</v>
      </c>
      <c r="C1245" s="42" t="n">
        <v>44</v>
      </c>
      <c r="D1245" s="42" t="n">
        <v>74290959</v>
      </c>
      <c r="E1245" s="43" t="n">
        <v>0.782193142618633</v>
      </c>
      <c r="F1245" s="43" t="n">
        <v>0.809715221048455</v>
      </c>
      <c r="G1245" s="43" t="n">
        <v>0.816722973267296</v>
      </c>
      <c r="H1245" s="43" t="n">
        <v>0.826043612905948</v>
      </c>
      <c r="I1245" s="42" t="n">
        <v>1</v>
      </c>
      <c r="J1245" s="42" t="n">
        <v>1</v>
      </c>
      <c r="K1245" s="44" t="str">
        <f aca="false">IF(AND(I1245=1,J1245=1),"两者都跟住",IF(AND(I1245=0,J1245=1),"仅 PC-TBD 跟住",IF(AND(I1245=1,J1245=0),"仅 VIT-LPS 跟住","都没跟住")))</f>
        <v>两者都跟住</v>
      </c>
      <c r="L1245" s="45" t="n">
        <f aca="false">F1245-G1245</f>
        <v>-0.00700775221884109</v>
      </c>
      <c r="M1245" s="46" t="n">
        <v>0.2404228</v>
      </c>
      <c r="N1245" s="46" t="n">
        <v>0.1327558</v>
      </c>
      <c r="O1245" s="46" t="n">
        <v>0.1980043</v>
      </c>
      <c r="P1245" s="46" t="n">
        <v>0.7020787</v>
      </c>
      <c r="Q1245" s="46" t="n">
        <v>2.265921</v>
      </c>
      <c r="R1245" s="46" t="n">
        <v>2.1712186</v>
      </c>
      <c r="S1245" s="47" t="n">
        <f aca="false">M1245+N1245+O1245</f>
        <v>0.5711829</v>
      </c>
      <c r="T1245" s="47" t="n">
        <f aca="false">M1245+P1245</f>
        <v>0.9425015</v>
      </c>
    </row>
    <row r="1246" customFormat="false" ht="15" hidden="false" customHeight="false" outlineLevel="0" collapsed="false">
      <c r="A1246" s="42" t="s">
        <v>45</v>
      </c>
      <c r="B1246" s="42" t="n">
        <v>-10</v>
      </c>
      <c r="C1246" s="42" t="n">
        <v>45</v>
      </c>
      <c r="D1246" s="42" t="n">
        <v>74290960</v>
      </c>
      <c r="E1246" s="43" t="n">
        <v>0.779036580958025</v>
      </c>
      <c r="F1246" s="43" t="n">
        <v>0.808627259314619</v>
      </c>
      <c r="G1246" s="43" t="n">
        <v>0.826048797700249</v>
      </c>
      <c r="H1246" s="43" t="n">
        <v>0.83714308592378</v>
      </c>
      <c r="I1246" s="42" t="n">
        <v>1</v>
      </c>
      <c r="J1246" s="42" t="n">
        <v>1</v>
      </c>
      <c r="K1246" s="44" t="str">
        <f aca="false">IF(AND(I1246=1,J1246=1),"两者都跟住",IF(AND(I1246=0,J1246=1),"仅 PC-TBD 跟住",IF(AND(I1246=1,J1246=0),"仅 VIT-LPS 跟住","都没跟住")))</f>
        <v>两者都跟住</v>
      </c>
      <c r="L1246" s="45" t="n">
        <f aca="false">F1246-G1246</f>
        <v>-0.01742153838563</v>
      </c>
      <c r="M1246" s="46" t="n">
        <v>0.2446425</v>
      </c>
      <c r="N1246" s="46" t="n">
        <v>0.1435384</v>
      </c>
      <c r="O1246" s="46" t="n">
        <v>0.4234899</v>
      </c>
      <c r="P1246" s="46" t="n">
        <v>0.7332924</v>
      </c>
      <c r="Q1246" s="46" t="n">
        <v>1.8791077</v>
      </c>
      <c r="R1246" s="46" t="n">
        <v>2.3945201</v>
      </c>
      <c r="S1246" s="47" t="n">
        <f aca="false">M1246+N1246+O1246</f>
        <v>0.8116708</v>
      </c>
      <c r="T1246" s="47" t="n">
        <f aca="false">M1246+P1246</f>
        <v>0.9779349</v>
      </c>
    </row>
    <row r="1247" customFormat="false" ht="15" hidden="false" customHeight="false" outlineLevel="0" collapsed="false">
      <c r="A1247" s="42" t="s">
        <v>45</v>
      </c>
      <c r="B1247" s="42" t="n">
        <v>-10</v>
      </c>
      <c r="C1247" s="42" t="n">
        <v>46</v>
      </c>
      <c r="D1247" s="42" t="n">
        <v>74290961</v>
      </c>
      <c r="E1247" s="43" t="n">
        <v>0.743703967953882</v>
      </c>
      <c r="F1247" s="43" t="n">
        <v>0.771425482387201</v>
      </c>
      <c r="G1247" s="43" t="n">
        <v>0.766339497154294</v>
      </c>
      <c r="H1247" s="43" t="n">
        <v>0.788256268045855</v>
      </c>
      <c r="I1247" s="42" t="n">
        <v>1</v>
      </c>
      <c r="J1247" s="42" t="n">
        <v>1</v>
      </c>
      <c r="K1247" s="44" t="str">
        <f aca="false">IF(AND(I1247=1,J1247=1),"两者都跟住",IF(AND(I1247=0,J1247=1),"仅 PC-TBD 跟住",IF(AND(I1247=1,J1247=0),"仅 VIT-LPS 跟住","都没跟住")))</f>
        <v>两者都跟住</v>
      </c>
      <c r="L1247" s="45" t="n">
        <f aca="false">F1247-G1247</f>
        <v>0.00508598523290704</v>
      </c>
      <c r="M1247" s="46" t="n">
        <v>0.2517651</v>
      </c>
      <c r="N1247" s="46" t="n">
        <v>0.1298213</v>
      </c>
      <c r="O1247" s="46" t="n">
        <v>0.3988494</v>
      </c>
      <c r="P1247" s="46" t="n">
        <v>0.7124281</v>
      </c>
      <c r="Q1247" s="46" t="n">
        <v>2.0729459</v>
      </c>
      <c r="R1247" s="46" t="n">
        <v>2.0853288</v>
      </c>
      <c r="S1247" s="47" t="n">
        <f aca="false">M1247+N1247+O1247</f>
        <v>0.7804358</v>
      </c>
      <c r="T1247" s="47" t="n">
        <f aca="false">M1247+P1247</f>
        <v>0.9641932</v>
      </c>
    </row>
    <row r="1248" customFormat="false" ht="15" hidden="false" customHeight="false" outlineLevel="0" collapsed="false">
      <c r="A1248" s="42" t="s">
        <v>45</v>
      </c>
      <c r="B1248" s="42" t="n">
        <v>-10</v>
      </c>
      <c r="C1248" s="42" t="n">
        <v>47</v>
      </c>
      <c r="D1248" s="42" t="n">
        <v>74290962</v>
      </c>
      <c r="E1248" s="43" t="n">
        <v>0.766265101847981</v>
      </c>
      <c r="F1248" s="43" t="n">
        <v>0.808481900432399</v>
      </c>
      <c r="G1248" s="43" t="n">
        <v>0.826833303457125</v>
      </c>
      <c r="H1248" s="43" t="n">
        <v>0.829185040939864</v>
      </c>
      <c r="I1248" s="42" t="n">
        <v>1</v>
      </c>
      <c r="J1248" s="42" t="n">
        <v>1</v>
      </c>
      <c r="K1248" s="44" t="str">
        <f aca="false">IF(AND(I1248=1,J1248=1),"两者都跟住",IF(AND(I1248=0,J1248=1),"仅 PC-TBD 跟住",IF(AND(I1248=1,J1248=0),"仅 VIT-LPS 跟住","都没跟住")))</f>
        <v>两者都跟住</v>
      </c>
      <c r="L1248" s="45" t="n">
        <f aca="false">F1248-G1248</f>
        <v>-0.018351403024726</v>
      </c>
      <c r="M1248" s="46" t="n">
        <v>0.1431287</v>
      </c>
      <c r="N1248" s="46" t="n">
        <v>0.0995689</v>
      </c>
      <c r="O1248" s="46" t="n">
        <v>0.1140723</v>
      </c>
      <c r="P1248" s="46" t="n">
        <v>0.4161843</v>
      </c>
      <c r="Q1248" s="46" t="n">
        <v>1.406549</v>
      </c>
      <c r="R1248" s="46" t="n">
        <v>1.2325621</v>
      </c>
      <c r="S1248" s="47" t="n">
        <f aca="false">M1248+N1248+O1248</f>
        <v>0.3567699</v>
      </c>
      <c r="T1248" s="47" t="n">
        <f aca="false">M1248+P1248</f>
        <v>0.559313</v>
      </c>
    </row>
    <row r="1249" customFormat="false" ht="15" hidden="false" customHeight="false" outlineLevel="0" collapsed="false">
      <c r="A1249" s="42" t="s">
        <v>45</v>
      </c>
      <c r="B1249" s="42" t="n">
        <v>-10</v>
      </c>
      <c r="C1249" s="42" t="n">
        <v>48</v>
      </c>
      <c r="D1249" s="42" t="n">
        <v>74290963</v>
      </c>
      <c r="E1249" s="43" t="n">
        <v>0.734652385634608</v>
      </c>
      <c r="F1249" s="43" t="n">
        <v>0.778798031605137</v>
      </c>
      <c r="G1249" s="43" t="n">
        <v>0.818934673126478</v>
      </c>
      <c r="H1249" s="43" t="n">
        <v>0.820911446593589</v>
      </c>
      <c r="I1249" s="42" t="n">
        <v>1</v>
      </c>
      <c r="J1249" s="42" t="n">
        <v>1</v>
      </c>
      <c r="K1249" s="44" t="str">
        <f aca="false">IF(AND(I1249=1,J1249=1),"两者都跟住",IF(AND(I1249=0,J1249=1),"仅 PC-TBD 跟住",IF(AND(I1249=1,J1249=0),"仅 VIT-LPS 跟住","都没跟住")))</f>
        <v>两者都跟住</v>
      </c>
      <c r="L1249" s="45" t="n">
        <f aca="false">F1249-G1249</f>
        <v>-0.040136641521341</v>
      </c>
      <c r="M1249" s="46" t="n">
        <v>0.1502639</v>
      </c>
      <c r="N1249" s="46" t="n">
        <v>0.1052681</v>
      </c>
      <c r="O1249" s="46" t="n">
        <v>0.1224443</v>
      </c>
      <c r="P1249" s="46" t="n">
        <v>0.4211349</v>
      </c>
      <c r="Q1249" s="46" t="n">
        <v>1.3955197</v>
      </c>
      <c r="R1249" s="46" t="n">
        <v>1.4771082</v>
      </c>
      <c r="S1249" s="47" t="n">
        <f aca="false">M1249+N1249+O1249</f>
        <v>0.3779763</v>
      </c>
      <c r="T1249" s="47" t="n">
        <f aca="false">M1249+P1249</f>
        <v>0.5713988</v>
      </c>
    </row>
    <row r="1250" customFormat="false" ht="15" hidden="false" customHeight="false" outlineLevel="0" collapsed="false">
      <c r="A1250" s="42" t="s">
        <v>45</v>
      </c>
      <c r="B1250" s="42" t="n">
        <v>-10</v>
      </c>
      <c r="C1250" s="42" t="n">
        <v>49</v>
      </c>
      <c r="D1250" s="42" t="n">
        <v>74290964</v>
      </c>
      <c r="E1250" s="43" t="n">
        <v>0.747103066454705</v>
      </c>
      <c r="F1250" s="43" t="n">
        <v>0.777477870315744</v>
      </c>
      <c r="G1250" s="43" t="n">
        <v>0.79385526599455</v>
      </c>
      <c r="H1250" s="43" t="n">
        <v>0.807700046146122</v>
      </c>
      <c r="I1250" s="42" t="n">
        <v>1</v>
      </c>
      <c r="J1250" s="42" t="n">
        <v>1</v>
      </c>
      <c r="K1250" s="44" t="str">
        <f aca="false">IF(AND(I1250=1,J1250=1),"两者都跟住",IF(AND(I1250=0,J1250=1),"仅 PC-TBD 跟住",IF(AND(I1250=1,J1250=0),"仅 VIT-LPS 跟住","都没跟住")))</f>
        <v>两者都跟住</v>
      </c>
      <c r="L1250" s="45" t="n">
        <f aca="false">F1250-G1250</f>
        <v>-0.016377395678806</v>
      </c>
      <c r="M1250" s="46" t="n">
        <v>0.1271935</v>
      </c>
      <c r="N1250" s="46" t="n">
        <v>0.0981234</v>
      </c>
      <c r="O1250" s="46" t="n">
        <v>0.1191554</v>
      </c>
      <c r="P1250" s="46" t="n">
        <v>0.3905663</v>
      </c>
      <c r="Q1250" s="46" t="n">
        <v>1.4928508</v>
      </c>
      <c r="R1250" s="46" t="n">
        <v>1.5709341</v>
      </c>
      <c r="S1250" s="47" t="n">
        <f aca="false">M1250+N1250+O1250</f>
        <v>0.3444723</v>
      </c>
      <c r="T1250" s="47" t="n">
        <f aca="false">M1250+P1250</f>
        <v>0.5177598</v>
      </c>
    </row>
    <row r="1251" customFormat="false" ht="15" hidden="false" customHeight="false" outlineLevel="0" collapsed="false">
      <c r="A1251" s="42" t="s">
        <v>45</v>
      </c>
      <c r="B1251" s="42" t="n">
        <v>-10</v>
      </c>
      <c r="C1251" s="42" t="n">
        <v>50</v>
      </c>
      <c r="D1251" s="42" t="n">
        <v>74290965</v>
      </c>
      <c r="E1251" s="43" t="n">
        <v>0.781177263492967</v>
      </c>
      <c r="F1251" s="43" t="n">
        <v>0.803708133775671</v>
      </c>
      <c r="G1251" s="43" t="n">
        <v>0.819608990660196</v>
      </c>
      <c r="H1251" s="43" t="n">
        <v>0.82577919119401</v>
      </c>
      <c r="I1251" s="42" t="n">
        <v>1</v>
      </c>
      <c r="J1251" s="42" t="n">
        <v>1</v>
      </c>
      <c r="K1251" s="44" t="str">
        <f aca="false">IF(AND(I1251=1,J1251=1),"两者都跟住",IF(AND(I1251=0,J1251=1),"仅 PC-TBD 跟住",IF(AND(I1251=1,J1251=0),"仅 VIT-LPS 跟住","都没跟住")))</f>
        <v>两者都跟住</v>
      </c>
      <c r="L1251" s="45" t="n">
        <f aca="false">F1251-G1251</f>
        <v>-0.015900856884525</v>
      </c>
      <c r="M1251" s="46" t="n">
        <v>0.1409655</v>
      </c>
      <c r="N1251" s="46" t="n">
        <v>0.0924397</v>
      </c>
      <c r="O1251" s="46" t="n">
        <v>0.1627318</v>
      </c>
      <c r="P1251" s="46" t="n">
        <v>0.3229803</v>
      </c>
      <c r="Q1251" s="46" t="n">
        <v>1.2808198</v>
      </c>
      <c r="R1251" s="46" t="n">
        <v>1.4621243</v>
      </c>
      <c r="S1251" s="47" t="n">
        <f aca="false">M1251+N1251+O1251</f>
        <v>0.396137</v>
      </c>
      <c r="T1251" s="47" t="n">
        <f aca="false">M1251+P1251</f>
        <v>0.4639458</v>
      </c>
    </row>
    <row r="1252" customFormat="false" ht="15" hidden="false" customHeight="false" outlineLevel="0" collapsed="false">
      <c r="A1252" s="42" t="s">
        <v>45</v>
      </c>
      <c r="B1252" s="42" t="n">
        <v>-10</v>
      </c>
      <c r="C1252" s="42" t="n">
        <v>51</v>
      </c>
      <c r="D1252" s="42" t="n">
        <v>74290966</v>
      </c>
      <c r="E1252" s="43" t="n">
        <v>0.755583967319963</v>
      </c>
      <c r="F1252" s="43" t="n">
        <v>0.802898118516291</v>
      </c>
      <c r="G1252" s="43" t="n">
        <v>0.813761190062324</v>
      </c>
      <c r="H1252" s="43" t="n">
        <v>0.83438027913292</v>
      </c>
      <c r="I1252" s="42" t="n">
        <v>1</v>
      </c>
      <c r="J1252" s="42" t="n">
        <v>1</v>
      </c>
      <c r="K1252" s="44" t="str">
        <f aca="false">IF(AND(I1252=1,J1252=1),"两者都跟住",IF(AND(I1252=0,J1252=1),"仅 PC-TBD 跟住",IF(AND(I1252=1,J1252=0),"仅 VIT-LPS 跟住","都没跟住")))</f>
        <v>两者都跟住</v>
      </c>
      <c r="L1252" s="45" t="n">
        <f aca="false">F1252-G1252</f>
        <v>-0.0108630715460329</v>
      </c>
      <c r="M1252" s="46" t="n">
        <v>0.2428748</v>
      </c>
      <c r="N1252" s="46" t="n">
        <v>0.1232927</v>
      </c>
      <c r="O1252" s="46" t="n">
        <v>0.2216849</v>
      </c>
      <c r="P1252" s="46" t="n">
        <v>0.5715034</v>
      </c>
      <c r="Q1252" s="46" t="n">
        <v>1.9908287</v>
      </c>
      <c r="R1252" s="46" t="n">
        <v>1.9691925</v>
      </c>
      <c r="S1252" s="47" t="n">
        <f aca="false">M1252+N1252+O1252</f>
        <v>0.5878524</v>
      </c>
      <c r="T1252" s="47" t="n">
        <f aca="false">M1252+P1252</f>
        <v>0.8143782</v>
      </c>
    </row>
    <row r="1253" customFormat="false" ht="15" hidden="false" customHeight="false" outlineLevel="0" collapsed="false">
      <c r="A1253" s="42" t="s">
        <v>45</v>
      </c>
      <c r="B1253" s="42" t="n">
        <v>-10</v>
      </c>
      <c r="C1253" s="42" t="n">
        <v>52</v>
      </c>
      <c r="D1253" s="42" t="n">
        <v>74290967</v>
      </c>
      <c r="E1253" s="43" t="n">
        <v>0.726955526646789</v>
      </c>
      <c r="F1253" s="43" t="n">
        <v>0.802324922353759</v>
      </c>
      <c r="G1253" s="43" t="n">
        <v>0.817002919314914</v>
      </c>
      <c r="H1253" s="43" t="n">
        <v>0.8309277685039</v>
      </c>
      <c r="I1253" s="42" t="n">
        <v>1</v>
      </c>
      <c r="J1253" s="42" t="n">
        <v>1</v>
      </c>
      <c r="K1253" s="44" t="str">
        <f aca="false">IF(AND(I1253=1,J1253=1),"两者都跟住",IF(AND(I1253=0,J1253=1),"仅 PC-TBD 跟住",IF(AND(I1253=1,J1253=0),"仅 VIT-LPS 跟住","都没跟住")))</f>
        <v>两者都跟住</v>
      </c>
      <c r="L1253" s="45" t="n">
        <f aca="false">F1253-G1253</f>
        <v>-0.014677996961155</v>
      </c>
      <c r="M1253" s="46" t="n">
        <v>0.1876214</v>
      </c>
      <c r="N1253" s="46" t="n">
        <v>0.1396649</v>
      </c>
      <c r="O1253" s="46" t="n">
        <v>0.1985279</v>
      </c>
      <c r="P1253" s="46" t="n">
        <v>0.54949</v>
      </c>
      <c r="Q1253" s="46" t="n">
        <v>2.1640127</v>
      </c>
      <c r="R1253" s="46" t="n">
        <v>2.0945243</v>
      </c>
      <c r="S1253" s="47" t="n">
        <f aca="false">M1253+N1253+O1253</f>
        <v>0.5258142</v>
      </c>
      <c r="T1253" s="47" t="n">
        <f aca="false">M1253+P1253</f>
        <v>0.7371114</v>
      </c>
    </row>
    <row r="1254" customFormat="false" ht="15" hidden="false" customHeight="false" outlineLevel="0" collapsed="false">
      <c r="A1254" s="42" t="s">
        <v>45</v>
      </c>
      <c r="B1254" s="42" t="n">
        <v>-10</v>
      </c>
      <c r="C1254" s="42" t="n">
        <v>53</v>
      </c>
      <c r="D1254" s="42" t="n">
        <v>74290968</v>
      </c>
      <c r="E1254" s="43" t="n">
        <v>0.782680448236787</v>
      </c>
      <c r="F1254" s="43" t="n">
        <v>0.802810333078756</v>
      </c>
      <c r="G1254" s="43" t="n">
        <v>0.822868059768783</v>
      </c>
      <c r="H1254" s="43" t="n">
        <v>0.823287264885437</v>
      </c>
      <c r="I1254" s="42" t="n">
        <v>1</v>
      </c>
      <c r="J1254" s="42" t="n">
        <v>1</v>
      </c>
      <c r="K1254" s="44" t="str">
        <f aca="false">IF(AND(I1254=1,J1254=1),"两者都跟住",IF(AND(I1254=0,J1254=1),"仅 PC-TBD 跟住",IF(AND(I1254=1,J1254=0),"仅 VIT-LPS 跟住","都没跟住")))</f>
        <v>两者都跟住</v>
      </c>
      <c r="L1254" s="45" t="n">
        <f aca="false">F1254-G1254</f>
        <v>-0.0200577266900269</v>
      </c>
      <c r="M1254" s="46" t="n">
        <v>0.2624392</v>
      </c>
      <c r="N1254" s="46" t="n">
        <v>0.1238794</v>
      </c>
      <c r="O1254" s="46" t="n">
        <v>0.198584</v>
      </c>
      <c r="P1254" s="46" t="n">
        <v>0.5324592</v>
      </c>
      <c r="Q1254" s="46" t="n">
        <v>2.3670369</v>
      </c>
      <c r="R1254" s="46" t="n">
        <v>2.1918759</v>
      </c>
      <c r="S1254" s="47" t="n">
        <f aca="false">M1254+N1254+O1254</f>
        <v>0.5849026</v>
      </c>
      <c r="T1254" s="47" t="n">
        <f aca="false">M1254+P1254</f>
        <v>0.7948984</v>
      </c>
    </row>
    <row r="1255" customFormat="false" ht="15" hidden="false" customHeight="false" outlineLevel="0" collapsed="false">
      <c r="A1255" s="42" t="s">
        <v>45</v>
      </c>
      <c r="B1255" s="42" t="n">
        <v>-10</v>
      </c>
      <c r="C1255" s="42" t="n">
        <v>54</v>
      </c>
      <c r="D1255" s="42" t="n">
        <v>74290969</v>
      </c>
      <c r="E1255" s="43" t="n">
        <v>0.759232343683344</v>
      </c>
      <c r="F1255" s="43" t="n">
        <v>0.806649220395196</v>
      </c>
      <c r="G1255" s="43" t="n">
        <v>0.817297714747436</v>
      </c>
      <c r="H1255" s="43" t="n">
        <v>0.826982561174114</v>
      </c>
      <c r="I1255" s="42" t="n">
        <v>1</v>
      </c>
      <c r="J1255" s="42" t="n">
        <v>1</v>
      </c>
      <c r="K1255" s="44" t="str">
        <f aca="false">IF(AND(I1255=1,J1255=1),"两者都跟住",IF(AND(I1255=0,J1255=1),"仅 PC-TBD 跟住",IF(AND(I1255=1,J1255=0),"仅 VIT-LPS 跟住","都没跟住")))</f>
        <v>两者都跟住</v>
      </c>
      <c r="L1255" s="45" t="n">
        <f aca="false">F1255-G1255</f>
        <v>-0.0106484943522399</v>
      </c>
      <c r="M1255" s="46" t="n">
        <v>0.2354668</v>
      </c>
      <c r="N1255" s="46" t="n">
        <v>0.1389177</v>
      </c>
      <c r="O1255" s="46" t="n">
        <v>0.1741691</v>
      </c>
      <c r="P1255" s="46" t="n">
        <v>0.5855978</v>
      </c>
      <c r="Q1255" s="46" t="n">
        <v>2.184072</v>
      </c>
      <c r="R1255" s="46" t="n">
        <v>2.1783406</v>
      </c>
      <c r="S1255" s="47" t="n">
        <f aca="false">M1255+N1255+O1255</f>
        <v>0.5485536</v>
      </c>
      <c r="T1255" s="47" t="n">
        <f aca="false">M1255+P1255</f>
        <v>0.8210646</v>
      </c>
    </row>
    <row r="1256" customFormat="false" ht="15" hidden="false" customHeight="false" outlineLevel="0" collapsed="false">
      <c r="A1256" s="42" t="s">
        <v>45</v>
      </c>
      <c r="B1256" s="42" t="n">
        <v>-10</v>
      </c>
      <c r="C1256" s="42" t="n">
        <v>55</v>
      </c>
      <c r="D1256" s="42" t="n">
        <v>74290970</v>
      </c>
      <c r="E1256" s="43" t="n">
        <v>0.769770009674626</v>
      </c>
      <c r="F1256" s="43" t="n">
        <v>0.807728913252781</v>
      </c>
      <c r="G1256" s="43" t="n">
        <v>0.772571991612401</v>
      </c>
      <c r="H1256" s="43" t="n">
        <v>0.792667497856983</v>
      </c>
      <c r="I1256" s="42" t="n">
        <v>1</v>
      </c>
      <c r="J1256" s="42" t="n">
        <v>1</v>
      </c>
      <c r="K1256" s="44" t="str">
        <f aca="false">IF(AND(I1256=1,J1256=1),"两者都跟住",IF(AND(I1256=0,J1256=1),"仅 PC-TBD 跟住",IF(AND(I1256=1,J1256=0),"仅 VIT-LPS 跟住","都没跟住")))</f>
        <v>两者都跟住</v>
      </c>
      <c r="L1256" s="45" t="n">
        <f aca="false">F1256-G1256</f>
        <v>0.03515692164038</v>
      </c>
      <c r="M1256" s="46" t="n">
        <v>0.2395606</v>
      </c>
      <c r="N1256" s="46" t="n">
        <v>0.111022</v>
      </c>
      <c r="O1256" s="46" t="n">
        <v>0.2257504</v>
      </c>
      <c r="P1256" s="46" t="n">
        <v>0.5661702</v>
      </c>
      <c r="Q1256" s="46" t="n">
        <v>2.2532288</v>
      </c>
      <c r="R1256" s="46" t="n">
        <v>2.4532841</v>
      </c>
      <c r="S1256" s="47" t="n">
        <f aca="false">M1256+N1256+O1256</f>
        <v>0.576333</v>
      </c>
      <c r="T1256" s="47" t="n">
        <f aca="false">M1256+P1256</f>
        <v>0.8057308</v>
      </c>
    </row>
    <row r="1257" customFormat="false" ht="15" hidden="false" customHeight="false" outlineLevel="0" collapsed="false">
      <c r="A1257" s="42" t="s">
        <v>45</v>
      </c>
      <c r="B1257" s="42" t="n">
        <v>-10</v>
      </c>
      <c r="C1257" s="42" t="n">
        <v>56</v>
      </c>
      <c r="D1257" s="42" t="n">
        <v>74290971</v>
      </c>
      <c r="E1257" s="43" t="n">
        <v>0.718304222319803</v>
      </c>
      <c r="F1257" s="43" t="n">
        <v>0.765708229925855</v>
      </c>
      <c r="G1257" s="43" t="n">
        <v>0.798505615688912</v>
      </c>
      <c r="H1257" s="43" t="n">
        <v>0.804828175145008</v>
      </c>
      <c r="I1257" s="42" t="n">
        <v>1</v>
      </c>
      <c r="J1257" s="42" t="n">
        <v>1</v>
      </c>
      <c r="K1257" s="44" t="str">
        <f aca="false">IF(AND(I1257=1,J1257=1),"两者都跟住",IF(AND(I1257=0,J1257=1),"仅 PC-TBD 跟住",IF(AND(I1257=1,J1257=0),"仅 VIT-LPS 跟住","都没跟住")))</f>
        <v>两者都跟住</v>
      </c>
      <c r="L1257" s="45" t="n">
        <f aca="false">F1257-G1257</f>
        <v>-0.032797385763057</v>
      </c>
      <c r="M1257" s="46" t="n">
        <v>0.2625708</v>
      </c>
      <c r="N1257" s="46" t="n">
        <v>0.1164137</v>
      </c>
      <c r="O1257" s="46" t="n">
        <v>0.2363716</v>
      </c>
      <c r="P1257" s="46" t="n">
        <v>0.4851562</v>
      </c>
      <c r="Q1257" s="46" t="n">
        <v>2.4354147</v>
      </c>
      <c r="R1257" s="46" t="n">
        <v>2.3179478</v>
      </c>
      <c r="S1257" s="47" t="n">
        <f aca="false">M1257+N1257+O1257</f>
        <v>0.6153561</v>
      </c>
      <c r="T1257" s="47" t="n">
        <f aca="false">M1257+P1257</f>
        <v>0.747727</v>
      </c>
    </row>
    <row r="1258" customFormat="false" ht="15" hidden="false" customHeight="false" outlineLevel="0" collapsed="false">
      <c r="A1258" s="42" t="s">
        <v>45</v>
      </c>
      <c r="B1258" s="42" t="n">
        <v>-10</v>
      </c>
      <c r="C1258" s="42" t="n">
        <v>57</v>
      </c>
      <c r="D1258" s="42" t="n">
        <v>74290972</v>
      </c>
      <c r="E1258" s="43" t="n">
        <v>0.790247976532244</v>
      </c>
      <c r="F1258" s="43" t="n">
        <v>0.808654545521595</v>
      </c>
      <c r="G1258" s="43" t="n">
        <v>0.79470613180632</v>
      </c>
      <c r="H1258" s="43" t="n">
        <v>0.812761703341321</v>
      </c>
      <c r="I1258" s="42" t="n">
        <v>1</v>
      </c>
      <c r="J1258" s="42" t="n">
        <v>1</v>
      </c>
      <c r="K1258" s="44" t="str">
        <f aca="false">IF(AND(I1258=1,J1258=1),"两者都跟住",IF(AND(I1258=0,J1258=1),"仅 PC-TBD 跟住",IF(AND(I1258=1,J1258=0),"仅 VIT-LPS 跟住","都没跟住")))</f>
        <v>两者都跟住</v>
      </c>
      <c r="L1258" s="45" t="n">
        <f aca="false">F1258-G1258</f>
        <v>0.013948413715275</v>
      </c>
      <c r="M1258" s="46" t="n">
        <v>0.1537977</v>
      </c>
      <c r="N1258" s="46" t="n">
        <v>0.0982649</v>
      </c>
      <c r="O1258" s="46" t="n">
        <v>0.1313492</v>
      </c>
      <c r="P1258" s="46" t="n">
        <v>0.4416541</v>
      </c>
      <c r="Q1258" s="46" t="n">
        <v>1.7466668</v>
      </c>
      <c r="R1258" s="46" t="n">
        <v>1.7104491</v>
      </c>
      <c r="S1258" s="47" t="n">
        <f aca="false">M1258+N1258+O1258</f>
        <v>0.3834118</v>
      </c>
      <c r="T1258" s="47" t="n">
        <f aca="false">M1258+P1258</f>
        <v>0.5954518</v>
      </c>
    </row>
    <row r="1259" customFormat="false" ht="15" hidden="false" customHeight="false" outlineLevel="0" collapsed="false">
      <c r="A1259" s="42" t="s">
        <v>45</v>
      </c>
      <c r="B1259" s="42" t="n">
        <v>-10</v>
      </c>
      <c r="C1259" s="42" t="n">
        <v>58</v>
      </c>
      <c r="D1259" s="42" t="n">
        <v>74290973</v>
      </c>
      <c r="E1259" s="43" t="n">
        <v>0.731051946946722</v>
      </c>
      <c r="F1259" s="43" t="n">
        <v>0.776340915039596</v>
      </c>
      <c r="G1259" s="43" t="n">
        <v>0.760642329604547</v>
      </c>
      <c r="H1259" s="43" t="n">
        <v>0.766078791388202</v>
      </c>
      <c r="I1259" s="42" t="n">
        <v>1</v>
      </c>
      <c r="J1259" s="42" t="n">
        <v>1</v>
      </c>
      <c r="K1259" s="44" t="str">
        <f aca="false">IF(AND(I1259=1,J1259=1),"两者都跟住",IF(AND(I1259=0,J1259=1),"仅 PC-TBD 跟住",IF(AND(I1259=1,J1259=0),"仅 VIT-LPS 跟住","都没跟住")))</f>
        <v>两者都跟住</v>
      </c>
      <c r="L1259" s="45" t="n">
        <f aca="false">F1259-G1259</f>
        <v>0.015698585435049</v>
      </c>
      <c r="M1259" s="46" t="n">
        <v>0.143854</v>
      </c>
      <c r="N1259" s="46" t="n">
        <v>0.0782129</v>
      </c>
      <c r="O1259" s="46" t="n">
        <v>0.1353522</v>
      </c>
      <c r="P1259" s="46" t="n">
        <v>0.3703998</v>
      </c>
      <c r="Q1259" s="46" t="n">
        <v>1.2235512</v>
      </c>
      <c r="R1259" s="46" t="n">
        <v>1.5790628</v>
      </c>
      <c r="S1259" s="47" t="n">
        <f aca="false">M1259+N1259+O1259</f>
        <v>0.3574191</v>
      </c>
      <c r="T1259" s="47" t="n">
        <f aca="false">M1259+P1259</f>
        <v>0.5142538</v>
      </c>
    </row>
    <row r="1260" customFormat="false" ht="15" hidden="false" customHeight="false" outlineLevel="0" collapsed="false">
      <c r="A1260" s="42" t="s">
        <v>45</v>
      </c>
      <c r="B1260" s="42" t="n">
        <v>-10</v>
      </c>
      <c r="C1260" s="42" t="n">
        <v>59</v>
      </c>
      <c r="D1260" s="42" t="n">
        <v>74290974</v>
      </c>
      <c r="E1260" s="43" t="n">
        <v>0.725564236761193</v>
      </c>
      <c r="F1260" s="43" t="n">
        <v>0.77640088014258</v>
      </c>
      <c r="G1260" s="43" t="n">
        <v>0.814840249008514</v>
      </c>
      <c r="H1260" s="43" t="n">
        <v>0.840276266699733</v>
      </c>
      <c r="I1260" s="42" t="n">
        <v>1</v>
      </c>
      <c r="J1260" s="42" t="n">
        <v>1</v>
      </c>
      <c r="K1260" s="44" t="str">
        <f aca="false">IF(AND(I1260=1,J1260=1),"两者都跟住",IF(AND(I1260=0,J1260=1),"仅 PC-TBD 跟住",IF(AND(I1260=1,J1260=0),"仅 VIT-LPS 跟住","都没跟住")))</f>
        <v>两者都跟住</v>
      </c>
      <c r="L1260" s="45" t="n">
        <f aca="false">F1260-G1260</f>
        <v>-0.038439368865934</v>
      </c>
      <c r="M1260" s="46" t="n">
        <v>0.1325728</v>
      </c>
      <c r="N1260" s="46" t="n">
        <v>0.0860437</v>
      </c>
      <c r="O1260" s="46" t="n">
        <v>0.1358679</v>
      </c>
      <c r="P1260" s="46" t="n">
        <v>0.3822276</v>
      </c>
      <c r="Q1260" s="46" t="n">
        <v>1.569759</v>
      </c>
      <c r="R1260" s="46" t="n">
        <v>1.3370145</v>
      </c>
      <c r="S1260" s="47" t="n">
        <f aca="false">M1260+N1260+O1260</f>
        <v>0.3544844</v>
      </c>
      <c r="T1260" s="47" t="n">
        <f aca="false">M1260+P1260</f>
        <v>0.5148004</v>
      </c>
    </row>
    <row r="1261" customFormat="false" ht="15" hidden="false" customHeight="false" outlineLevel="0" collapsed="false">
      <c r="A1261" s="42" t="s">
        <v>45</v>
      </c>
      <c r="B1261" s="42" t="n">
        <v>-10</v>
      </c>
      <c r="C1261" s="42" t="n">
        <v>60</v>
      </c>
      <c r="D1261" s="42" t="n">
        <v>74290975</v>
      </c>
      <c r="E1261" s="43" t="n">
        <v>0.772444525599477</v>
      </c>
      <c r="F1261" s="43" t="n">
        <v>0.808950156537848</v>
      </c>
      <c r="G1261" s="43" t="n">
        <v>0.827114634529942</v>
      </c>
      <c r="H1261" s="43" t="n">
        <v>0.825226707230839</v>
      </c>
      <c r="I1261" s="42" t="n">
        <v>1</v>
      </c>
      <c r="J1261" s="42" t="n">
        <v>1</v>
      </c>
      <c r="K1261" s="44" t="str">
        <f aca="false">IF(AND(I1261=1,J1261=1),"两者都跟住",IF(AND(I1261=0,J1261=1),"仅 PC-TBD 跟住",IF(AND(I1261=1,J1261=0),"仅 VIT-LPS 跟住","都没跟住")))</f>
        <v>两者都跟住</v>
      </c>
      <c r="L1261" s="45" t="n">
        <f aca="false">F1261-G1261</f>
        <v>-0.0181644779920941</v>
      </c>
      <c r="M1261" s="46" t="n">
        <v>0.1325891</v>
      </c>
      <c r="N1261" s="46" t="n">
        <v>0.1251405</v>
      </c>
      <c r="O1261" s="46" t="n">
        <v>0.1381402</v>
      </c>
      <c r="P1261" s="46" t="n">
        <v>0.4692843</v>
      </c>
      <c r="Q1261" s="46" t="n">
        <v>1.5160129</v>
      </c>
      <c r="R1261" s="46" t="n">
        <v>1.3697415</v>
      </c>
      <c r="S1261" s="47" t="n">
        <f aca="false">M1261+N1261+O1261</f>
        <v>0.3958698</v>
      </c>
      <c r="T1261" s="47" t="n">
        <f aca="false">M1261+P1261</f>
        <v>0.6018734</v>
      </c>
    </row>
    <row r="1262" customFormat="false" ht="15" hidden="false" customHeight="false" outlineLevel="0" collapsed="false">
      <c r="A1262" s="42" t="s">
        <v>45</v>
      </c>
      <c r="B1262" s="42" t="n">
        <v>-10</v>
      </c>
      <c r="C1262" s="42" t="n">
        <v>61</v>
      </c>
      <c r="D1262" s="42" t="n">
        <v>74290976</v>
      </c>
      <c r="E1262" s="43" t="n">
        <v>0.758230132922397</v>
      </c>
      <c r="F1262" s="43" t="n">
        <v>0.698906005369628</v>
      </c>
      <c r="G1262" s="43" t="n">
        <v>0.824722052802835</v>
      </c>
      <c r="H1262" s="43" t="n">
        <v>0.826205115098648</v>
      </c>
      <c r="I1262" s="42" t="n">
        <v>1</v>
      </c>
      <c r="J1262" s="42" t="n">
        <v>1</v>
      </c>
      <c r="K1262" s="44" t="str">
        <f aca="false">IF(AND(I1262=1,J1262=1),"两者都跟住",IF(AND(I1262=0,J1262=1),"仅 PC-TBD 跟住",IF(AND(I1262=1,J1262=0),"仅 VIT-LPS 跟住","都没跟住")))</f>
        <v>两者都跟住</v>
      </c>
      <c r="L1262" s="45" t="n">
        <f aca="false">F1262-G1262</f>
        <v>-0.125816047433207</v>
      </c>
      <c r="M1262" s="46" t="n">
        <v>0.2418204</v>
      </c>
      <c r="N1262" s="46" t="n">
        <v>0.1399845</v>
      </c>
      <c r="O1262" s="46" t="n">
        <v>0.2024145</v>
      </c>
      <c r="P1262" s="46" t="n">
        <v>0.4551172</v>
      </c>
      <c r="Q1262" s="46" t="n">
        <v>1.9497954</v>
      </c>
      <c r="R1262" s="46" t="n">
        <v>2.0723466</v>
      </c>
      <c r="S1262" s="47" t="n">
        <f aca="false">M1262+N1262+O1262</f>
        <v>0.5842194</v>
      </c>
      <c r="T1262" s="47" t="n">
        <f aca="false">M1262+P1262</f>
        <v>0.6969376</v>
      </c>
    </row>
    <row r="1263" customFormat="false" ht="15" hidden="false" customHeight="false" outlineLevel="0" collapsed="false">
      <c r="A1263" s="42" t="s">
        <v>45</v>
      </c>
      <c r="B1263" s="42" t="n">
        <v>-10</v>
      </c>
      <c r="C1263" s="42" t="n">
        <v>62</v>
      </c>
      <c r="D1263" s="42" t="n">
        <v>74290977</v>
      </c>
      <c r="E1263" s="43" t="n">
        <v>0.78459661642217</v>
      </c>
      <c r="F1263" s="43" t="n">
        <v>0.802000716123642</v>
      </c>
      <c r="G1263" s="43" t="n">
        <v>0.814681737078806</v>
      </c>
      <c r="H1263" s="43" t="n">
        <v>0.825759302640983</v>
      </c>
      <c r="I1263" s="42" t="n">
        <v>1</v>
      </c>
      <c r="J1263" s="42" t="n">
        <v>1</v>
      </c>
      <c r="K1263" s="44" t="str">
        <f aca="false">IF(AND(I1263=1,J1263=1),"两者都跟住",IF(AND(I1263=0,J1263=1),"仅 PC-TBD 跟住",IF(AND(I1263=1,J1263=0),"仅 VIT-LPS 跟住","都没跟住")))</f>
        <v>两者都跟住</v>
      </c>
      <c r="L1263" s="45" t="n">
        <f aca="false">F1263-G1263</f>
        <v>-0.012681020955164</v>
      </c>
      <c r="M1263" s="46" t="n">
        <v>0.2594422</v>
      </c>
      <c r="N1263" s="46" t="n">
        <v>0.112989</v>
      </c>
      <c r="O1263" s="46" t="n">
        <v>0.2225222</v>
      </c>
      <c r="P1263" s="46" t="n">
        <v>0.5389889</v>
      </c>
      <c r="Q1263" s="46" t="n">
        <v>2.1983417</v>
      </c>
      <c r="R1263" s="46" t="n">
        <v>2.212714</v>
      </c>
      <c r="S1263" s="47" t="n">
        <f aca="false">M1263+N1263+O1263</f>
        <v>0.5949534</v>
      </c>
      <c r="T1263" s="47" t="n">
        <f aca="false">M1263+P1263</f>
        <v>0.7984311</v>
      </c>
    </row>
    <row r="1264" customFormat="false" ht="15" hidden="false" customHeight="false" outlineLevel="0" collapsed="false">
      <c r="A1264" s="42" t="s">
        <v>45</v>
      </c>
      <c r="B1264" s="42" t="n">
        <v>-10</v>
      </c>
      <c r="C1264" s="42" t="n">
        <v>63</v>
      </c>
      <c r="D1264" s="42" t="n">
        <v>74290978</v>
      </c>
      <c r="E1264" s="43" t="n">
        <v>0.767895281033865</v>
      </c>
      <c r="F1264" s="43" t="n">
        <v>0.796821760180306</v>
      </c>
      <c r="G1264" s="43" t="n">
        <v>0.80265326382668</v>
      </c>
      <c r="H1264" s="43" t="n">
        <v>0.824471992934775</v>
      </c>
      <c r="I1264" s="42" t="n">
        <v>1</v>
      </c>
      <c r="J1264" s="42" t="n">
        <v>1</v>
      </c>
      <c r="K1264" s="44" t="str">
        <f aca="false">IF(AND(I1264=1,J1264=1),"两者都跟住",IF(AND(I1264=0,J1264=1),"仅 PC-TBD 跟住",IF(AND(I1264=1,J1264=0),"仅 VIT-LPS 跟住","都没跟住")))</f>
        <v>两者都跟住</v>
      </c>
      <c r="L1264" s="45" t="n">
        <f aca="false">F1264-G1264</f>
        <v>-0.00583150364637397</v>
      </c>
      <c r="M1264" s="46" t="n">
        <v>0.2506579</v>
      </c>
      <c r="N1264" s="46" t="n">
        <v>0.1198175</v>
      </c>
      <c r="O1264" s="46" t="n">
        <v>0.1995953</v>
      </c>
      <c r="P1264" s="46" t="n">
        <v>0.5649738</v>
      </c>
      <c r="Q1264" s="46" t="n">
        <v>1.7338645</v>
      </c>
      <c r="R1264" s="46" t="n">
        <v>2.1168152</v>
      </c>
      <c r="S1264" s="47" t="n">
        <f aca="false">M1264+N1264+O1264</f>
        <v>0.5700707</v>
      </c>
      <c r="T1264" s="47" t="n">
        <f aca="false">M1264+P1264</f>
        <v>0.8156317</v>
      </c>
    </row>
    <row r="1265" customFormat="false" ht="15" hidden="false" customHeight="false" outlineLevel="0" collapsed="false">
      <c r="A1265" s="42" t="s">
        <v>45</v>
      </c>
      <c r="B1265" s="42" t="n">
        <v>-10</v>
      </c>
      <c r="C1265" s="42" t="n">
        <v>64</v>
      </c>
      <c r="D1265" s="42" t="n">
        <v>74290979</v>
      </c>
      <c r="E1265" s="43" t="n">
        <v>0.760508108503526</v>
      </c>
      <c r="F1265" s="43" t="n">
        <v>0.797452418751911</v>
      </c>
      <c r="G1265" s="43" t="n">
        <v>0.808699033226839</v>
      </c>
      <c r="H1265" s="43" t="n">
        <v>0.835122617565833</v>
      </c>
      <c r="I1265" s="42" t="n">
        <v>1</v>
      </c>
      <c r="J1265" s="42" t="n">
        <v>1</v>
      </c>
      <c r="K1265" s="44" t="str">
        <f aca="false">IF(AND(I1265=1,J1265=1),"两者都跟住",IF(AND(I1265=0,J1265=1),"仅 PC-TBD 跟住",IF(AND(I1265=1,J1265=0),"仅 VIT-LPS 跟住","都没跟住")))</f>
        <v>两者都跟住</v>
      </c>
      <c r="L1265" s="45" t="n">
        <f aca="false">F1265-G1265</f>
        <v>-0.011246614474928</v>
      </c>
      <c r="M1265" s="46" t="n">
        <v>0.2426733</v>
      </c>
      <c r="N1265" s="46" t="n">
        <v>0.1402391</v>
      </c>
      <c r="O1265" s="46" t="n">
        <v>0.1766482</v>
      </c>
      <c r="P1265" s="46" t="n">
        <v>0.4901257</v>
      </c>
      <c r="Q1265" s="46" t="n">
        <v>2.0381726</v>
      </c>
      <c r="R1265" s="46" t="n">
        <v>2.3122555</v>
      </c>
      <c r="S1265" s="47" t="n">
        <f aca="false">M1265+N1265+O1265</f>
        <v>0.5595606</v>
      </c>
      <c r="T1265" s="47" t="n">
        <f aca="false">M1265+P1265</f>
        <v>0.732799</v>
      </c>
    </row>
    <row r="1266" customFormat="false" ht="15" hidden="false" customHeight="false" outlineLevel="0" collapsed="false">
      <c r="A1266" s="42" t="s">
        <v>45</v>
      </c>
      <c r="B1266" s="42" t="n">
        <v>-10</v>
      </c>
      <c r="C1266" s="42" t="n">
        <v>65</v>
      </c>
      <c r="D1266" s="42" t="n">
        <v>74290980</v>
      </c>
      <c r="E1266" s="43" t="n">
        <v>0.743441038766621</v>
      </c>
      <c r="F1266" s="43" t="n">
        <v>0.777845714996865</v>
      </c>
      <c r="G1266" s="43" t="n">
        <v>0.780559933293675</v>
      </c>
      <c r="H1266" s="43" t="n">
        <v>0.808263089556141</v>
      </c>
      <c r="I1266" s="42" t="n">
        <v>1</v>
      </c>
      <c r="J1266" s="42" t="n">
        <v>1</v>
      </c>
      <c r="K1266" s="44" t="str">
        <f aca="false">IF(AND(I1266=1,J1266=1),"两者都跟住",IF(AND(I1266=0,J1266=1),"仅 PC-TBD 跟住",IF(AND(I1266=1,J1266=0),"仅 VIT-LPS 跟住","都没跟住")))</f>
        <v>两者都跟住</v>
      </c>
      <c r="L1266" s="45" t="n">
        <f aca="false">F1266-G1266</f>
        <v>-0.00271421829681007</v>
      </c>
      <c r="M1266" s="46" t="n">
        <v>0.260478</v>
      </c>
      <c r="N1266" s="46" t="n">
        <v>0.1362016</v>
      </c>
      <c r="O1266" s="46" t="n">
        <v>0.1881214</v>
      </c>
      <c r="P1266" s="46" t="n">
        <v>0.4750401</v>
      </c>
      <c r="Q1266" s="46" t="n">
        <v>2.0469515</v>
      </c>
      <c r="R1266" s="46" t="n">
        <v>2.3728242</v>
      </c>
      <c r="S1266" s="47" t="n">
        <f aca="false">M1266+N1266+O1266</f>
        <v>0.584801</v>
      </c>
      <c r="T1266" s="47" t="n">
        <f aca="false">M1266+P1266</f>
        <v>0.7355181</v>
      </c>
    </row>
    <row r="1267" customFormat="false" ht="15" hidden="false" customHeight="false" outlineLevel="0" collapsed="false">
      <c r="A1267" s="42" t="s">
        <v>45</v>
      </c>
      <c r="B1267" s="42" t="n">
        <v>-10</v>
      </c>
      <c r="C1267" s="42" t="n">
        <v>66</v>
      </c>
      <c r="D1267" s="42" t="n">
        <v>74290981</v>
      </c>
      <c r="E1267" s="43" t="n">
        <v>0.768433943047708</v>
      </c>
      <c r="F1267" s="43" t="n">
        <v>0.806746694870367</v>
      </c>
      <c r="G1267" s="43" t="n">
        <v>0.811098975039111</v>
      </c>
      <c r="H1267" s="43" t="n">
        <v>0.820545868783893</v>
      </c>
      <c r="I1267" s="42" t="n">
        <v>1</v>
      </c>
      <c r="J1267" s="42" t="n">
        <v>1</v>
      </c>
      <c r="K1267" s="44" t="str">
        <f aca="false">IF(AND(I1267=1,J1267=1),"两者都跟住",IF(AND(I1267=0,J1267=1),"仅 PC-TBD 跟住",IF(AND(I1267=1,J1267=0),"仅 VIT-LPS 跟住","都没跟住")))</f>
        <v>两者都跟住</v>
      </c>
      <c r="L1267" s="45" t="n">
        <f aca="false">F1267-G1267</f>
        <v>-0.00435228016874401</v>
      </c>
      <c r="M1267" s="46" t="n">
        <v>0.2511345</v>
      </c>
      <c r="N1267" s="46" t="n">
        <v>0.14344</v>
      </c>
      <c r="O1267" s="46" t="n">
        <v>0.2000631</v>
      </c>
      <c r="P1267" s="46" t="n">
        <v>0.5120881</v>
      </c>
      <c r="Q1267" s="46" t="n">
        <v>2.116868</v>
      </c>
      <c r="R1267" s="46" t="n">
        <v>2.4414519</v>
      </c>
      <c r="S1267" s="47" t="n">
        <f aca="false">M1267+N1267+O1267</f>
        <v>0.5946376</v>
      </c>
      <c r="T1267" s="47" t="n">
        <f aca="false">M1267+P1267</f>
        <v>0.7632226</v>
      </c>
    </row>
    <row r="1268" customFormat="false" ht="15" hidden="false" customHeight="false" outlineLevel="0" collapsed="false">
      <c r="A1268" s="42" t="s">
        <v>45</v>
      </c>
      <c r="B1268" s="42" t="n">
        <v>-10</v>
      </c>
      <c r="C1268" s="42" t="n">
        <v>67</v>
      </c>
      <c r="D1268" s="42" t="n">
        <v>74290982</v>
      </c>
      <c r="E1268" s="43" t="n">
        <v>0.781202075461532</v>
      </c>
      <c r="F1268" s="43" t="n">
        <v>0.805478397514215</v>
      </c>
      <c r="G1268" s="43" t="n">
        <v>0.804440804815605</v>
      </c>
      <c r="H1268" s="43" t="n">
        <v>0.813192128096475</v>
      </c>
      <c r="I1268" s="42" t="n">
        <v>1</v>
      </c>
      <c r="J1268" s="42" t="n">
        <v>1</v>
      </c>
      <c r="K1268" s="44" t="str">
        <f aca="false">IF(AND(I1268=1,J1268=1),"两者都跟住",IF(AND(I1268=0,J1268=1),"仅 PC-TBD 跟住",IF(AND(I1268=1,J1268=0),"仅 VIT-LPS 跟住","都没跟住")))</f>
        <v>两者都跟住</v>
      </c>
      <c r="L1268" s="45" t="n">
        <f aca="false">F1268-G1268</f>
        <v>0.00103759269861003</v>
      </c>
      <c r="M1268" s="46" t="n">
        <v>0.131785</v>
      </c>
      <c r="N1268" s="46" t="n">
        <v>0.1015631</v>
      </c>
      <c r="O1268" s="46" t="n">
        <v>0.1248289</v>
      </c>
      <c r="P1268" s="46" t="n">
        <v>0.3644403</v>
      </c>
      <c r="Q1268" s="46" t="n">
        <v>1.398664</v>
      </c>
      <c r="R1268" s="46" t="n">
        <v>1.3618907</v>
      </c>
      <c r="S1268" s="47" t="n">
        <f aca="false">M1268+N1268+O1268</f>
        <v>0.358177</v>
      </c>
      <c r="T1268" s="47" t="n">
        <f aca="false">M1268+P1268</f>
        <v>0.4962253</v>
      </c>
    </row>
    <row r="1269" customFormat="false" ht="15" hidden="false" customHeight="false" outlineLevel="0" collapsed="false">
      <c r="A1269" s="42" t="s">
        <v>45</v>
      </c>
      <c r="B1269" s="42" t="n">
        <v>-10</v>
      </c>
      <c r="C1269" s="42" t="n">
        <v>68</v>
      </c>
      <c r="D1269" s="42" t="n">
        <v>74290983</v>
      </c>
      <c r="E1269" s="43" t="n">
        <v>0.737214505440781</v>
      </c>
      <c r="F1269" s="43" t="n">
        <v>0.76692569081948</v>
      </c>
      <c r="G1269" s="43" t="n">
        <v>0.774039853823207</v>
      </c>
      <c r="H1269" s="43" t="n">
        <v>0.796108547445672</v>
      </c>
      <c r="I1269" s="42" t="n">
        <v>1</v>
      </c>
      <c r="J1269" s="42" t="n">
        <v>1</v>
      </c>
      <c r="K1269" s="44" t="str">
        <f aca="false">IF(AND(I1269=1,J1269=1),"两者都跟住",IF(AND(I1269=0,J1269=1),"仅 PC-TBD 跟住",IF(AND(I1269=1,J1269=0),"仅 VIT-LPS 跟住","都没跟住")))</f>
        <v>两者都跟住</v>
      </c>
      <c r="L1269" s="45" t="n">
        <f aca="false">F1269-G1269</f>
        <v>-0.00711416300372691</v>
      </c>
      <c r="M1269" s="46" t="n">
        <v>0.1368755</v>
      </c>
      <c r="N1269" s="46" t="n">
        <v>0.0833965</v>
      </c>
      <c r="O1269" s="46" t="n">
        <v>0.1744307</v>
      </c>
      <c r="P1269" s="46" t="n">
        <v>0.4312289</v>
      </c>
      <c r="Q1269" s="46" t="n">
        <v>1.3988649</v>
      </c>
      <c r="R1269" s="46" t="n">
        <v>1.6128718</v>
      </c>
      <c r="S1269" s="47" t="n">
        <f aca="false">M1269+N1269+O1269</f>
        <v>0.3947027</v>
      </c>
      <c r="T1269" s="47" t="n">
        <f aca="false">M1269+P1269</f>
        <v>0.5681044</v>
      </c>
    </row>
    <row r="1270" customFormat="false" ht="15" hidden="false" customHeight="false" outlineLevel="0" collapsed="false">
      <c r="A1270" s="42" t="s">
        <v>45</v>
      </c>
      <c r="B1270" s="42" t="n">
        <v>-10</v>
      </c>
      <c r="C1270" s="42" t="n">
        <v>69</v>
      </c>
      <c r="D1270" s="42" t="n">
        <v>74290984</v>
      </c>
      <c r="E1270" s="43" t="n">
        <v>0.742720098794471</v>
      </c>
      <c r="F1270" s="43" t="n">
        <v>0.805481326606934</v>
      </c>
      <c r="G1270" s="43" t="n">
        <v>0.815791637236659</v>
      </c>
      <c r="H1270" s="43" t="n">
        <v>0.829095859906252</v>
      </c>
      <c r="I1270" s="42" t="n">
        <v>1</v>
      </c>
      <c r="J1270" s="42" t="n">
        <v>1</v>
      </c>
      <c r="K1270" s="44" t="str">
        <f aca="false">IF(AND(I1270=1,J1270=1),"两者都跟住",IF(AND(I1270=0,J1270=1),"仅 PC-TBD 跟住",IF(AND(I1270=1,J1270=0),"仅 VIT-LPS 跟住","都没跟住")))</f>
        <v>两者都跟住</v>
      </c>
      <c r="L1270" s="45" t="n">
        <f aca="false">F1270-G1270</f>
        <v>-0.0103103106297251</v>
      </c>
      <c r="M1270" s="46" t="n">
        <v>0.1416727</v>
      </c>
      <c r="N1270" s="46" t="n">
        <v>0.1143558</v>
      </c>
      <c r="O1270" s="46" t="n">
        <v>0.1547449</v>
      </c>
      <c r="P1270" s="46" t="n">
        <v>0.4734149</v>
      </c>
      <c r="Q1270" s="46" t="n">
        <v>1.4167153</v>
      </c>
      <c r="R1270" s="46" t="n">
        <v>1.4927964</v>
      </c>
      <c r="S1270" s="47" t="n">
        <f aca="false">M1270+N1270+O1270</f>
        <v>0.4107734</v>
      </c>
      <c r="T1270" s="47" t="n">
        <f aca="false">M1270+P1270</f>
        <v>0.6150876</v>
      </c>
    </row>
    <row r="1271" customFormat="false" ht="15" hidden="false" customHeight="false" outlineLevel="0" collapsed="false">
      <c r="A1271" s="42" t="s">
        <v>45</v>
      </c>
      <c r="B1271" s="42" t="n">
        <v>-10</v>
      </c>
      <c r="C1271" s="42" t="n">
        <v>70</v>
      </c>
      <c r="D1271" s="42" t="n">
        <v>74290985</v>
      </c>
      <c r="E1271" s="43" t="n">
        <v>0.778713582206685</v>
      </c>
      <c r="F1271" s="43" t="n">
        <v>0.811129500736181</v>
      </c>
      <c r="G1271" s="43" t="n">
        <v>0.825346035011743</v>
      </c>
      <c r="H1271" s="43" t="n">
        <v>0.831407738380106</v>
      </c>
      <c r="I1271" s="42" t="n">
        <v>1</v>
      </c>
      <c r="J1271" s="42" t="n">
        <v>1</v>
      </c>
      <c r="K1271" s="44" t="str">
        <f aca="false">IF(AND(I1271=1,J1271=1),"两者都跟住",IF(AND(I1271=0,J1271=1),"仅 PC-TBD 跟住",IF(AND(I1271=1,J1271=0),"仅 VIT-LPS 跟住","都没跟住")))</f>
        <v>两者都跟住</v>
      </c>
      <c r="L1271" s="45" t="n">
        <f aca="false">F1271-G1271</f>
        <v>-0.014216534275562</v>
      </c>
      <c r="M1271" s="46" t="n">
        <v>0.1358841</v>
      </c>
      <c r="N1271" s="46" t="n">
        <v>0.1101252</v>
      </c>
      <c r="O1271" s="46" t="n">
        <v>0.1413418</v>
      </c>
      <c r="P1271" s="46" t="n">
        <v>0.4726519</v>
      </c>
      <c r="Q1271" s="46" t="n">
        <v>1.5012469</v>
      </c>
      <c r="R1271" s="46" t="n">
        <v>1.4882387</v>
      </c>
      <c r="S1271" s="47" t="n">
        <f aca="false">M1271+N1271+O1271</f>
        <v>0.3873511</v>
      </c>
      <c r="T1271" s="47" t="n">
        <f aca="false">M1271+P1271</f>
        <v>0.608536</v>
      </c>
    </row>
    <row r="1272" customFormat="false" ht="15" hidden="false" customHeight="false" outlineLevel="0" collapsed="false">
      <c r="A1272" s="42" t="s">
        <v>45</v>
      </c>
      <c r="B1272" s="42" t="n">
        <v>-10</v>
      </c>
      <c r="C1272" s="42" t="n">
        <v>71</v>
      </c>
      <c r="D1272" s="42" t="n">
        <v>74290986</v>
      </c>
      <c r="E1272" s="43" t="n">
        <v>0.779225342741105</v>
      </c>
      <c r="F1272" s="43" t="n">
        <v>0.816626592889585</v>
      </c>
      <c r="G1272" s="43" t="n">
        <v>0.823519485175877</v>
      </c>
      <c r="H1272" s="43" t="n">
        <v>0.836194204234953</v>
      </c>
      <c r="I1272" s="42" t="n">
        <v>1</v>
      </c>
      <c r="J1272" s="42" t="n">
        <v>1</v>
      </c>
      <c r="K1272" s="44" t="str">
        <f aca="false">IF(AND(I1272=1,J1272=1),"两者都跟住",IF(AND(I1272=0,J1272=1),"仅 PC-TBD 跟住",IF(AND(I1272=1,J1272=0),"仅 VIT-LPS 跟住","都没跟住")))</f>
        <v>两者都跟住</v>
      </c>
      <c r="L1272" s="45" t="n">
        <f aca="false">F1272-G1272</f>
        <v>-0.00689289228629209</v>
      </c>
      <c r="M1272" s="46" t="n">
        <v>0.2431945</v>
      </c>
      <c r="N1272" s="46" t="n">
        <v>0.1154968</v>
      </c>
      <c r="O1272" s="46" t="n">
        <v>0.1293748</v>
      </c>
      <c r="P1272" s="46" t="n">
        <v>0.4992315</v>
      </c>
      <c r="Q1272" s="46" t="n">
        <v>2.2474041</v>
      </c>
      <c r="R1272" s="46" t="n">
        <v>2.1136296</v>
      </c>
      <c r="S1272" s="47" t="n">
        <f aca="false">M1272+N1272+O1272</f>
        <v>0.4880661</v>
      </c>
      <c r="T1272" s="47" t="n">
        <f aca="false">M1272+P1272</f>
        <v>0.742426</v>
      </c>
    </row>
    <row r="1273" customFormat="false" ht="15" hidden="false" customHeight="false" outlineLevel="0" collapsed="false">
      <c r="A1273" s="42" t="s">
        <v>45</v>
      </c>
      <c r="B1273" s="42" t="n">
        <v>-10</v>
      </c>
      <c r="C1273" s="42" t="n">
        <v>72</v>
      </c>
      <c r="D1273" s="42" t="n">
        <v>74290987</v>
      </c>
      <c r="E1273" s="43" t="n">
        <v>0.716237200853179</v>
      </c>
      <c r="F1273" s="43" t="n">
        <v>0.801482181508255</v>
      </c>
      <c r="G1273" s="43" t="n">
        <v>0.802423598774797</v>
      </c>
      <c r="H1273" s="43" t="n">
        <v>0.823488484566475</v>
      </c>
      <c r="I1273" s="42" t="n">
        <v>1</v>
      </c>
      <c r="J1273" s="42" t="n">
        <v>1</v>
      </c>
      <c r="K1273" s="44" t="str">
        <f aca="false">IF(AND(I1273=1,J1273=1),"两者都跟住",IF(AND(I1273=0,J1273=1),"仅 PC-TBD 跟住",IF(AND(I1273=1,J1273=0),"仅 VIT-LPS 跟住","都没跟住")))</f>
        <v>两者都跟住</v>
      </c>
      <c r="L1273" s="45" t="n">
        <f aca="false">F1273-G1273</f>
        <v>-0.000941417266541955</v>
      </c>
      <c r="M1273" s="46" t="n">
        <v>0.2424888</v>
      </c>
      <c r="N1273" s="46" t="n">
        <v>0.1276043</v>
      </c>
      <c r="O1273" s="46" t="n">
        <v>0.1906499</v>
      </c>
      <c r="P1273" s="46" t="n">
        <v>0.5679808</v>
      </c>
      <c r="Q1273" s="46" t="n">
        <v>2.3664575</v>
      </c>
      <c r="R1273" s="46" t="n">
        <v>2.0171755</v>
      </c>
      <c r="S1273" s="47" t="n">
        <f aca="false">M1273+N1273+O1273</f>
        <v>0.560743</v>
      </c>
      <c r="T1273" s="47" t="n">
        <f aca="false">M1273+P1273</f>
        <v>0.8104696</v>
      </c>
    </row>
    <row r="1274" customFormat="false" ht="15" hidden="false" customHeight="false" outlineLevel="0" collapsed="false">
      <c r="A1274" s="42" t="s">
        <v>45</v>
      </c>
      <c r="B1274" s="42" t="n">
        <v>-10</v>
      </c>
      <c r="C1274" s="42" t="n">
        <v>73</v>
      </c>
      <c r="D1274" s="42" t="n">
        <v>74290988</v>
      </c>
      <c r="E1274" s="43" t="n">
        <v>0.746323573609143</v>
      </c>
      <c r="F1274" s="43" t="n">
        <v>0.779488112301882</v>
      </c>
      <c r="G1274" s="43" t="n">
        <v>0.821262464742455</v>
      </c>
      <c r="H1274" s="43" t="n">
        <v>0.82551083799382</v>
      </c>
      <c r="I1274" s="42" t="n">
        <v>1</v>
      </c>
      <c r="J1274" s="42" t="n">
        <v>1</v>
      </c>
      <c r="K1274" s="44" t="str">
        <f aca="false">IF(AND(I1274=1,J1274=1),"两者都跟住",IF(AND(I1274=0,J1274=1),"仅 PC-TBD 跟住",IF(AND(I1274=1,J1274=0),"仅 VIT-LPS 跟住","都没跟住")))</f>
        <v>两者都跟住</v>
      </c>
      <c r="L1274" s="45" t="n">
        <f aca="false">F1274-G1274</f>
        <v>-0.041774352440573</v>
      </c>
      <c r="M1274" s="46" t="n">
        <v>0.2092637</v>
      </c>
      <c r="N1274" s="46" t="n">
        <v>0.1266539</v>
      </c>
      <c r="O1274" s="46" t="n">
        <v>0.2010905</v>
      </c>
      <c r="P1274" s="46" t="n">
        <v>0.4312066</v>
      </c>
      <c r="Q1274" s="46" t="n">
        <v>1.603461</v>
      </c>
      <c r="R1274" s="46" t="n">
        <v>2.3046247</v>
      </c>
      <c r="S1274" s="47" t="n">
        <f aca="false">M1274+N1274+O1274</f>
        <v>0.5370081</v>
      </c>
      <c r="T1274" s="47" t="n">
        <f aca="false">M1274+P1274</f>
        <v>0.6404703</v>
      </c>
    </row>
    <row r="1275" customFormat="false" ht="15" hidden="false" customHeight="false" outlineLevel="0" collapsed="false">
      <c r="A1275" s="42" t="s">
        <v>45</v>
      </c>
      <c r="B1275" s="42" t="n">
        <v>-10</v>
      </c>
      <c r="C1275" s="42" t="n">
        <v>74</v>
      </c>
      <c r="D1275" s="42" t="n">
        <v>74290989</v>
      </c>
      <c r="E1275" s="43" t="n">
        <v>0.768271548457519</v>
      </c>
      <c r="F1275" s="43" t="n">
        <v>0.811606098602908</v>
      </c>
      <c r="G1275" s="43" t="n">
        <v>0.815966755058966</v>
      </c>
      <c r="H1275" s="43" t="n">
        <v>0.826215883233809</v>
      </c>
      <c r="I1275" s="42" t="n">
        <v>1</v>
      </c>
      <c r="J1275" s="42" t="n">
        <v>1</v>
      </c>
      <c r="K1275" s="44" t="str">
        <f aca="false">IF(AND(I1275=1,J1275=1),"两者都跟住",IF(AND(I1275=0,J1275=1),"仅 PC-TBD 跟住",IF(AND(I1275=1,J1275=0),"仅 VIT-LPS 跟住","都没跟住")))</f>
        <v>两者都跟住</v>
      </c>
      <c r="L1275" s="45" t="n">
        <f aca="false">F1275-G1275</f>
        <v>-0.00436065645605799</v>
      </c>
      <c r="M1275" s="46" t="n">
        <v>0.2388315</v>
      </c>
      <c r="N1275" s="46" t="n">
        <v>0.1369419</v>
      </c>
      <c r="O1275" s="46" t="n">
        <v>0.1412978</v>
      </c>
      <c r="P1275" s="46" t="n">
        <v>0.4892774</v>
      </c>
      <c r="Q1275" s="46" t="n">
        <v>2.0570032</v>
      </c>
      <c r="R1275" s="46" t="n">
        <v>2.2249031</v>
      </c>
      <c r="S1275" s="47" t="n">
        <f aca="false">M1275+N1275+O1275</f>
        <v>0.5170712</v>
      </c>
      <c r="T1275" s="47" t="n">
        <f aca="false">M1275+P1275</f>
        <v>0.7281089</v>
      </c>
    </row>
    <row r="1276" customFormat="false" ht="15" hidden="false" customHeight="false" outlineLevel="0" collapsed="false">
      <c r="A1276" s="42" t="s">
        <v>45</v>
      </c>
      <c r="B1276" s="42" t="n">
        <v>-10</v>
      </c>
      <c r="C1276" s="42" t="n">
        <v>75</v>
      </c>
      <c r="D1276" s="42" t="n">
        <v>74290990</v>
      </c>
      <c r="E1276" s="43" t="n">
        <v>0.764688812310948</v>
      </c>
      <c r="F1276" s="43" t="n">
        <v>0.790771629918385</v>
      </c>
      <c r="G1276" s="43" t="n">
        <v>0.816997921712816</v>
      </c>
      <c r="H1276" s="43" t="n">
        <v>0.813840288588452</v>
      </c>
      <c r="I1276" s="42" t="n">
        <v>1</v>
      </c>
      <c r="J1276" s="42" t="n">
        <v>1</v>
      </c>
      <c r="K1276" s="44" t="str">
        <f aca="false">IF(AND(I1276=1,J1276=1),"两者都跟住",IF(AND(I1276=0,J1276=1),"仅 PC-TBD 跟住",IF(AND(I1276=1,J1276=0),"仅 VIT-LPS 跟住","都没跟住")))</f>
        <v>两者都跟住</v>
      </c>
      <c r="L1276" s="45" t="n">
        <f aca="false">F1276-G1276</f>
        <v>-0.026226291794431</v>
      </c>
      <c r="M1276" s="46" t="n">
        <v>0.2348635</v>
      </c>
      <c r="N1276" s="46" t="n">
        <v>0.1048554</v>
      </c>
      <c r="O1276" s="46" t="n">
        <v>0.1749191</v>
      </c>
      <c r="P1276" s="46" t="n">
        <v>0.5492584</v>
      </c>
      <c r="Q1276" s="46" t="n">
        <v>2.129939</v>
      </c>
      <c r="R1276" s="46" t="n">
        <v>2.1536604</v>
      </c>
      <c r="S1276" s="47" t="n">
        <f aca="false">M1276+N1276+O1276</f>
        <v>0.514638</v>
      </c>
      <c r="T1276" s="47" t="n">
        <f aca="false">M1276+P1276</f>
        <v>0.7841219</v>
      </c>
    </row>
    <row r="1277" customFormat="false" ht="15" hidden="false" customHeight="false" outlineLevel="0" collapsed="false">
      <c r="A1277" s="42" t="s">
        <v>45</v>
      </c>
      <c r="B1277" s="42" t="n">
        <v>-10</v>
      </c>
      <c r="C1277" s="42" t="n">
        <v>76</v>
      </c>
      <c r="D1277" s="42" t="n">
        <v>74290991</v>
      </c>
      <c r="E1277" s="43" t="n">
        <v>0.779476391374068</v>
      </c>
      <c r="F1277" s="43" t="n">
        <v>0.801232935520566</v>
      </c>
      <c r="G1277" s="43" t="n">
        <v>0.825177568648172</v>
      </c>
      <c r="H1277" s="43" t="n">
        <v>0.833372581024551</v>
      </c>
      <c r="I1277" s="42" t="n">
        <v>1</v>
      </c>
      <c r="J1277" s="42" t="n">
        <v>1</v>
      </c>
      <c r="K1277" s="44" t="str">
        <f aca="false">IF(AND(I1277=1,J1277=1),"两者都跟住",IF(AND(I1277=0,J1277=1),"仅 PC-TBD 跟住",IF(AND(I1277=1,J1277=0),"仅 VIT-LPS 跟住","都没跟住")))</f>
        <v>两者都跟住</v>
      </c>
      <c r="L1277" s="45" t="n">
        <f aca="false">F1277-G1277</f>
        <v>-0.0239446331276061</v>
      </c>
      <c r="M1277" s="46" t="n">
        <v>0.2487342</v>
      </c>
      <c r="N1277" s="46" t="n">
        <v>0.1261335</v>
      </c>
      <c r="O1277" s="46" t="n">
        <v>0.1968496</v>
      </c>
      <c r="P1277" s="46" t="n">
        <v>0.5972106</v>
      </c>
      <c r="Q1277" s="46" t="n">
        <v>1.963306</v>
      </c>
      <c r="R1277" s="46" t="n">
        <v>2.0867157</v>
      </c>
      <c r="S1277" s="47" t="n">
        <f aca="false">M1277+N1277+O1277</f>
        <v>0.5717173</v>
      </c>
      <c r="T1277" s="47" t="n">
        <f aca="false">M1277+P1277</f>
        <v>0.8459448</v>
      </c>
    </row>
    <row r="1278" customFormat="false" ht="15" hidden="false" customHeight="false" outlineLevel="0" collapsed="false">
      <c r="A1278" s="42" t="s">
        <v>45</v>
      </c>
      <c r="B1278" s="42" t="n">
        <v>-10</v>
      </c>
      <c r="C1278" s="42" t="n">
        <v>77</v>
      </c>
      <c r="D1278" s="42" t="n">
        <v>74290992</v>
      </c>
      <c r="E1278" s="43" t="n">
        <v>0.74819263604838</v>
      </c>
      <c r="F1278" s="43" t="n">
        <v>0.772309624059357</v>
      </c>
      <c r="G1278" s="43" t="n">
        <v>0.823309121562195</v>
      </c>
      <c r="H1278" s="43" t="n">
        <v>0.836181003349025</v>
      </c>
      <c r="I1278" s="42" t="n">
        <v>1</v>
      </c>
      <c r="J1278" s="42" t="n">
        <v>1</v>
      </c>
      <c r="K1278" s="44" t="str">
        <f aca="false">IF(AND(I1278=1,J1278=1),"两者都跟住",IF(AND(I1278=0,J1278=1),"仅 PC-TBD 跟住",IF(AND(I1278=1,J1278=0),"仅 VIT-LPS 跟住","都没跟住")))</f>
        <v>两者都跟住</v>
      </c>
      <c r="L1278" s="45" t="n">
        <f aca="false">F1278-G1278</f>
        <v>-0.0509994975028381</v>
      </c>
      <c r="M1278" s="46" t="n">
        <v>0.1578106</v>
      </c>
      <c r="N1278" s="46" t="n">
        <v>0.1000248</v>
      </c>
      <c r="O1278" s="46" t="n">
        <v>0.1496096</v>
      </c>
      <c r="P1278" s="46" t="n">
        <v>0.4140866</v>
      </c>
      <c r="Q1278" s="46" t="n">
        <v>1.6032362</v>
      </c>
      <c r="R1278" s="46" t="n">
        <v>1.2929675</v>
      </c>
      <c r="S1278" s="47" t="n">
        <f aca="false">M1278+N1278+O1278</f>
        <v>0.407445</v>
      </c>
      <c r="T1278" s="47" t="n">
        <f aca="false">M1278+P1278</f>
        <v>0.5718972</v>
      </c>
    </row>
    <row r="1279" customFormat="false" ht="15" hidden="false" customHeight="false" outlineLevel="0" collapsed="false">
      <c r="A1279" s="42" t="s">
        <v>45</v>
      </c>
      <c r="B1279" s="42" t="n">
        <v>-10</v>
      </c>
      <c r="C1279" s="42" t="n">
        <v>78</v>
      </c>
      <c r="D1279" s="42" t="n">
        <v>74290993</v>
      </c>
      <c r="E1279" s="43" t="n">
        <v>0.70672209473129</v>
      </c>
      <c r="F1279" s="43" t="n">
        <v>0.776547301315515</v>
      </c>
      <c r="G1279" s="43" t="n">
        <v>0.82795687712212</v>
      </c>
      <c r="H1279" s="43" t="n">
        <v>0.823936477884809</v>
      </c>
      <c r="I1279" s="42" t="n">
        <v>1</v>
      </c>
      <c r="J1279" s="42" t="n">
        <v>1</v>
      </c>
      <c r="K1279" s="44" t="str">
        <f aca="false">IF(AND(I1279=1,J1279=1),"两者都跟住",IF(AND(I1279=0,J1279=1),"仅 PC-TBD 跟住",IF(AND(I1279=1,J1279=0),"仅 VIT-LPS 跟住","都没跟住")))</f>
        <v>两者都跟住</v>
      </c>
      <c r="L1279" s="45" t="n">
        <f aca="false">F1279-G1279</f>
        <v>-0.051409575806605</v>
      </c>
      <c r="M1279" s="46" t="n">
        <v>0.1432465</v>
      </c>
      <c r="N1279" s="46" t="n">
        <v>0.1059413</v>
      </c>
      <c r="O1279" s="46" t="n">
        <v>0.1489343</v>
      </c>
      <c r="P1279" s="46" t="n">
        <v>0.4569511</v>
      </c>
      <c r="Q1279" s="46" t="n">
        <v>1.1487753</v>
      </c>
      <c r="R1279" s="46" t="n">
        <v>1.3376691</v>
      </c>
      <c r="S1279" s="47" t="n">
        <f aca="false">M1279+N1279+O1279</f>
        <v>0.3981221</v>
      </c>
      <c r="T1279" s="47" t="n">
        <f aca="false">M1279+P1279</f>
        <v>0.6001976</v>
      </c>
    </row>
    <row r="1280" customFormat="false" ht="15" hidden="false" customHeight="false" outlineLevel="0" collapsed="false">
      <c r="A1280" s="42" t="s">
        <v>45</v>
      </c>
      <c r="B1280" s="42" t="n">
        <v>-10</v>
      </c>
      <c r="C1280" s="42" t="n">
        <v>79</v>
      </c>
      <c r="D1280" s="42" t="n">
        <v>74290994</v>
      </c>
      <c r="E1280" s="43" t="n">
        <v>0.794077662402965</v>
      </c>
      <c r="F1280" s="43" t="n">
        <v>0.814505017105292</v>
      </c>
      <c r="G1280" s="43" t="n">
        <v>0.825937590576514</v>
      </c>
      <c r="H1280" s="43" t="n">
        <v>0.825240430174275</v>
      </c>
      <c r="I1280" s="42" t="n">
        <v>1</v>
      </c>
      <c r="J1280" s="42" t="n">
        <v>1</v>
      </c>
      <c r="K1280" s="44" t="str">
        <f aca="false">IF(AND(I1280=1,J1280=1),"两者都跟住",IF(AND(I1280=0,J1280=1),"仅 PC-TBD 跟住",IF(AND(I1280=1,J1280=0),"仅 VIT-LPS 跟住","都没跟住")))</f>
        <v>两者都跟住</v>
      </c>
      <c r="L1280" s="45" t="n">
        <f aca="false">F1280-G1280</f>
        <v>-0.011432573471222</v>
      </c>
      <c r="M1280" s="46" t="n">
        <v>0.1451731</v>
      </c>
      <c r="N1280" s="46" t="n">
        <v>0.0936605</v>
      </c>
      <c r="O1280" s="46" t="n">
        <v>0.1463843</v>
      </c>
      <c r="P1280" s="46" t="n">
        <v>0.4748885</v>
      </c>
      <c r="Q1280" s="46" t="n">
        <v>1.5068072</v>
      </c>
      <c r="R1280" s="46" t="n">
        <v>1.3138159</v>
      </c>
      <c r="S1280" s="47" t="n">
        <f aca="false">M1280+N1280+O1280</f>
        <v>0.3852179</v>
      </c>
      <c r="T1280" s="47" t="n">
        <f aca="false">M1280+P1280</f>
        <v>0.6200616</v>
      </c>
    </row>
    <row r="1281" customFormat="false" ht="15" hidden="false" customHeight="false" outlineLevel="0" collapsed="false">
      <c r="A1281" s="42" t="s">
        <v>45</v>
      </c>
      <c r="B1281" s="42" t="n">
        <v>-10</v>
      </c>
      <c r="C1281" s="42" t="n">
        <v>80</v>
      </c>
      <c r="D1281" s="42" t="n">
        <v>74290995</v>
      </c>
      <c r="E1281" s="43" t="n">
        <v>0.721424008745013</v>
      </c>
      <c r="F1281" s="43" t="n">
        <v>0.671938606569009</v>
      </c>
      <c r="G1281" s="43" t="n">
        <v>0.810469734081786</v>
      </c>
      <c r="H1281" s="43" t="n">
        <v>0.823856948976792</v>
      </c>
      <c r="I1281" s="42" t="n">
        <v>1</v>
      </c>
      <c r="J1281" s="42" t="n">
        <v>1</v>
      </c>
      <c r="K1281" s="44" t="str">
        <f aca="false">IF(AND(I1281=1,J1281=1),"两者都跟住",IF(AND(I1281=0,J1281=1),"仅 PC-TBD 跟住",IF(AND(I1281=1,J1281=0),"仅 VIT-LPS 跟住","都没跟住")))</f>
        <v>两者都跟住</v>
      </c>
      <c r="L1281" s="45" t="n">
        <f aca="false">F1281-G1281</f>
        <v>-0.138531127512777</v>
      </c>
      <c r="M1281" s="46" t="n">
        <v>0.164267</v>
      </c>
      <c r="N1281" s="46" t="n">
        <v>0.0765761</v>
      </c>
      <c r="O1281" s="46" t="n">
        <v>0.1273477</v>
      </c>
      <c r="P1281" s="46" t="n">
        <v>0.4957106</v>
      </c>
      <c r="Q1281" s="46" t="n">
        <v>1.3122035</v>
      </c>
      <c r="R1281" s="46" t="n">
        <v>1.2224895</v>
      </c>
      <c r="S1281" s="47" t="n">
        <f aca="false">M1281+N1281+O1281</f>
        <v>0.3681908</v>
      </c>
      <c r="T1281" s="47" t="n">
        <f aca="false">M1281+P1281</f>
        <v>0.6599776</v>
      </c>
    </row>
    <row r="1282" customFormat="false" ht="15" hidden="false" customHeight="false" outlineLevel="0" collapsed="false">
      <c r="A1282" s="42" t="s">
        <v>45</v>
      </c>
      <c r="B1282" s="42" t="n">
        <v>-10</v>
      </c>
      <c r="C1282" s="42" t="n">
        <v>81</v>
      </c>
      <c r="D1282" s="42" t="n">
        <v>74290996</v>
      </c>
      <c r="E1282" s="43" t="n">
        <v>0.792363060430616</v>
      </c>
      <c r="F1282" s="43" t="n">
        <v>0.806050230639735</v>
      </c>
      <c r="G1282" s="43" t="n">
        <v>0.822515423308756</v>
      </c>
      <c r="H1282" s="43" t="n">
        <v>0.820477598590089</v>
      </c>
      <c r="I1282" s="42" t="n">
        <v>1</v>
      </c>
      <c r="J1282" s="42" t="n">
        <v>1</v>
      </c>
      <c r="K1282" s="44" t="str">
        <f aca="false">IF(AND(I1282=1,J1282=1),"两者都跟住",IF(AND(I1282=0,J1282=1),"仅 PC-TBD 跟住",IF(AND(I1282=1,J1282=0),"仅 VIT-LPS 跟住","都没跟住")))</f>
        <v>两者都跟住</v>
      </c>
      <c r="L1282" s="45" t="n">
        <f aca="false">F1282-G1282</f>
        <v>-0.016465192669021</v>
      </c>
      <c r="M1282" s="46" t="n">
        <v>0.2451863</v>
      </c>
      <c r="N1282" s="46" t="n">
        <v>0.1251165</v>
      </c>
      <c r="O1282" s="46" t="n">
        <v>0.1687601</v>
      </c>
      <c r="P1282" s="46" t="n">
        <v>0.5193293</v>
      </c>
      <c r="Q1282" s="46" t="n">
        <v>1.9990019</v>
      </c>
      <c r="R1282" s="46" t="n">
        <v>2.1105474</v>
      </c>
      <c r="S1282" s="47" t="n">
        <f aca="false">M1282+N1282+O1282</f>
        <v>0.5390629</v>
      </c>
      <c r="T1282" s="47" t="n">
        <f aca="false">M1282+P1282</f>
        <v>0.7645156</v>
      </c>
    </row>
    <row r="1283" customFormat="false" ht="15" hidden="false" customHeight="false" outlineLevel="0" collapsed="false">
      <c r="A1283" s="42" t="s">
        <v>45</v>
      </c>
      <c r="B1283" s="42" t="n">
        <v>-10</v>
      </c>
      <c r="C1283" s="42" t="n">
        <v>82</v>
      </c>
      <c r="D1283" s="42" t="n">
        <v>74290997</v>
      </c>
      <c r="E1283" s="43" t="n">
        <v>0.778618945446288</v>
      </c>
      <c r="F1283" s="43" t="n">
        <v>0.79964850975334</v>
      </c>
      <c r="G1283" s="43" t="n">
        <v>0.815887162081853</v>
      </c>
      <c r="H1283" s="43" t="n">
        <v>0.814337516941769</v>
      </c>
      <c r="I1283" s="42" t="n">
        <v>1</v>
      </c>
      <c r="J1283" s="42" t="n">
        <v>1</v>
      </c>
      <c r="K1283" s="44" t="str">
        <f aca="false">IF(AND(I1283=1,J1283=1),"两者都跟住",IF(AND(I1283=0,J1283=1),"仅 PC-TBD 跟住",IF(AND(I1283=1,J1283=0),"仅 VIT-LPS 跟住","都没跟住")))</f>
        <v>两者都跟住</v>
      </c>
      <c r="L1283" s="45" t="n">
        <f aca="false">F1283-G1283</f>
        <v>-0.016238652328513</v>
      </c>
      <c r="M1283" s="46" t="n">
        <v>0.2516007</v>
      </c>
      <c r="N1283" s="46" t="n">
        <v>0.1160271</v>
      </c>
      <c r="O1283" s="46" t="n">
        <v>0.191116</v>
      </c>
      <c r="P1283" s="46" t="n">
        <v>0.4463109</v>
      </c>
      <c r="Q1283" s="46" t="n">
        <v>2.2058419</v>
      </c>
      <c r="R1283" s="46" t="n">
        <v>2.2254315</v>
      </c>
      <c r="S1283" s="47" t="n">
        <f aca="false">M1283+N1283+O1283</f>
        <v>0.5587438</v>
      </c>
      <c r="T1283" s="47" t="n">
        <f aca="false">M1283+P1283</f>
        <v>0.6979116</v>
      </c>
    </row>
    <row r="1284" customFormat="false" ht="15" hidden="false" customHeight="false" outlineLevel="0" collapsed="false">
      <c r="A1284" s="42" t="s">
        <v>45</v>
      </c>
      <c r="B1284" s="42" t="n">
        <v>-10</v>
      </c>
      <c r="C1284" s="42" t="n">
        <v>83</v>
      </c>
      <c r="D1284" s="42" t="n">
        <v>74290998</v>
      </c>
      <c r="E1284" s="43" t="n">
        <v>0.73732412524362</v>
      </c>
      <c r="F1284" s="43" t="n">
        <v>0.768641485861351</v>
      </c>
      <c r="G1284" s="43" t="n">
        <v>0.778654547224663</v>
      </c>
      <c r="H1284" s="43" t="n">
        <v>0.796922374605658</v>
      </c>
      <c r="I1284" s="42" t="n">
        <v>1</v>
      </c>
      <c r="J1284" s="42" t="n">
        <v>1</v>
      </c>
      <c r="K1284" s="44" t="str">
        <f aca="false">IF(AND(I1284=1,J1284=1),"两者都跟住",IF(AND(I1284=0,J1284=1),"仅 PC-TBD 跟住",IF(AND(I1284=1,J1284=0),"仅 VIT-LPS 跟住","都没跟住")))</f>
        <v>两者都跟住</v>
      </c>
      <c r="L1284" s="45" t="n">
        <f aca="false">F1284-G1284</f>
        <v>-0.010013061363312</v>
      </c>
      <c r="M1284" s="46" t="n">
        <v>0.2269069</v>
      </c>
      <c r="N1284" s="46" t="n">
        <v>0.1279261</v>
      </c>
      <c r="O1284" s="46" t="n">
        <v>0.1539567</v>
      </c>
      <c r="P1284" s="46" t="n">
        <v>0.5179401</v>
      </c>
      <c r="Q1284" s="46" t="n">
        <v>2.2977794</v>
      </c>
      <c r="R1284" s="46" t="n">
        <v>2.4934422</v>
      </c>
      <c r="S1284" s="47" t="n">
        <f aca="false">M1284+N1284+O1284</f>
        <v>0.5087897</v>
      </c>
      <c r="T1284" s="47" t="n">
        <f aca="false">M1284+P1284</f>
        <v>0.744847</v>
      </c>
    </row>
    <row r="1285" customFormat="false" ht="15" hidden="false" customHeight="false" outlineLevel="0" collapsed="false">
      <c r="A1285" s="42" t="s">
        <v>45</v>
      </c>
      <c r="B1285" s="42" t="n">
        <v>-10</v>
      </c>
      <c r="C1285" s="42" t="n">
        <v>84</v>
      </c>
      <c r="D1285" s="42" t="n">
        <v>74290999</v>
      </c>
      <c r="E1285" s="43" t="n">
        <v>0.738971375611995</v>
      </c>
      <c r="F1285" s="43" t="n">
        <v>0.800364020421102</v>
      </c>
      <c r="G1285" s="43" t="n">
        <v>0.811173801641589</v>
      </c>
      <c r="H1285" s="43" t="n">
        <v>0.813921858933308</v>
      </c>
      <c r="I1285" s="42" t="n">
        <v>1</v>
      </c>
      <c r="J1285" s="42" t="n">
        <v>1</v>
      </c>
      <c r="K1285" s="44" t="str">
        <f aca="false">IF(AND(I1285=1,J1285=1),"两者都跟住",IF(AND(I1285=0,J1285=1),"仅 PC-TBD 跟住",IF(AND(I1285=1,J1285=0),"仅 VIT-LPS 跟住","都没跟住")))</f>
        <v>两者都跟住</v>
      </c>
      <c r="L1285" s="45" t="n">
        <f aca="false">F1285-G1285</f>
        <v>-0.010809781220487</v>
      </c>
      <c r="M1285" s="46" t="n">
        <v>0.1800697</v>
      </c>
      <c r="N1285" s="46" t="n">
        <v>0.1147446</v>
      </c>
      <c r="O1285" s="46" t="n">
        <v>0.2191393</v>
      </c>
      <c r="P1285" s="46" t="n">
        <v>0.598891</v>
      </c>
      <c r="Q1285" s="46" t="n">
        <v>2.0681163</v>
      </c>
      <c r="R1285" s="46" t="n">
        <v>2.2877696</v>
      </c>
      <c r="S1285" s="47" t="n">
        <f aca="false">M1285+N1285+O1285</f>
        <v>0.5139536</v>
      </c>
      <c r="T1285" s="47" t="n">
        <f aca="false">M1285+P1285</f>
        <v>0.7789607</v>
      </c>
    </row>
    <row r="1286" customFormat="false" ht="15" hidden="false" customHeight="false" outlineLevel="0" collapsed="false">
      <c r="A1286" s="42" t="s">
        <v>45</v>
      </c>
      <c r="B1286" s="42" t="n">
        <v>-10</v>
      </c>
      <c r="C1286" s="42" t="n">
        <v>85</v>
      </c>
      <c r="D1286" s="42" t="n">
        <v>74291000</v>
      </c>
      <c r="E1286" s="43" t="n">
        <v>0.761941352243106</v>
      </c>
      <c r="F1286" s="43" t="n">
        <v>0.818262783363079</v>
      </c>
      <c r="G1286" s="43" t="n">
        <v>0.825789521986873</v>
      </c>
      <c r="H1286" s="43" t="n">
        <v>0.834000849620267</v>
      </c>
      <c r="I1286" s="42" t="n">
        <v>1</v>
      </c>
      <c r="J1286" s="42" t="n">
        <v>1</v>
      </c>
      <c r="K1286" s="44" t="str">
        <f aca="false">IF(AND(I1286=1,J1286=1),"两者都跟住",IF(AND(I1286=0,J1286=1),"仅 PC-TBD 跟住",IF(AND(I1286=1,J1286=0),"仅 VIT-LPS 跟住","都没跟住")))</f>
        <v>两者都跟住</v>
      </c>
      <c r="L1286" s="45" t="n">
        <f aca="false">F1286-G1286</f>
        <v>-0.00752673862379405</v>
      </c>
      <c r="M1286" s="46" t="n">
        <v>0.2113585</v>
      </c>
      <c r="N1286" s="46" t="n">
        <v>0.1344041</v>
      </c>
      <c r="O1286" s="46" t="n">
        <v>0.1595819</v>
      </c>
      <c r="P1286" s="46" t="n">
        <v>0.5210125</v>
      </c>
      <c r="Q1286" s="46" t="n">
        <v>2.1333981</v>
      </c>
      <c r="R1286" s="46" t="n">
        <v>2.2576945</v>
      </c>
      <c r="S1286" s="47" t="n">
        <f aca="false">M1286+N1286+O1286</f>
        <v>0.5053445</v>
      </c>
      <c r="T1286" s="47" t="n">
        <f aca="false">M1286+P1286</f>
        <v>0.732371</v>
      </c>
    </row>
    <row r="1287" customFormat="false" ht="15" hidden="false" customHeight="false" outlineLevel="0" collapsed="false">
      <c r="A1287" s="42" t="s">
        <v>45</v>
      </c>
      <c r="B1287" s="42" t="n">
        <v>-10</v>
      </c>
      <c r="C1287" s="42" t="n">
        <v>86</v>
      </c>
      <c r="D1287" s="42" t="n">
        <v>74291001</v>
      </c>
      <c r="E1287" s="43" t="n">
        <v>0.723986606040341</v>
      </c>
      <c r="F1287" s="43" t="n">
        <v>0.780663269223294</v>
      </c>
      <c r="G1287" s="43" t="n">
        <v>0.764644537458344</v>
      </c>
      <c r="H1287" s="43" t="n">
        <v>0.774119338098177</v>
      </c>
      <c r="I1287" s="42" t="n">
        <v>1</v>
      </c>
      <c r="J1287" s="42" t="n">
        <v>1</v>
      </c>
      <c r="K1287" s="44" t="str">
        <f aca="false">IF(AND(I1287=1,J1287=1),"两者都跟住",IF(AND(I1287=0,J1287=1),"仅 PC-TBD 跟住",IF(AND(I1287=1,J1287=0),"仅 VIT-LPS 跟住","都没跟住")))</f>
        <v>两者都跟住</v>
      </c>
      <c r="L1287" s="45" t="n">
        <f aca="false">F1287-G1287</f>
        <v>0.0160187317649499</v>
      </c>
      <c r="M1287" s="46" t="n">
        <v>0.2328651</v>
      </c>
      <c r="N1287" s="46" t="n">
        <v>0.11739</v>
      </c>
      <c r="O1287" s="46" t="n">
        <v>0.1609829</v>
      </c>
      <c r="P1287" s="46" t="n">
        <v>0.5291633</v>
      </c>
      <c r="Q1287" s="46" t="n">
        <v>2.0145751</v>
      </c>
      <c r="R1287" s="46" t="n">
        <v>2.0684044</v>
      </c>
      <c r="S1287" s="47" t="n">
        <f aca="false">M1287+N1287+O1287</f>
        <v>0.511238</v>
      </c>
      <c r="T1287" s="47" t="n">
        <f aca="false">M1287+P1287</f>
        <v>0.7620284</v>
      </c>
    </row>
    <row r="1288" customFormat="false" ht="15" hidden="false" customHeight="false" outlineLevel="0" collapsed="false">
      <c r="A1288" s="42" t="s">
        <v>45</v>
      </c>
      <c r="B1288" s="42" t="n">
        <v>-10</v>
      </c>
      <c r="C1288" s="42" t="n">
        <v>87</v>
      </c>
      <c r="D1288" s="42" t="n">
        <v>74291002</v>
      </c>
      <c r="E1288" s="43" t="n">
        <v>0.746414023422356</v>
      </c>
      <c r="F1288" s="43" t="n">
        <v>0.800270172061342</v>
      </c>
      <c r="G1288" s="43" t="n">
        <v>0.81741797947139</v>
      </c>
      <c r="H1288" s="43" t="n">
        <v>0.829656375611759</v>
      </c>
      <c r="I1288" s="42" t="n">
        <v>1</v>
      </c>
      <c r="J1288" s="42" t="n">
        <v>1</v>
      </c>
      <c r="K1288" s="44" t="str">
        <f aca="false">IF(AND(I1288=1,J1288=1),"两者都跟住",IF(AND(I1288=0,J1288=1),"仅 PC-TBD 跟住",IF(AND(I1288=1,J1288=0),"仅 VIT-LPS 跟住","都没跟住")))</f>
        <v>两者都跟住</v>
      </c>
      <c r="L1288" s="45" t="n">
        <f aca="false">F1288-G1288</f>
        <v>-0.0171478074100481</v>
      </c>
      <c r="M1288" s="46" t="n">
        <v>0.1297533</v>
      </c>
      <c r="N1288" s="46" t="n">
        <v>0.0954366</v>
      </c>
      <c r="O1288" s="46" t="n">
        <v>0.1412943</v>
      </c>
      <c r="P1288" s="46" t="n">
        <v>0.3860293</v>
      </c>
      <c r="Q1288" s="46" t="n">
        <v>1.504916</v>
      </c>
      <c r="R1288" s="46" t="n">
        <v>1.6048391</v>
      </c>
      <c r="S1288" s="47" t="n">
        <f aca="false">M1288+N1288+O1288</f>
        <v>0.3664842</v>
      </c>
      <c r="T1288" s="47" t="n">
        <f aca="false">M1288+P1288</f>
        <v>0.5157826</v>
      </c>
    </row>
    <row r="1289" customFormat="false" ht="15" hidden="false" customHeight="false" outlineLevel="0" collapsed="false">
      <c r="A1289" s="42" t="s">
        <v>45</v>
      </c>
      <c r="B1289" s="42" t="n">
        <v>-10</v>
      </c>
      <c r="C1289" s="42" t="n">
        <v>88</v>
      </c>
      <c r="D1289" s="42" t="n">
        <v>74291003</v>
      </c>
      <c r="E1289" s="43" t="n">
        <v>0.732280096531079</v>
      </c>
      <c r="F1289" s="43" t="n">
        <v>0.775659157646655</v>
      </c>
      <c r="G1289" s="43" t="n">
        <v>0.769015997458023</v>
      </c>
      <c r="H1289" s="43" t="n">
        <v>0.798974595144847</v>
      </c>
      <c r="I1289" s="42" t="n">
        <v>1</v>
      </c>
      <c r="J1289" s="42" t="n">
        <v>1</v>
      </c>
      <c r="K1289" s="44" t="str">
        <f aca="false">IF(AND(I1289=1,J1289=1),"两者都跟住",IF(AND(I1289=0,J1289=1),"仅 PC-TBD 跟住",IF(AND(I1289=1,J1289=0),"仅 VIT-LPS 跟住","都没跟住")))</f>
        <v>两者都跟住</v>
      </c>
      <c r="L1289" s="45" t="n">
        <f aca="false">F1289-G1289</f>
        <v>0.00664316018863209</v>
      </c>
      <c r="M1289" s="46" t="n">
        <v>0.1418989</v>
      </c>
      <c r="N1289" s="46" t="n">
        <v>0.0744279</v>
      </c>
      <c r="O1289" s="46" t="n">
        <v>0.1275829</v>
      </c>
      <c r="P1289" s="46" t="n">
        <v>0.3796933</v>
      </c>
      <c r="Q1289" s="46" t="n">
        <v>1.3132442</v>
      </c>
      <c r="R1289" s="46" t="n">
        <v>1.3947438</v>
      </c>
      <c r="S1289" s="47" t="n">
        <f aca="false">M1289+N1289+O1289</f>
        <v>0.3439097</v>
      </c>
      <c r="T1289" s="47" t="n">
        <f aca="false">M1289+P1289</f>
        <v>0.5215922</v>
      </c>
    </row>
    <row r="1290" customFormat="false" ht="15" hidden="false" customHeight="false" outlineLevel="0" collapsed="false">
      <c r="A1290" s="42" t="s">
        <v>45</v>
      </c>
      <c r="B1290" s="42" t="n">
        <v>-10</v>
      </c>
      <c r="C1290" s="42" t="n">
        <v>89</v>
      </c>
      <c r="D1290" s="42" t="n">
        <v>74291004</v>
      </c>
      <c r="E1290" s="43" t="n">
        <v>0.760088017119159</v>
      </c>
      <c r="F1290" s="43" t="n">
        <v>0.815062778715176</v>
      </c>
      <c r="G1290" s="43" t="n">
        <v>0.824923312405586</v>
      </c>
      <c r="H1290" s="43" t="n">
        <v>0.8404727991251</v>
      </c>
      <c r="I1290" s="42" t="n">
        <v>1</v>
      </c>
      <c r="J1290" s="42" t="n">
        <v>1</v>
      </c>
      <c r="K1290" s="44" t="str">
        <f aca="false">IF(AND(I1290=1,J1290=1),"两者都跟住",IF(AND(I1290=0,J1290=1),"仅 PC-TBD 跟住",IF(AND(I1290=1,J1290=0),"仅 VIT-LPS 跟住","都没跟住")))</f>
        <v>两者都跟住</v>
      </c>
      <c r="L1290" s="45" t="n">
        <f aca="false">F1290-G1290</f>
        <v>-0.00986053369041007</v>
      </c>
      <c r="M1290" s="46" t="n">
        <v>0.1436164</v>
      </c>
      <c r="N1290" s="46" t="n">
        <v>0.0828996</v>
      </c>
      <c r="O1290" s="46" t="n">
        <v>0.1033769</v>
      </c>
      <c r="P1290" s="46" t="n">
        <v>0.3741942</v>
      </c>
      <c r="Q1290" s="46" t="n">
        <v>1.7837271</v>
      </c>
      <c r="R1290" s="46" t="n">
        <v>1.488691</v>
      </c>
      <c r="S1290" s="47" t="n">
        <f aca="false">M1290+N1290+O1290</f>
        <v>0.3298929</v>
      </c>
      <c r="T1290" s="47" t="n">
        <f aca="false">M1290+P1290</f>
        <v>0.5178106</v>
      </c>
    </row>
    <row r="1291" customFormat="false" ht="15" hidden="false" customHeight="false" outlineLevel="0" collapsed="false">
      <c r="A1291" s="42" t="s">
        <v>45</v>
      </c>
      <c r="B1291" s="42" t="n">
        <v>-10</v>
      </c>
      <c r="C1291" s="42" t="n">
        <v>90</v>
      </c>
      <c r="D1291" s="42" t="n">
        <v>74291005</v>
      </c>
      <c r="E1291" s="43" t="n">
        <v>0.733783349995809</v>
      </c>
      <c r="F1291" s="43" t="n">
        <v>0.783200386483109</v>
      </c>
      <c r="G1291" s="43" t="n">
        <v>0.789127813277957</v>
      </c>
      <c r="H1291" s="43" t="n">
        <v>0.799680202042144</v>
      </c>
      <c r="I1291" s="42" t="n">
        <v>1</v>
      </c>
      <c r="J1291" s="42" t="n">
        <v>1</v>
      </c>
      <c r="K1291" s="44" t="str">
        <f aca="false">IF(AND(I1291=1,J1291=1),"两者都跟住",IF(AND(I1291=0,J1291=1),"仅 PC-TBD 跟住",IF(AND(I1291=1,J1291=0),"仅 VIT-LPS 跟住","都没跟住")))</f>
        <v>两者都跟住</v>
      </c>
      <c r="L1291" s="45" t="n">
        <f aca="false">F1291-G1291</f>
        <v>-0.00592742679484803</v>
      </c>
      <c r="M1291" s="46" t="n">
        <v>0.1408021</v>
      </c>
      <c r="N1291" s="46" t="n">
        <v>0.0905056</v>
      </c>
      <c r="O1291" s="46" t="n">
        <v>0.1673373</v>
      </c>
      <c r="P1291" s="46" t="n">
        <v>0.4779137</v>
      </c>
      <c r="Q1291" s="46" t="n">
        <v>1.6539111</v>
      </c>
      <c r="R1291" s="46" t="n">
        <v>1.7093554</v>
      </c>
      <c r="S1291" s="47" t="n">
        <f aca="false">M1291+N1291+O1291</f>
        <v>0.398645</v>
      </c>
      <c r="T1291" s="47" t="n">
        <f aca="false">M1291+P1291</f>
        <v>0.6187158</v>
      </c>
    </row>
    <row r="1292" customFormat="false" ht="15" hidden="false" customHeight="false" outlineLevel="0" collapsed="false">
      <c r="A1292" s="42" t="s">
        <v>45</v>
      </c>
      <c r="B1292" s="42" t="n">
        <v>-10</v>
      </c>
      <c r="C1292" s="42" t="n">
        <v>91</v>
      </c>
      <c r="D1292" s="42" t="n">
        <v>74291006</v>
      </c>
      <c r="E1292" s="43" t="n">
        <v>0.733226468664851</v>
      </c>
      <c r="F1292" s="43" t="n">
        <v>0.786549211698755</v>
      </c>
      <c r="G1292" s="43" t="n">
        <v>0.82648503437386</v>
      </c>
      <c r="H1292" s="43" t="n">
        <v>0.828565549050023</v>
      </c>
      <c r="I1292" s="42" t="n">
        <v>1</v>
      </c>
      <c r="J1292" s="42" t="n">
        <v>1</v>
      </c>
      <c r="K1292" s="44" t="str">
        <f aca="false">IF(AND(I1292=1,J1292=1),"两者都跟住",IF(AND(I1292=0,J1292=1),"仅 PC-TBD 跟住",IF(AND(I1292=1,J1292=0),"仅 VIT-LPS 跟住","都没跟住")))</f>
        <v>两者都跟住</v>
      </c>
      <c r="L1292" s="45" t="n">
        <f aca="false">F1292-G1292</f>
        <v>-0.039935822675105</v>
      </c>
      <c r="M1292" s="46" t="n">
        <v>0.2422305</v>
      </c>
      <c r="N1292" s="46" t="n">
        <v>0.1117375</v>
      </c>
      <c r="O1292" s="46" t="n">
        <v>0.1711145</v>
      </c>
      <c r="P1292" s="46" t="n">
        <v>0.5690657</v>
      </c>
      <c r="Q1292" s="46" t="n">
        <v>1.8091052</v>
      </c>
      <c r="R1292" s="46" t="n">
        <v>1.9331901</v>
      </c>
      <c r="S1292" s="47" t="n">
        <f aca="false">M1292+N1292+O1292</f>
        <v>0.5250825</v>
      </c>
      <c r="T1292" s="47" t="n">
        <f aca="false">M1292+P1292</f>
        <v>0.8112962</v>
      </c>
    </row>
    <row r="1293" customFormat="false" ht="15" hidden="false" customHeight="false" outlineLevel="0" collapsed="false">
      <c r="A1293" s="42" t="s">
        <v>45</v>
      </c>
      <c r="B1293" s="42" t="n">
        <v>-10</v>
      </c>
      <c r="C1293" s="42" t="n">
        <v>92</v>
      </c>
      <c r="D1293" s="42" t="n">
        <v>74291007</v>
      </c>
      <c r="E1293" s="43" t="n">
        <v>0.776888904756352</v>
      </c>
      <c r="F1293" s="43" t="n">
        <v>0.814269519381944</v>
      </c>
      <c r="G1293" s="43" t="n">
        <v>0.787931654702767</v>
      </c>
      <c r="H1293" s="43" t="n">
        <v>0.81484206979465</v>
      </c>
      <c r="I1293" s="42" t="n">
        <v>1</v>
      </c>
      <c r="J1293" s="42" t="n">
        <v>1</v>
      </c>
      <c r="K1293" s="44" t="str">
        <f aca="false">IF(AND(I1293=1,J1293=1),"两者都跟住",IF(AND(I1293=0,J1293=1),"仅 PC-TBD 跟住",IF(AND(I1293=1,J1293=0),"仅 VIT-LPS 跟住","都没跟住")))</f>
        <v>两者都跟住</v>
      </c>
      <c r="L1293" s="45" t="n">
        <f aca="false">F1293-G1293</f>
        <v>0.026337864679177</v>
      </c>
      <c r="M1293" s="46" t="n">
        <v>0.2540712</v>
      </c>
      <c r="N1293" s="46" t="n">
        <v>0.1067103</v>
      </c>
      <c r="O1293" s="46" t="n">
        <v>0.1438944</v>
      </c>
      <c r="P1293" s="46" t="n">
        <v>0.5115929</v>
      </c>
      <c r="Q1293" s="46" t="n">
        <v>2.1731392</v>
      </c>
      <c r="R1293" s="46" t="n">
        <v>2.6540488</v>
      </c>
      <c r="S1293" s="47" t="n">
        <f aca="false">M1293+N1293+O1293</f>
        <v>0.5046759</v>
      </c>
      <c r="T1293" s="47" t="n">
        <f aca="false">M1293+P1293</f>
        <v>0.7656641</v>
      </c>
    </row>
    <row r="1294" customFormat="false" ht="15" hidden="false" customHeight="false" outlineLevel="0" collapsed="false">
      <c r="A1294" s="42" t="s">
        <v>45</v>
      </c>
      <c r="B1294" s="42" t="n">
        <v>-10</v>
      </c>
      <c r="C1294" s="42" t="n">
        <v>93</v>
      </c>
      <c r="D1294" s="42" t="n">
        <v>74291008</v>
      </c>
      <c r="E1294" s="43" t="n">
        <v>0.701631860870097</v>
      </c>
      <c r="F1294" s="43" t="n">
        <v>0.771320862592988</v>
      </c>
      <c r="G1294" s="43" t="n">
        <v>0.801530155907041</v>
      </c>
      <c r="H1294" s="43" t="n">
        <v>0.823259258309046</v>
      </c>
      <c r="I1294" s="42" t="n">
        <v>1</v>
      </c>
      <c r="J1294" s="42" t="n">
        <v>1</v>
      </c>
      <c r="K1294" s="44" t="str">
        <f aca="false">IF(AND(I1294=1,J1294=1),"两者都跟住",IF(AND(I1294=0,J1294=1),"仅 PC-TBD 跟住",IF(AND(I1294=1,J1294=0),"仅 VIT-LPS 跟住","都没跟住")))</f>
        <v>两者都跟住</v>
      </c>
      <c r="L1294" s="45" t="n">
        <f aca="false">F1294-G1294</f>
        <v>-0.030209293314053</v>
      </c>
      <c r="M1294" s="46" t="n">
        <v>0.248086</v>
      </c>
      <c r="N1294" s="46" t="n">
        <v>0.1033654</v>
      </c>
      <c r="O1294" s="46" t="n">
        <v>0.1843663</v>
      </c>
      <c r="P1294" s="46" t="n">
        <v>0.5167377</v>
      </c>
      <c r="Q1294" s="46" t="n">
        <v>2.2123491</v>
      </c>
      <c r="R1294" s="46" t="n">
        <v>2.3513157</v>
      </c>
      <c r="S1294" s="47" t="n">
        <f aca="false">M1294+N1294+O1294</f>
        <v>0.5358177</v>
      </c>
      <c r="T1294" s="47" t="n">
        <f aca="false">M1294+P1294</f>
        <v>0.7648237</v>
      </c>
    </row>
    <row r="1295" customFormat="false" ht="15" hidden="false" customHeight="false" outlineLevel="0" collapsed="false">
      <c r="A1295" s="42" t="s">
        <v>45</v>
      </c>
      <c r="B1295" s="42" t="n">
        <v>-10</v>
      </c>
      <c r="C1295" s="42" t="n">
        <v>94</v>
      </c>
      <c r="D1295" s="42" t="n">
        <v>74291009</v>
      </c>
      <c r="E1295" s="43" t="n">
        <v>0.714717920681804</v>
      </c>
      <c r="F1295" s="43" t="n">
        <v>0.768897726715485</v>
      </c>
      <c r="G1295" s="43" t="n">
        <v>0.819692325724761</v>
      </c>
      <c r="H1295" s="43" t="n">
        <v>0.828526098927161</v>
      </c>
      <c r="I1295" s="42" t="n">
        <v>1</v>
      </c>
      <c r="J1295" s="42" t="n">
        <v>1</v>
      </c>
      <c r="K1295" s="44" t="str">
        <f aca="false">IF(AND(I1295=1,J1295=1),"两者都跟住",IF(AND(I1295=0,J1295=1),"仅 PC-TBD 跟住",IF(AND(I1295=1,J1295=0),"仅 VIT-LPS 跟住","都没跟住")))</f>
        <v>两者都跟住</v>
      </c>
      <c r="L1295" s="45" t="n">
        <f aca="false">F1295-G1295</f>
        <v>-0.0507945990092761</v>
      </c>
      <c r="M1295" s="46" t="n">
        <v>0.2556432</v>
      </c>
      <c r="N1295" s="46" t="n">
        <v>0.1006761</v>
      </c>
      <c r="O1295" s="46" t="n">
        <v>0.1802921</v>
      </c>
      <c r="P1295" s="46" t="n">
        <v>0.4675689</v>
      </c>
      <c r="Q1295" s="46" t="n">
        <v>2.4420811</v>
      </c>
      <c r="R1295" s="46" t="n">
        <v>2.4770382</v>
      </c>
      <c r="S1295" s="47" t="n">
        <f aca="false">M1295+N1295+O1295</f>
        <v>0.5366114</v>
      </c>
      <c r="T1295" s="47" t="n">
        <f aca="false">M1295+P1295</f>
        <v>0.7232121</v>
      </c>
    </row>
    <row r="1296" customFormat="false" ht="15" hidden="false" customHeight="false" outlineLevel="0" collapsed="false">
      <c r="A1296" s="42" t="s">
        <v>45</v>
      </c>
      <c r="B1296" s="42" t="n">
        <v>-10</v>
      </c>
      <c r="C1296" s="42" t="n">
        <v>95</v>
      </c>
      <c r="D1296" s="42" t="n">
        <v>74291010</v>
      </c>
      <c r="E1296" s="43" t="n">
        <v>0.744115310643432</v>
      </c>
      <c r="F1296" s="43" t="n">
        <v>0.811887045791831</v>
      </c>
      <c r="G1296" s="43" t="n">
        <v>0.821770995460671</v>
      </c>
      <c r="H1296" s="43" t="n">
        <v>0.825319514212512</v>
      </c>
      <c r="I1296" s="42" t="n">
        <v>1</v>
      </c>
      <c r="J1296" s="42" t="n">
        <v>1</v>
      </c>
      <c r="K1296" s="44" t="str">
        <f aca="false">IF(AND(I1296=1,J1296=1),"两者都跟住",IF(AND(I1296=0,J1296=1),"仅 PC-TBD 跟住",IF(AND(I1296=1,J1296=0),"仅 VIT-LPS 跟住","都没跟住")))</f>
        <v>两者都跟住</v>
      </c>
      <c r="L1296" s="45" t="n">
        <f aca="false">F1296-G1296</f>
        <v>-0.00988394966883999</v>
      </c>
      <c r="M1296" s="46" t="n">
        <v>0.2479959</v>
      </c>
      <c r="N1296" s="46" t="n">
        <v>0.1138819</v>
      </c>
      <c r="O1296" s="46" t="n">
        <v>0.1836364</v>
      </c>
      <c r="P1296" s="46" t="n">
        <v>0.4534437</v>
      </c>
      <c r="Q1296" s="46" t="n">
        <v>1.9381723</v>
      </c>
      <c r="R1296" s="46" t="n">
        <v>2.2047466</v>
      </c>
      <c r="S1296" s="47" t="n">
        <f aca="false">M1296+N1296+O1296</f>
        <v>0.5455142</v>
      </c>
      <c r="T1296" s="47" t="n">
        <f aca="false">M1296+P1296</f>
        <v>0.7014396</v>
      </c>
    </row>
    <row r="1297" customFormat="false" ht="15" hidden="false" customHeight="false" outlineLevel="0" collapsed="false">
      <c r="A1297" s="42" t="s">
        <v>45</v>
      </c>
      <c r="B1297" s="42" t="n">
        <v>-10</v>
      </c>
      <c r="C1297" s="42" t="n">
        <v>96</v>
      </c>
      <c r="D1297" s="42" t="n">
        <v>74291011</v>
      </c>
      <c r="E1297" s="43" t="n">
        <v>0.735803024536562</v>
      </c>
      <c r="F1297" s="43" t="n">
        <v>0.765679411225847</v>
      </c>
      <c r="G1297" s="43" t="n">
        <v>0.782737677452991</v>
      </c>
      <c r="H1297" s="43" t="n">
        <v>0.796977436270461</v>
      </c>
      <c r="I1297" s="42" t="n">
        <v>1</v>
      </c>
      <c r="J1297" s="42" t="n">
        <v>1</v>
      </c>
      <c r="K1297" s="44" t="str">
        <f aca="false">IF(AND(I1297=1,J1297=1),"两者都跟住",IF(AND(I1297=0,J1297=1),"仅 PC-TBD 跟住",IF(AND(I1297=1,J1297=0),"仅 VIT-LPS 跟住","都没跟住")))</f>
        <v>两者都跟住</v>
      </c>
      <c r="L1297" s="45" t="n">
        <f aca="false">F1297-G1297</f>
        <v>-0.017058266227144</v>
      </c>
      <c r="M1297" s="46" t="n">
        <v>0.2377577</v>
      </c>
      <c r="N1297" s="46" t="n">
        <v>0.1285452</v>
      </c>
      <c r="O1297" s="46" t="n">
        <v>0.1712449</v>
      </c>
      <c r="P1297" s="46" t="n">
        <v>0.4890468</v>
      </c>
      <c r="Q1297" s="46" t="n">
        <v>2.1069034</v>
      </c>
      <c r="R1297" s="46" t="n">
        <v>2.5857717</v>
      </c>
      <c r="S1297" s="47" t="n">
        <f aca="false">M1297+N1297+O1297</f>
        <v>0.5375478</v>
      </c>
      <c r="T1297" s="47" t="n">
        <f aca="false">M1297+P1297</f>
        <v>0.7268045</v>
      </c>
    </row>
    <row r="1298" customFormat="false" ht="15" hidden="false" customHeight="false" outlineLevel="0" collapsed="false">
      <c r="A1298" s="42" t="s">
        <v>45</v>
      </c>
      <c r="B1298" s="42" t="n">
        <v>-10</v>
      </c>
      <c r="C1298" s="42" t="n">
        <v>97</v>
      </c>
      <c r="D1298" s="42" t="n">
        <v>74291012</v>
      </c>
      <c r="E1298" s="43" t="n">
        <v>0.732054964058188</v>
      </c>
      <c r="F1298" s="43" t="n">
        <v>0.797548996971451</v>
      </c>
      <c r="G1298" s="43" t="n">
        <v>0.819364500769694</v>
      </c>
      <c r="H1298" s="43" t="n">
        <v>0.811894672450427</v>
      </c>
      <c r="I1298" s="42" t="n">
        <v>1</v>
      </c>
      <c r="J1298" s="42" t="n">
        <v>1</v>
      </c>
      <c r="K1298" s="44" t="str">
        <f aca="false">IF(AND(I1298=1,J1298=1),"两者都跟住",IF(AND(I1298=0,J1298=1),"仅 PC-TBD 跟住",IF(AND(I1298=1,J1298=0),"仅 VIT-LPS 跟住","都没跟住")))</f>
        <v>两者都跟住</v>
      </c>
      <c r="L1298" s="45" t="n">
        <f aca="false">F1298-G1298</f>
        <v>-0.021815503798243</v>
      </c>
      <c r="M1298" s="46" t="n">
        <v>0.1585198</v>
      </c>
      <c r="N1298" s="46" t="n">
        <v>0.0986212</v>
      </c>
      <c r="O1298" s="46" t="n">
        <v>0.0965655</v>
      </c>
      <c r="P1298" s="46" t="n">
        <v>0.3974332</v>
      </c>
      <c r="Q1298" s="46" t="n">
        <v>1.3876046</v>
      </c>
      <c r="R1298" s="46" t="n">
        <v>1.9027119</v>
      </c>
      <c r="S1298" s="47" t="n">
        <f aca="false">M1298+N1298+O1298</f>
        <v>0.3537065</v>
      </c>
      <c r="T1298" s="47" t="n">
        <f aca="false">M1298+P1298</f>
        <v>0.555953</v>
      </c>
    </row>
    <row r="1299" customFormat="false" ht="15" hidden="false" customHeight="false" outlineLevel="0" collapsed="false">
      <c r="A1299" s="42" t="s">
        <v>45</v>
      </c>
      <c r="B1299" s="42" t="n">
        <v>-10</v>
      </c>
      <c r="C1299" s="42" t="n">
        <v>98</v>
      </c>
      <c r="D1299" s="42" t="n">
        <v>74291013</v>
      </c>
      <c r="E1299" s="43" t="n">
        <v>0.77075791012216</v>
      </c>
      <c r="F1299" s="43" t="n">
        <v>0.807862653741428</v>
      </c>
      <c r="G1299" s="43" t="n">
        <v>0.818253910741313</v>
      </c>
      <c r="H1299" s="43" t="n">
        <v>0.824322990448803</v>
      </c>
      <c r="I1299" s="42" t="n">
        <v>1</v>
      </c>
      <c r="J1299" s="42" t="n">
        <v>1</v>
      </c>
      <c r="K1299" s="44" t="str">
        <f aca="false">IF(AND(I1299=1,J1299=1),"两者都跟住",IF(AND(I1299=0,J1299=1),"仅 PC-TBD 跟住",IF(AND(I1299=1,J1299=0),"仅 VIT-LPS 跟住","都没跟住")))</f>
        <v>两者都跟住</v>
      </c>
      <c r="L1299" s="45" t="n">
        <f aca="false">F1299-G1299</f>
        <v>-0.0103912569998851</v>
      </c>
      <c r="M1299" s="46" t="n">
        <v>0.1787662</v>
      </c>
      <c r="N1299" s="46" t="n">
        <v>0.0985387</v>
      </c>
      <c r="O1299" s="46" t="n">
        <v>0.1877449</v>
      </c>
      <c r="P1299" s="46" t="n">
        <v>0.37854</v>
      </c>
      <c r="Q1299" s="46" t="n">
        <v>1.1703794</v>
      </c>
      <c r="R1299" s="46" t="n">
        <v>1.3641663</v>
      </c>
      <c r="S1299" s="47" t="n">
        <f aca="false">M1299+N1299+O1299</f>
        <v>0.4650498</v>
      </c>
      <c r="T1299" s="47" t="n">
        <f aca="false">M1299+P1299</f>
        <v>0.5573062</v>
      </c>
    </row>
    <row r="1300" customFormat="false" ht="15" hidden="false" customHeight="false" outlineLevel="0" collapsed="false">
      <c r="A1300" s="42" t="s">
        <v>45</v>
      </c>
      <c r="B1300" s="42" t="n">
        <v>-10</v>
      </c>
      <c r="C1300" s="42" t="n">
        <v>99</v>
      </c>
      <c r="D1300" s="42" t="n">
        <v>74291014</v>
      </c>
      <c r="E1300" s="43" t="n">
        <v>0.764650436672545</v>
      </c>
      <c r="F1300" s="43" t="n">
        <v>0.802232472496568</v>
      </c>
      <c r="G1300" s="43" t="n">
        <v>0.827844592722747</v>
      </c>
      <c r="H1300" s="43" t="n">
        <v>0.825856046234734</v>
      </c>
      <c r="I1300" s="42" t="n">
        <v>1</v>
      </c>
      <c r="J1300" s="42" t="n">
        <v>1</v>
      </c>
      <c r="K1300" s="44" t="str">
        <f aca="false">IF(AND(I1300=1,J1300=1),"两者都跟住",IF(AND(I1300=0,J1300=1),"仅 PC-TBD 跟住",IF(AND(I1300=1,J1300=0),"仅 VIT-LPS 跟住","都没跟住")))</f>
        <v>两者都跟住</v>
      </c>
      <c r="L1300" s="45" t="n">
        <f aca="false">F1300-G1300</f>
        <v>-0.025612120226179</v>
      </c>
      <c r="M1300" s="46" t="n">
        <v>0.1421721</v>
      </c>
      <c r="N1300" s="46" t="n">
        <v>0.0993255</v>
      </c>
      <c r="O1300" s="46" t="n">
        <v>0.1089569</v>
      </c>
      <c r="P1300" s="46" t="n">
        <v>0.3802862</v>
      </c>
      <c r="Q1300" s="46" t="n">
        <v>1.5033694</v>
      </c>
      <c r="R1300" s="46" t="n">
        <v>1.4231713</v>
      </c>
      <c r="S1300" s="47" t="n">
        <f aca="false">M1300+N1300+O1300</f>
        <v>0.3504545</v>
      </c>
      <c r="T1300" s="47" t="n">
        <f aca="false">M1300+P1300</f>
        <v>0.5224583</v>
      </c>
    </row>
    <row r="1301" customFormat="false" ht="15" hidden="false" customHeight="false" outlineLevel="0" collapsed="false">
      <c r="A1301" s="42" t="s">
        <v>45</v>
      </c>
      <c r="B1301" s="42" t="n">
        <v>-10</v>
      </c>
      <c r="C1301" s="42" t="n">
        <v>100</v>
      </c>
      <c r="D1301" s="42" t="n">
        <v>74291015</v>
      </c>
      <c r="E1301" s="43" t="n">
        <v>0.714106220755168</v>
      </c>
      <c r="F1301" s="43" t="n">
        <v>0.77805000037948</v>
      </c>
      <c r="G1301" s="43" t="n">
        <v>0.788757113990311</v>
      </c>
      <c r="H1301" s="43" t="n">
        <v>0.812973062870648</v>
      </c>
      <c r="I1301" s="42" t="n">
        <v>1</v>
      </c>
      <c r="J1301" s="42" t="n">
        <v>1</v>
      </c>
      <c r="K1301" s="44" t="str">
        <f aca="false">IF(AND(I1301=1,J1301=1),"两者都跟住",IF(AND(I1301=0,J1301=1),"仅 PC-TBD 跟住",IF(AND(I1301=1,J1301=0),"仅 VIT-LPS 跟住","都没跟住")))</f>
        <v>两者都跟住</v>
      </c>
      <c r="L1301" s="45" t="n">
        <f aca="false">F1301-G1301</f>
        <v>-0.010707113610831</v>
      </c>
      <c r="M1301" s="46" t="n">
        <v>0.1534682</v>
      </c>
      <c r="N1301" s="46" t="n">
        <v>0.0978985</v>
      </c>
      <c r="O1301" s="46" t="n">
        <v>0.1410378</v>
      </c>
      <c r="P1301" s="46" t="n">
        <v>0.4377223</v>
      </c>
      <c r="Q1301" s="46" t="n">
        <v>1.4992719</v>
      </c>
      <c r="R1301" s="46" t="n">
        <v>1.9073733</v>
      </c>
      <c r="S1301" s="47" t="n">
        <f aca="false">M1301+N1301+O1301</f>
        <v>0.3924045</v>
      </c>
      <c r="T1301" s="47" t="n">
        <f aca="false">M1301+P1301</f>
        <v>0.5911905</v>
      </c>
    </row>
    <row r="1302" customFormat="false" ht="15" hidden="false" customHeight="false" outlineLevel="0" collapsed="false">
      <c r="A1302" s="42" t="s">
        <v>45</v>
      </c>
      <c r="B1302" s="42" t="n">
        <v>-8</v>
      </c>
      <c r="C1302" s="42" t="n">
        <v>1</v>
      </c>
      <c r="D1302" s="42" t="n">
        <v>74290916</v>
      </c>
      <c r="E1302" s="43" t="n">
        <v>0.778682593346647</v>
      </c>
      <c r="F1302" s="43" t="n">
        <v>0.81778920047848</v>
      </c>
      <c r="G1302" s="43" t="n">
        <v>0.815910872998878</v>
      </c>
      <c r="H1302" s="43" t="n">
        <v>0.836122738856881</v>
      </c>
      <c r="I1302" s="42" t="n">
        <v>1</v>
      </c>
      <c r="J1302" s="42" t="n">
        <v>1</v>
      </c>
      <c r="K1302" s="44" t="str">
        <f aca="false">IF(AND(I1302=1,J1302=1),"两者都跟住",IF(AND(I1302=0,J1302=1),"仅 PC-TBD 跟住",IF(AND(I1302=1,J1302=0),"仅 VIT-LPS 跟住","都没跟住")))</f>
        <v>两者都跟住</v>
      </c>
      <c r="L1302" s="45" t="n">
        <f aca="false">F1302-G1302</f>
        <v>0.00187832747960204</v>
      </c>
      <c r="M1302" s="46" t="n">
        <v>0.8808035</v>
      </c>
      <c r="N1302" s="46" t="n">
        <v>0.6165989</v>
      </c>
      <c r="O1302" s="46" t="n">
        <v>3.6338433</v>
      </c>
      <c r="P1302" s="46" t="n">
        <v>0.9978376</v>
      </c>
      <c r="Q1302" s="46" t="n">
        <v>3.0469753</v>
      </c>
      <c r="R1302" s="46" t="n">
        <v>1.7920657</v>
      </c>
      <c r="S1302" s="47" t="n">
        <f aca="false">M1302+N1302+O1302</f>
        <v>5.1312457</v>
      </c>
      <c r="T1302" s="47" t="n">
        <f aca="false">M1302+P1302</f>
        <v>1.8786411</v>
      </c>
    </row>
    <row r="1303" customFormat="false" ht="15" hidden="false" customHeight="false" outlineLevel="0" collapsed="false">
      <c r="A1303" s="42" t="s">
        <v>45</v>
      </c>
      <c r="B1303" s="42" t="n">
        <v>-8</v>
      </c>
      <c r="C1303" s="42" t="n">
        <v>2</v>
      </c>
      <c r="D1303" s="42" t="n">
        <v>74290917</v>
      </c>
      <c r="E1303" s="43" t="n">
        <v>0.75508375089506</v>
      </c>
      <c r="F1303" s="43" t="n">
        <v>0.807304576262953</v>
      </c>
      <c r="G1303" s="43" t="n">
        <v>0.818657937558376</v>
      </c>
      <c r="H1303" s="43" t="n">
        <v>0.827968763402286</v>
      </c>
      <c r="I1303" s="42" t="n">
        <v>1</v>
      </c>
      <c r="J1303" s="42" t="n">
        <v>1</v>
      </c>
      <c r="K1303" s="44" t="str">
        <f aca="false">IF(AND(I1303=1,J1303=1),"两者都跟住",IF(AND(I1303=0,J1303=1),"仅 PC-TBD 跟住",IF(AND(I1303=1,J1303=0),"仅 VIT-LPS 跟住","都没跟住")))</f>
        <v>两者都跟住</v>
      </c>
      <c r="L1303" s="45" t="n">
        <f aca="false">F1303-G1303</f>
        <v>-0.011353361295423</v>
      </c>
      <c r="M1303" s="46" t="n">
        <v>0.912723</v>
      </c>
      <c r="N1303" s="46" t="n">
        <v>0.6350327</v>
      </c>
      <c r="O1303" s="46" t="n">
        <v>3.6181298</v>
      </c>
      <c r="P1303" s="46" t="n">
        <v>0.99833</v>
      </c>
      <c r="Q1303" s="46" t="n">
        <v>3.2854798</v>
      </c>
      <c r="R1303" s="46" t="n">
        <v>1.9738975</v>
      </c>
      <c r="S1303" s="47" t="n">
        <f aca="false">M1303+N1303+O1303</f>
        <v>5.1658855</v>
      </c>
      <c r="T1303" s="47" t="n">
        <f aca="false">M1303+P1303</f>
        <v>1.911053</v>
      </c>
    </row>
    <row r="1304" customFormat="false" ht="15" hidden="false" customHeight="false" outlineLevel="0" collapsed="false">
      <c r="A1304" s="42" t="s">
        <v>45</v>
      </c>
      <c r="B1304" s="42" t="n">
        <v>-8</v>
      </c>
      <c r="C1304" s="42" t="n">
        <v>3</v>
      </c>
      <c r="D1304" s="42" t="n">
        <v>74290918</v>
      </c>
      <c r="E1304" s="43" t="n">
        <v>0.781699606111459</v>
      </c>
      <c r="F1304" s="43" t="n">
        <v>0.816008172611266</v>
      </c>
      <c r="G1304" s="43" t="n">
        <v>0.82646371066729</v>
      </c>
      <c r="H1304" s="43" t="n">
        <v>0.824335083394465</v>
      </c>
      <c r="I1304" s="42" t="n">
        <v>1</v>
      </c>
      <c r="J1304" s="42" t="n">
        <v>1</v>
      </c>
      <c r="K1304" s="44" t="str">
        <f aca="false">IF(AND(I1304=1,J1304=1),"两者都跟住",IF(AND(I1304=0,J1304=1),"仅 PC-TBD 跟住",IF(AND(I1304=1,J1304=0),"仅 VIT-LPS 跟住","都没跟住")))</f>
        <v>两者都跟住</v>
      </c>
      <c r="L1304" s="45" t="n">
        <f aca="false">F1304-G1304</f>
        <v>-0.010455538056024</v>
      </c>
      <c r="M1304" s="46" t="n">
        <v>0.8816159</v>
      </c>
      <c r="N1304" s="46" t="n">
        <v>0.6666523</v>
      </c>
      <c r="O1304" s="46" t="n">
        <v>3.593577</v>
      </c>
      <c r="P1304" s="46" t="n">
        <v>1.0875906</v>
      </c>
      <c r="Q1304" s="46" t="n">
        <v>3.3121801</v>
      </c>
      <c r="R1304" s="46" t="n">
        <v>2.1773462</v>
      </c>
      <c r="S1304" s="47" t="n">
        <f aca="false">M1304+N1304+O1304</f>
        <v>5.1418452</v>
      </c>
      <c r="T1304" s="47" t="n">
        <f aca="false">M1304+P1304</f>
        <v>1.9692065</v>
      </c>
    </row>
    <row r="1305" customFormat="false" ht="15" hidden="false" customHeight="false" outlineLevel="0" collapsed="false">
      <c r="A1305" s="42" t="s">
        <v>45</v>
      </c>
      <c r="B1305" s="42" t="n">
        <v>-8</v>
      </c>
      <c r="C1305" s="42" t="n">
        <v>4</v>
      </c>
      <c r="D1305" s="42" t="n">
        <v>74290919</v>
      </c>
      <c r="E1305" s="43" t="n">
        <v>0.795726822779408</v>
      </c>
      <c r="F1305" s="43" t="n">
        <v>0.81702744750103</v>
      </c>
      <c r="G1305" s="43" t="n">
        <v>0.828464722804039</v>
      </c>
      <c r="H1305" s="43" t="n">
        <v>0.824813035518344</v>
      </c>
      <c r="I1305" s="42" t="n">
        <v>1</v>
      </c>
      <c r="J1305" s="42" t="n">
        <v>1</v>
      </c>
      <c r="K1305" s="44" t="str">
        <f aca="false">IF(AND(I1305=1,J1305=1),"两者都跟住",IF(AND(I1305=0,J1305=1),"仅 PC-TBD 跟住",IF(AND(I1305=1,J1305=0),"仅 VIT-LPS 跟住","都没跟住")))</f>
        <v>两者都跟住</v>
      </c>
      <c r="L1305" s="45" t="n">
        <f aca="false">F1305-G1305</f>
        <v>-0.0114372753030091</v>
      </c>
      <c r="M1305" s="46" t="n">
        <v>0.8966277</v>
      </c>
      <c r="N1305" s="46" t="n">
        <v>0.6007447</v>
      </c>
      <c r="O1305" s="46" t="n">
        <v>3.6329384</v>
      </c>
      <c r="P1305" s="46" t="n">
        <v>1.1884996</v>
      </c>
      <c r="Q1305" s="46" t="n">
        <v>3.0194817</v>
      </c>
      <c r="R1305" s="46" t="n">
        <v>1.8311417</v>
      </c>
      <c r="S1305" s="47" t="n">
        <f aca="false">M1305+N1305+O1305</f>
        <v>5.1303108</v>
      </c>
      <c r="T1305" s="47" t="n">
        <f aca="false">M1305+P1305</f>
        <v>2.0851273</v>
      </c>
    </row>
    <row r="1306" customFormat="false" ht="15" hidden="false" customHeight="false" outlineLevel="0" collapsed="false">
      <c r="A1306" s="42" t="s">
        <v>45</v>
      </c>
      <c r="B1306" s="42" t="n">
        <v>-8</v>
      </c>
      <c r="C1306" s="42" t="n">
        <v>5</v>
      </c>
      <c r="D1306" s="42" t="n">
        <v>74290920</v>
      </c>
      <c r="E1306" s="43" t="n">
        <v>0.733747136468178</v>
      </c>
      <c r="F1306" s="43" t="n">
        <v>0.808143378286728</v>
      </c>
      <c r="G1306" s="43" t="n">
        <v>0.81223632007161</v>
      </c>
      <c r="H1306" s="43" t="n">
        <v>0.830412241066884</v>
      </c>
      <c r="I1306" s="42" t="n">
        <v>1</v>
      </c>
      <c r="J1306" s="42" t="n">
        <v>1</v>
      </c>
      <c r="K1306" s="44" t="str">
        <f aca="false">IF(AND(I1306=1,J1306=1),"两者都跟住",IF(AND(I1306=0,J1306=1),"仅 PC-TBD 跟住",IF(AND(I1306=1,J1306=0),"仅 VIT-LPS 跟住","都没跟住")))</f>
        <v>两者都跟住</v>
      </c>
      <c r="L1306" s="45" t="n">
        <f aca="false">F1306-G1306</f>
        <v>-0.00409294178488195</v>
      </c>
      <c r="M1306" s="46" t="n">
        <v>0.9503825</v>
      </c>
      <c r="N1306" s="46" t="n">
        <v>0.5953256</v>
      </c>
      <c r="O1306" s="46" t="n">
        <v>3.5951839</v>
      </c>
      <c r="P1306" s="46" t="n">
        <v>1.2000782</v>
      </c>
      <c r="Q1306" s="46" t="n">
        <v>3.254968</v>
      </c>
      <c r="R1306" s="46" t="n">
        <v>2.0347911</v>
      </c>
      <c r="S1306" s="47" t="n">
        <f aca="false">M1306+N1306+O1306</f>
        <v>5.140892</v>
      </c>
      <c r="T1306" s="47" t="n">
        <f aca="false">M1306+P1306</f>
        <v>2.1504607</v>
      </c>
    </row>
    <row r="1307" customFormat="false" ht="15" hidden="false" customHeight="false" outlineLevel="0" collapsed="false">
      <c r="A1307" s="42" t="s">
        <v>45</v>
      </c>
      <c r="B1307" s="42" t="n">
        <v>-8</v>
      </c>
      <c r="C1307" s="42" t="n">
        <v>6</v>
      </c>
      <c r="D1307" s="42" t="n">
        <v>74290921</v>
      </c>
      <c r="E1307" s="43" t="n">
        <v>0.787327555242507</v>
      </c>
      <c r="F1307" s="43" t="n">
        <v>0.821352702143025</v>
      </c>
      <c r="G1307" s="43" t="n">
        <v>0.828266138986168</v>
      </c>
      <c r="H1307" s="43" t="n">
        <v>0.838251650196265</v>
      </c>
      <c r="I1307" s="42" t="n">
        <v>1</v>
      </c>
      <c r="J1307" s="42" t="n">
        <v>1</v>
      </c>
      <c r="K1307" s="44" t="str">
        <f aca="false">IF(AND(I1307=1,J1307=1),"两者都跟住",IF(AND(I1307=0,J1307=1),"仅 PC-TBD 跟住",IF(AND(I1307=1,J1307=0),"仅 VIT-LPS 跟住","都没跟住")))</f>
        <v>两者都跟住</v>
      </c>
      <c r="L1307" s="45" t="n">
        <f aca="false">F1307-G1307</f>
        <v>-0.00691343684314294</v>
      </c>
      <c r="M1307" s="46" t="n">
        <v>0.9755822</v>
      </c>
      <c r="N1307" s="46" t="n">
        <v>0.5730506</v>
      </c>
      <c r="O1307" s="46" t="n">
        <v>3.594085</v>
      </c>
      <c r="P1307" s="46" t="n">
        <v>1.0277683</v>
      </c>
      <c r="Q1307" s="46" t="n">
        <v>2.886743</v>
      </c>
      <c r="R1307" s="46" t="n">
        <v>1.7441367</v>
      </c>
      <c r="S1307" s="47" t="n">
        <f aca="false">M1307+N1307+O1307</f>
        <v>5.1427178</v>
      </c>
      <c r="T1307" s="47" t="n">
        <f aca="false">M1307+P1307</f>
        <v>2.0033505</v>
      </c>
    </row>
    <row r="1308" customFormat="false" ht="15" hidden="false" customHeight="false" outlineLevel="0" collapsed="false">
      <c r="A1308" s="42" t="s">
        <v>45</v>
      </c>
      <c r="B1308" s="42" t="n">
        <v>-8</v>
      </c>
      <c r="C1308" s="42" t="n">
        <v>7</v>
      </c>
      <c r="D1308" s="42" t="n">
        <v>74290922</v>
      </c>
      <c r="E1308" s="43" t="n">
        <v>0.775886135232585</v>
      </c>
      <c r="F1308" s="43" t="n">
        <v>0.816266913357493</v>
      </c>
      <c r="G1308" s="43" t="n">
        <v>0.822327172563221</v>
      </c>
      <c r="H1308" s="43" t="n">
        <v>0.845315254455655</v>
      </c>
      <c r="I1308" s="42" t="n">
        <v>1</v>
      </c>
      <c r="J1308" s="42" t="n">
        <v>1</v>
      </c>
      <c r="K1308" s="44" t="str">
        <f aca="false">IF(AND(I1308=1,J1308=1),"两者都跟住",IF(AND(I1308=0,J1308=1),"仅 PC-TBD 跟住",IF(AND(I1308=1,J1308=0),"仅 VIT-LPS 跟住","都没跟住")))</f>
        <v>两者都跟住</v>
      </c>
      <c r="L1308" s="45" t="n">
        <f aca="false">F1308-G1308</f>
        <v>-0.00606025920572795</v>
      </c>
      <c r="M1308" s="46" t="n">
        <v>0.1923605</v>
      </c>
      <c r="N1308" s="46" t="n">
        <v>0.136538</v>
      </c>
      <c r="O1308" s="46" t="n">
        <v>0.3325965</v>
      </c>
      <c r="P1308" s="46" t="n">
        <v>0.6499493</v>
      </c>
      <c r="Q1308" s="46" t="n">
        <v>1.3534865</v>
      </c>
      <c r="R1308" s="46" t="n">
        <v>1.6368249</v>
      </c>
      <c r="S1308" s="47" t="n">
        <f aca="false">M1308+N1308+O1308</f>
        <v>0.661495</v>
      </c>
      <c r="T1308" s="47" t="n">
        <f aca="false">M1308+P1308</f>
        <v>0.8423098</v>
      </c>
    </row>
    <row r="1309" customFormat="false" ht="15" hidden="false" customHeight="false" outlineLevel="0" collapsed="false">
      <c r="A1309" s="42" t="s">
        <v>45</v>
      </c>
      <c r="B1309" s="42" t="n">
        <v>-8</v>
      </c>
      <c r="C1309" s="42" t="n">
        <v>8</v>
      </c>
      <c r="D1309" s="42" t="n">
        <v>74290923</v>
      </c>
      <c r="E1309" s="43" t="n">
        <v>0.731340437362234</v>
      </c>
      <c r="F1309" s="43" t="n">
        <v>0.788075067367816</v>
      </c>
      <c r="G1309" s="43" t="n">
        <v>0.794527732365887</v>
      </c>
      <c r="H1309" s="43" t="n">
        <v>0.8139485860305</v>
      </c>
      <c r="I1309" s="42" t="n">
        <v>1</v>
      </c>
      <c r="J1309" s="42" t="n">
        <v>1</v>
      </c>
      <c r="K1309" s="44" t="str">
        <f aca="false">IF(AND(I1309=1,J1309=1),"两者都跟住",IF(AND(I1309=0,J1309=1),"仅 PC-TBD 跟住",IF(AND(I1309=1,J1309=0),"仅 VIT-LPS 跟住","都没跟住")))</f>
        <v>两者都跟住</v>
      </c>
      <c r="L1309" s="45" t="n">
        <f aca="false">F1309-G1309</f>
        <v>-0.00645266499807107</v>
      </c>
      <c r="M1309" s="46" t="n">
        <v>0.2227109</v>
      </c>
      <c r="N1309" s="46" t="n">
        <v>0.1442822</v>
      </c>
      <c r="O1309" s="46" t="n">
        <v>0.2741022</v>
      </c>
      <c r="P1309" s="46" t="n">
        <v>0.5831725</v>
      </c>
      <c r="Q1309" s="46" t="n">
        <v>1.3683401</v>
      </c>
      <c r="R1309" s="46" t="n">
        <v>1.460435</v>
      </c>
      <c r="S1309" s="47" t="n">
        <f aca="false">M1309+N1309+O1309</f>
        <v>0.6410953</v>
      </c>
      <c r="T1309" s="47" t="n">
        <f aca="false">M1309+P1309</f>
        <v>0.8058834</v>
      </c>
    </row>
    <row r="1310" customFormat="false" ht="15" hidden="false" customHeight="false" outlineLevel="0" collapsed="false">
      <c r="A1310" s="42" t="s">
        <v>45</v>
      </c>
      <c r="B1310" s="42" t="n">
        <v>-8</v>
      </c>
      <c r="C1310" s="42" t="n">
        <v>9</v>
      </c>
      <c r="D1310" s="42" t="n">
        <v>74290924</v>
      </c>
      <c r="E1310" s="43" t="n">
        <v>0.787536792646318</v>
      </c>
      <c r="F1310" s="43" t="n">
        <v>0.820544264192648</v>
      </c>
      <c r="G1310" s="43" t="n">
        <v>0.832056871493806</v>
      </c>
      <c r="H1310" s="43" t="n">
        <v>0.834994972639213</v>
      </c>
      <c r="I1310" s="42" t="n">
        <v>1</v>
      </c>
      <c r="J1310" s="42" t="n">
        <v>1</v>
      </c>
      <c r="K1310" s="44" t="str">
        <f aca="false">IF(AND(I1310=1,J1310=1),"两者都跟住",IF(AND(I1310=0,J1310=1),"仅 PC-TBD 跟住",IF(AND(I1310=1,J1310=0),"仅 VIT-LPS 跟住","都没跟住")))</f>
        <v>两者都跟住</v>
      </c>
      <c r="L1310" s="45" t="n">
        <f aca="false">F1310-G1310</f>
        <v>-0.011512607301158</v>
      </c>
      <c r="M1310" s="46" t="n">
        <v>0.2207729</v>
      </c>
      <c r="N1310" s="46" t="n">
        <v>0.1603886</v>
      </c>
      <c r="O1310" s="46" t="n">
        <v>0.2658462</v>
      </c>
      <c r="P1310" s="46" t="n">
        <v>0.5803495</v>
      </c>
      <c r="Q1310" s="46" t="n">
        <v>1.5111336</v>
      </c>
      <c r="R1310" s="46" t="n">
        <v>1.4785653</v>
      </c>
      <c r="S1310" s="47" t="n">
        <f aca="false">M1310+N1310+O1310</f>
        <v>0.6470077</v>
      </c>
      <c r="T1310" s="47" t="n">
        <f aca="false">M1310+P1310</f>
        <v>0.8011224</v>
      </c>
    </row>
    <row r="1311" customFormat="false" ht="15" hidden="false" customHeight="false" outlineLevel="0" collapsed="false">
      <c r="A1311" s="42" t="s">
        <v>45</v>
      </c>
      <c r="B1311" s="42" t="n">
        <v>-8</v>
      </c>
      <c r="C1311" s="42" t="n">
        <v>10</v>
      </c>
      <c r="D1311" s="42" t="n">
        <v>74290925</v>
      </c>
      <c r="E1311" s="43" t="n">
        <v>0.779771992626828</v>
      </c>
      <c r="F1311" s="43" t="n">
        <v>0.807380124212643</v>
      </c>
      <c r="G1311" s="43" t="n">
        <v>0.820318756106968</v>
      </c>
      <c r="H1311" s="43" t="n">
        <v>0.826590538394024</v>
      </c>
      <c r="I1311" s="42" t="n">
        <v>1</v>
      </c>
      <c r="J1311" s="42" t="n">
        <v>1</v>
      </c>
      <c r="K1311" s="44" t="str">
        <f aca="false">IF(AND(I1311=1,J1311=1),"两者都跟住",IF(AND(I1311=0,J1311=1),"仅 PC-TBD 跟住",IF(AND(I1311=1,J1311=0),"仅 VIT-LPS 跟住","都没跟住")))</f>
        <v>两者都跟住</v>
      </c>
      <c r="L1311" s="45" t="n">
        <f aca="false">F1311-G1311</f>
        <v>-0.012938631894325</v>
      </c>
      <c r="M1311" s="46" t="n">
        <v>0.1656974</v>
      </c>
      <c r="N1311" s="46" t="n">
        <v>0.1209769</v>
      </c>
      <c r="O1311" s="46" t="n">
        <v>0.2522316</v>
      </c>
      <c r="P1311" s="46" t="n">
        <v>0.6086766</v>
      </c>
      <c r="Q1311" s="46" t="n">
        <v>1.4496355</v>
      </c>
      <c r="R1311" s="46" t="n">
        <v>1.2791353</v>
      </c>
      <c r="S1311" s="47" t="n">
        <f aca="false">M1311+N1311+O1311</f>
        <v>0.5389059</v>
      </c>
      <c r="T1311" s="47" t="n">
        <f aca="false">M1311+P1311</f>
        <v>0.774374</v>
      </c>
    </row>
    <row r="1312" customFormat="false" ht="15" hidden="false" customHeight="false" outlineLevel="0" collapsed="false">
      <c r="A1312" s="42" t="s">
        <v>45</v>
      </c>
      <c r="B1312" s="42" t="n">
        <v>-8</v>
      </c>
      <c r="C1312" s="42" t="n">
        <v>11</v>
      </c>
      <c r="D1312" s="42" t="n">
        <v>74290926</v>
      </c>
      <c r="E1312" s="43" t="n">
        <v>0.777167986974678</v>
      </c>
      <c r="F1312" s="43" t="n">
        <v>0.81765736990676</v>
      </c>
      <c r="G1312" s="43" t="n">
        <v>0.822489966161317</v>
      </c>
      <c r="H1312" s="43" t="n">
        <v>0.846873797645219</v>
      </c>
      <c r="I1312" s="42" t="n">
        <v>1</v>
      </c>
      <c r="J1312" s="42" t="n">
        <v>1</v>
      </c>
      <c r="K1312" s="44" t="str">
        <f aca="false">IF(AND(I1312=1,J1312=1),"两者都跟住",IF(AND(I1312=0,J1312=1),"仅 PC-TBD 跟住",IF(AND(I1312=1,J1312=0),"仅 VIT-LPS 跟住","都没跟住")))</f>
        <v>两者都跟住</v>
      </c>
      <c r="L1312" s="45" t="n">
        <f aca="false">F1312-G1312</f>
        <v>-0.00483259625455701</v>
      </c>
      <c r="M1312" s="46" t="n">
        <v>0.3068676</v>
      </c>
      <c r="N1312" s="46" t="n">
        <v>0.1542727</v>
      </c>
      <c r="O1312" s="46" t="n">
        <v>0.3444012</v>
      </c>
      <c r="P1312" s="46" t="n">
        <v>0.9505172</v>
      </c>
      <c r="Q1312" s="46" t="n">
        <v>2.0587845</v>
      </c>
      <c r="R1312" s="46" t="n">
        <v>2.0617749</v>
      </c>
      <c r="S1312" s="47" t="n">
        <f aca="false">M1312+N1312+O1312</f>
        <v>0.8055415</v>
      </c>
      <c r="T1312" s="47" t="n">
        <f aca="false">M1312+P1312</f>
        <v>1.2573848</v>
      </c>
    </row>
    <row r="1313" customFormat="false" ht="15" hidden="false" customHeight="false" outlineLevel="0" collapsed="false">
      <c r="A1313" s="42" t="s">
        <v>45</v>
      </c>
      <c r="B1313" s="42" t="n">
        <v>-8</v>
      </c>
      <c r="C1313" s="42" t="n">
        <v>12</v>
      </c>
      <c r="D1313" s="42" t="n">
        <v>74290927</v>
      </c>
      <c r="E1313" s="43" t="n">
        <v>0.777918931858415</v>
      </c>
      <c r="F1313" s="43" t="n">
        <v>0.806203481837198</v>
      </c>
      <c r="G1313" s="43" t="n">
        <v>0.825071383001596</v>
      </c>
      <c r="H1313" s="43" t="n">
        <v>0.830270780561403</v>
      </c>
      <c r="I1313" s="42" t="n">
        <v>1</v>
      </c>
      <c r="J1313" s="42" t="n">
        <v>1</v>
      </c>
      <c r="K1313" s="44" t="str">
        <f aca="false">IF(AND(I1313=1,J1313=1),"两者都跟住",IF(AND(I1313=0,J1313=1),"仅 PC-TBD 跟住",IF(AND(I1313=1,J1313=0),"仅 VIT-LPS 跟住","都没跟住")))</f>
        <v>两者都跟住</v>
      </c>
      <c r="L1313" s="45" t="n">
        <f aca="false">F1313-G1313</f>
        <v>-0.018867901164398</v>
      </c>
      <c r="M1313" s="46" t="n">
        <v>0.2742663</v>
      </c>
      <c r="N1313" s="46" t="n">
        <v>0.1518876</v>
      </c>
      <c r="O1313" s="46" t="n">
        <v>0.2966771</v>
      </c>
      <c r="P1313" s="46" t="n">
        <v>0.7577917</v>
      </c>
      <c r="Q1313" s="46" t="n">
        <v>1.6277095</v>
      </c>
      <c r="R1313" s="46" t="n">
        <v>2.0388567</v>
      </c>
      <c r="S1313" s="47" t="n">
        <f aca="false">M1313+N1313+O1313</f>
        <v>0.722831</v>
      </c>
      <c r="T1313" s="47" t="n">
        <f aca="false">M1313+P1313</f>
        <v>1.032058</v>
      </c>
    </row>
    <row r="1314" customFormat="false" ht="15" hidden="false" customHeight="false" outlineLevel="0" collapsed="false">
      <c r="A1314" s="42" t="s">
        <v>45</v>
      </c>
      <c r="B1314" s="42" t="n">
        <v>-8</v>
      </c>
      <c r="C1314" s="42" t="n">
        <v>13</v>
      </c>
      <c r="D1314" s="42" t="n">
        <v>74290928</v>
      </c>
      <c r="E1314" s="43" t="n">
        <v>0.74213352330317</v>
      </c>
      <c r="F1314" s="43" t="n">
        <v>0.814078325850965</v>
      </c>
      <c r="G1314" s="43" t="n">
        <v>0.819566523909061</v>
      </c>
      <c r="H1314" s="43" t="n">
        <v>0.838783925923151</v>
      </c>
      <c r="I1314" s="42" t="n">
        <v>1</v>
      </c>
      <c r="J1314" s="42" t="n">
        <v>1</v>
      </c>
      <c r="K1314" s="44" t="str">
        <f aca="false">IF(AND(I1314=1,J1314=1),"两者都跟住",IF(AND(I1314=0,J1314=1),"仅 PC-TBD 跟住",IF(AND(I1314=1,J1314=0),"仅 VIT-LPS 跟住","都没跟住")))</f>
        <v>两者都跟住</v>
      </c>
      <c r="L1314" s="45" t="n">
        <f aca="false">F1314-G1314</f>
        <v>-0.00548819805809608</v>
      </c>
      <c r="M1314" s="46" t="n">
        <v>0.2993903</v>
      </c>
      <c r="N1314" s="46" t="n">
        <v>0.1291679</v>
      </c>
      <c r="O1314" s="46" t="n">
        <v>0.3313432</v>
      </c>
      <c r="P1314" s="46" t="n">
        <v>1.0551879</v>
      </c>
      <c r="Q1314" s="46" t="n">
        <v>2.3557489</v>
      </c>
      <c r="R1314" s="46" t="n">
        <v>1.7781396</v>
      </c>
      <c r="S1314" s="47" t="n">
        <f aca="false">M1314+N1314+O1314</f>
        <v>0.7599014</v>
      </c>
      <c r="T1314" s="47" t="n">
        <f aca="false">M1314+P1314</f>
        <v>1.3545782</v>
      </c>
    </row>
    <row r="1315" customFormat="false" ht="15" hidden="false" customHeight="false" outlineLevel="0" collapsed="false">
      <c r="A1315" s="42" t="s">
        <v>45</v>
      </c>
      <c r="B1315" s="42" t="n">
        <v>-8</v>
      </c>
      <c r="C1315" s="42" t="n">
        <v>14</v>
      </c>
      <c r="D1315" s="42" t="n">
        <v>74290929</v>
      </c>
      <c r="E1315" s="43" t="n">
        <v>0.774608662973068</v>
      </c>
      <c r="F1315" s="43" t="n">
        <v>0.815789364701762</v>
      </c>
      <c r="G1315" s="43" t="n">
        <v>0.821259162853814</v>
      </c>
      <c r="H1315" s="43" t="n">
        <v>0.843526639498215</v>
      </c>
      <c r="I1315" s="42" t="n">
        <v>1</v>
      </c>
      <c r="J1315" s="42" t="n">
        <v>1</v>
      </c>
      <c r="K1315" s="44" t="str">
        <f aca="false">IF(AND(I1315=1,J1315=1),"两者都跟住",IF(AND(I1315=0,J1315=1),"仅 PC-TBD 跟住",IF(AND(I1315=1,J1315=0),"仅 VIT-LPS 跟住","都没跟住")))</f>
        <v>两者都跟住</v>
      </c>
      <c r="L1315" s="45" t="n">
        <f aca="false">F1315-G1315</f>
        <v>-0.00546979815205195</v>
      </c>
      <c r="M1315" s="46" t="n">
        <v>0.3099587</v>
      </c>
      <c r="N1315" s="46" t="n">
        <v>0.1653537</v>
      </c>
      <c r="O1315" s="46" t="n">
        <v>0.3003134</v>
      </c>
      <c r="P1315" s="46" t="n">
        <v>1.0393152</v>
      </c>
      <c r="Q1315" s="46" t="n">
        <v>2.5148052</v>
      </c>
      <c r="R1315" s="46" t="n">
        <v>1.7307561</v>
      </c>
      <c r="S1315" s="47" t="n">
        <f aca="false">M1315+N1315+O1315</f>
        <v>0.7756258</v>
      </c>
      <c r="T1315" s="47" t="n">
        <f aca="false">M1315+P1315</f>
        <v>1.3492739</v>
      </c>
    </row>
    <row r="1316" customFormat="false" ht="15" hidden="false" customHeight="false" outlineLevel="0" collapsed="false">
      <c r="A1316" s="42" t="s">
        <v>45</v>
      </c>
      <c r="B1316" s="42" t="n">
        <v>-8</v>
      </c>
      <c r="C1316" s="42" t="n">
        <v>15</v>
      </c>
      <c r="D1316" s="42" t="n">
        <v>74290930</v>
      </c>
      <c r="E1316" s="43" t="n">
        <v>0.775967183089283</v>
      </c>
      <c r="F1316" s="43" t="n">
        <v>0.811140340848297</v>
      </c>
      <c r="G1316" s="43" t="n">
        <v>0.824026600600988</v>
      </c>
      <c r="H1316" s="43" t="n">
        <v>0.838343396481846</v>
      </c>
      <c r="I1316" s="42" t="n">
        <v>1</v>
      </c>
      <c r="J1316" s="42" t="n">
        <v>1</v>
      </c>
      <c r="K1316" s="44" t="str">
        <f aca="false">IF(AND(I1316=1,J1316=1),"两者都跟住",IF(AND(I1316=0,J1316=1),"仅 PC-TBD 跟住",IF(AND(I1316=1,J1316=0),"仅 VIT-LPS 跟住","都没跟住")))</f>
        <v>两者都跟住</v>
      </c>
      <c r="L1316" s="45" t="n">
        <f aca="false">F1316-G1316</f>
        <v>-0.012886259752691</v>
      </c>
      <c r="M1316" s="46" t="n">
        <v>0.3059911</v>
      </c>
      <c r="N1316" s="46" t="n">
        <v>0.1869722</v>
      </c>
      <c r="O1316" s="46" t="n">
        <v>0.39914</v>
      </c>
      <c r="P1316" s="46" t="n">
        <v>0.8888714</v>
      </c>
      <c r="Q1316" s="46" t="n">
        <v>2.2996621</v>
      </c>
      <c r="R1316" s="46" t="n">
        <v>1.8887883</v>
      </c>
      <c r="S1316" s="47" t="n">
        <f aca="false">M1316+N1316+O1316</f>
        <v>0.8921033</v>
      </c>
      <c r="T1316" s="47" t="n">
        <f aca="false">M1316+P1316</f>
        <v>1.1948625</v>
      </c>
    </row>
    <row r="1317" customFormat="false" ht="15" hidden="false" customHeight="false" outlineLevel="0" collapsed="false">
      <c r="A1317" s="42" t="s">
        <v>45</v>
      </c>
      <c r="B1317" s="42" t="n">
        <v>-8</v>
      </c>
      <c r="C1317" s="42" t="n">
        <v>16</v>
      </c>
      <c r="D1317" s="42" t="n">
        <v>74290931</v>
      </c>
      <c r="E1317" s="43" t="n">
        <v>0.778094293722189</v>
      </c>
      <c r="F1317" s="43" t="n">
        <v>0.817736198355636</v>
      </c>
      <c r="G1317" s="43" t="n">
        <v>0.820709934590373</v>
      </c>
      <c r="H1317" s="43" t="n">
        <v>0.839811434329333</v>
      </c>
      <c r="I1317" s="42" t="n">
        <v>1</v>
      </c>
      <c r="J1317" s="42" t="n">
        <v>1</v>
      </c>
      <c r="K1317" s="44" t="str">
        <f aca="false">IF(AND(I1317=1,J1317=1),"两者都跟住",IF(AND(I1317=0,J1317=1),"仅 PC-TBD 跟住",IF(AND(I1317=1,J1317=0),"仅 VIT-LPS 跟住","都没跟住")))</f>
        <v>两者都跟住</v>
      </c>
      <c r="L1317" s="45" t="n">
        <f aca="false">F1317-G1317</f>
        <v>-0.00297373623473696</v>
      </c>
      <c r="M1317" s="46" t="n">
        <v>0.3033456</v>
      </c>
      <c r="N1317" s="46" t="n">
        <v>0.1890305</v>
      </c>
      <c r="O1317" s="46" t="n">
        <v>0.4909198</v>
      </c>
      <c r="P1317" s="46" t="n">
        <v>0.8126484</v>
      </c>
      <c r="Q1317" s="46" t="n">
        <v>1.8863299</v>
      </c>
      <c r="R1317" s="46" t="n">
        <v>2.204754</v>
      </c>
      <c r="S1317" s="47" t="n">
        <f aca="false">M1317+N1317+O1317</f>
        <v>0.9832959</v>
      </c>
      <c r="T1317" s="47" t="n">
        <f aca="false">M1317+P1317</f>
        <v>1.115994</v>
      </c>
    </row>
    <row r="1318" customFormat="false" ht="15" hidden="false" customHeight="false" outlineLevel="0" collapsed="false">
      <c r="A1318" s="42" t="s">
        <v>45</v>
      </c>
      <c r="B1318" s="42" t="n">
        <v>-8</v>
      </c>
      <c r="C1318" s="42" t="n">
        <v>17</v>
      </c>
      <c r="D1318" s="42" t="n">
        <v>74290932</v>
      </c>
      <c r="E1318" s="43" t="n">
        <v>0.970731024462896</v>
      </c>
      <c r="F1318" s="43" t="n">
        <v>0.979156703847928</v>
      </c>
      <c r="G1318" s="43" t="n">
        <v>0.830903955411599</v>
      </c>
      <c r="H1318" s="43" t="n">
        <v>0.83385097318015</v>
      </c>
      <c r="I1318" s="42" t="n">
        <v>1</v>
      </c>
      <c r="J1318" s="42" t="n">
        <v>1</v>
      </c>
      <c r="K1318" s="44" t="str">
        <f aca="false">IF(AND(I1318=1,J1318=1),"两者都跟住",IF(AND(I1318=0,J1318=1),"仅 PC-TBD 跟住",IF(AND(I1318=1,J1318=0),"仅 VIT-LPS 跟住","都没跟住")))</f>
        <v>两者都跟住</v>
      </c>
      <c r="L1318" s="45" t="n">
        <f aca="false">F1318-G1318</f>
        <v>0.148252748436329</v>
      </c>
      <c r="M1318" s="46" t="n">
        <v>0.1385307</v>
      </c>
      <c r="N1318" s="46" t="n">
        <v>0.0884604</v>
      </c>
      <c r="O1318" s="46" t="n">
        <v>0.2459959</v>
      </c>
      <c r="P1318" s="46" t="n">
        <v>0.6135977</v>
      </c>
      <c r="Q1318" s="46" t="n">
        <v>1.5433976</v>
      </c>
      <c r="R1318" s="46" t="n">
        <v>1.4145429</v>
      </c>
      <c r="S1318" s="47" t="n">
        <f aca="false">M1318+N1318+O1318</f>
        <v>0.472987</v>
      </c>
      <c r="T1318" s="47" t="n">
        <f aca="false">M1318+P1318</f>
        <v>0.7521284</v>
      </c>
    </row>
    <row r="1319" customFormat="false" ht="15" hidden="false" customHeight="false" outlineLevel="0" collapsed="false">
      <c r="A1319" s="42" t="s">
        <v>45</v>
      </c>
      <c r="B1319" s="42" t="n">
        <v>-8</v>
      </c>
      <c r="C1319" s="42" t="n">
        <v>18</v>
      </c>
      <c r="D1319" s="42" t="n">
        <v>74290933</v>
      </c>
      <c r="E1319" s="43" t="n">
        <v>0.757898212076909</v>
      </c>
      <c r="F1319" s="43" t="n">
        <v>0.817630158695059</v>
      </c>
      <c r="G1319" s="43" t="n">
        <v>0.821162841886541</v>
      </c>
      <c r="H1319" s="43" t="n">
        <v>0.845516681177013</v>
      </c>
      <c r="I1319" s="42" t="n">
        <v>1</v>
      </c>
      <c r="J1319" s="42" t="n">
        <v>1</v>
      </c>
      <c r="K1319" s="44" t="str">
        <f aca="false">IF(AND(I1319=1,J1319=1),"两者都跟住",IF(AND(I1319=0,J1319=1),"仅 PC-TBD 跟住",IF(AND(I1319=1,J1319=0),"仅 VIT-LPS 跟住","都没跟住")))</f>
        <v>两者都跟住</v>
      </c>
      <c r="L1319" s="45" t="n">
        <f aca="false">F1319-G1319</f>
        <v>-0.00353268319148203</v>
      </c>
      <c r="M1319" s="46" t="n">
        <v>0.1902906</v>
      </c>
      <c r="N1319" s="46" t="n">
        <v>0.1265029</v>
      </c>
      <c r="O1319" s="46" t="n">
        <v>0.2394603</v>
      </c>
      <c r="P1319" s="46" t="n">
        <v>0.7312956</v>
      </c>
      <c r="Q1319" s="46" t="n">
        <v>1.4295697</v>
      </c>
      <c r="R1319" s="46" t="n">
        <v>1.9551025</v>
      </c>
      <c r="S1319" s="47" t="n">
        <f aca="false">M1319+N1319+O1319</f>
        <v>0.5562538</v>
      </c>
      <c r="T1319" s="47" t="n">
        <f aca="false">M1319+P1319</f>
        <v>0.9215862</v>
      </c>
    </row>
    <row r="1320" customFormat="false" ht="15" hidden="false" customHeight="false" outlineLevel="0" collapsed="false">
      <c r="A1320" s="42" t="s">
        <v>45</v>
      </c>
      <c r="B1320" s="42" t="n">
        <v>-8</v>
      </c>
      <c r="C1320" s="42" t="n">
        <v>19</v>
      </c>
      <c r="D1320" s="42" t="n">
        <v>74290934</v>
      </c>
      <c r="E1320" s="43" t="n">
        <v>0.690240262470629</v>
      </c>
      <c r="F1320" s="43" t="n">
        <v>0.789864768575392</v>
      </c>
      <c r="G1320" s="43" t="n">
        <v>0.827087136695237</v>
      </c>
      <c r="H1320" s="43" t="n">
        <v>0.844427411702078</v>
      </c>
      <c r="I1320" s="42" t="n">
        <v>1</v>
      </c>
      <c r="J1320" s="42" t="n">
        <v>1</v>
      </c>
      <c r="K1320" s="44" t="str">
        <f aca="false">IF(AND(I1320=1,J1320=1),"两者都跟住",IF(AND(I1320=0,J1320=1),"仅 PC-TBD 跟住",IF(AND(I1320=1,J1320=0),"仅 VIT-LPS 跟住","都没跟住")))</f>
        <v>两者都跟住</v>
      </c>
      <c r="L1320" s="45" t="n">
        <f aca="false">F1320-G1320</f>
        <v>-0.037222368119845</v>
      </c>
      <c r="M1320" s="46" t="n">
        <v>0.1824764</v>
      </c>
      <c r="N1320" s="46" t="n">
        <v>0.1066127</v>
      </c>
      <c r="O1320" s="46" t="n">
        <v>0.1893721</v>
      </c>
      <c r="P1320" s="46" t="n">
        <v>0.8368253</v>
      </c>
      <c r="Q1320" s="46" t="n">
        <v>1.2304695</v>
      </c>
      <c r="R1320" s="46" t="n">
        <v>1.6447448</v>
      </c>
      <c r="S1320" s="47" t="n">
        <f aca="false">M1320+N1320+O1320</f>
        <v>0.4784612</v>
      </c>
      <c r="T1320" s="47" t="n">
        <f aca="false">M1320+P1320</f>
        <v>1.0193017</v>
      </c>
    </row>
    <row r="1321" customFormat="false" ht="15" hidden="false" customHeight="false" outlineLevel="0" collapsed="false">
      <c r="A1321" s="42" t="s">
        <v>45</v>
      </c>
      <c r="B1321" s="42" t="n">
        <v>-8</v>
      </c>
      <c r="C1321" s="42" t="n">
        <v>20</v>
      </c>
      <c r="D1321" s="42" t="n">
        <v>74290935</v>
      </c>
      <c r="E1321" s="43" t="n">
        <v>0.669425386504879</v>
      </c>
      <c r="F1321" s="43" t="n">
        <v>0.783434229627501</v>
      </c>
      <c r="G1321" s="43" t="n">
        <v>0.784511205027608</v>
      </c>
      <c r="H1321" s="43" t="n">
        <v>0.805097177316501</v>
      </c>
      <c r="I1321" s="42" t="n">
        <v>1</v>
      </c>
      <c r="J1321" s="42" t="n">
        <v>1</v>
      </c>
      <c r="K1321" s="44" t="str">
        <f aca="false">IF(AND(I1321=1,J1321=1),"两者都跟住",IF(AND(I1321=0,J1321=1),"仅 PC-TBD 跟住",IF(AND(I1321=1,J1321=0),"仅 VIT-LPS 跟住","都没跟住")))</f>
        <v>两者都跟住</v>
      </c>
      <c r="L1321" s="45" t="n">
        <f aca="false">F1321-G1321</f>
        <v>-0.00107697540010698</v>
      </c>
      <c r="M1321" s="46" t="n">
        <v>0.2167786</v>
      </c>
      <c r="N1321" s="46" t="n">
        <v>0.114993</v>
      </c>
      <c r="O1321" s="46" t="n">
        <v>0.3298405</v>
      </c>
      <c r="P1321" s="46" t="n">
        <v>0.7073734</v>
      </c>
      <c r="Q1321" s="46" t="n">
        <v>1.6082113</v>
      </c>
      <c r="R1321" s="46" t="n">
        <v>1.7912342</v>
      </c>
      <c r="S1321" s="47" t="n">
        <f aca="false">M1321+N1321+O1321</f>
        <v>0.6616121</v>
      </c>
      <c r="T1321" s="47" t="n">
        <f aca="false">M1321+P1321</f>
        <v>0.924152</v>
      </c>
    </row>
    <row r="1322" customFormat="false" ht="15" hidden="false" customHeight="false" outlineLevel="0" collapsed="false">
      <c r="A1322" s="42" t="s">
        <v>45</v>
      </c>
      <c r="B1322" s="42" t="n">
        <v>-8</v>
      </c>
      <c r="C1322" s="42" t="n">
        <v>21</v>
      </c>
      <c r="D1322" s="42" t="n">
        <v>74290936</v>
      </c>
      <c r="E1322" s="43" t="n">
        <v>0.787130548683661</v>
      </c>
      <c r="F1322" s="43" t="n">
        <v>0.815909522300551</v>
      </c>
      <c r="G1322" s="43" t="n">
        <v>0.829010447881755</v>
      </c>
      <c r="H1322" s="43" t="n">
        <v>0.840426244101551</v>
      </c>
      <c r="I1322" s="42" t="n">
        <v>1</v>
      </c>
      <c r="J1322" s="42" t="n">
        <v>1</v>
      </c>
      <c r="K1322" s="44" t="str">
        <f aca="false">IF(AND(I1322=1,J1322=1),"两者都跟住",IF(AND(I1322=0,J1322=1),"仅 PC-TBD 跟住",IF(AND(I1322=1,J1322=0),"仅 VIT-LPS 跟住","都没跟住")))</f>
        <v>两者都跟住</v>
      </c>
      <c r="L1322" s="45" t="n">
        <f aca="false">F1322-G1322</f>
        <v>-0.013100925581204</v>
      </c>
      <c r="M1322" s="46" t="n">
        <v>0.3262702</v>
      </c>
      <c r="N1322" s="46" t="n">
        <v>0.1264784</v>
      </c>
      <c r="O1322" s="46" t="n">
        <v>0.4568765</v>
      </c>
      <c r="P1322" s="46" t="n">
        <v>1.0537699</v>
      </c>
      <c r="Q1322" s="46" t="n">
        <v>2.0435602</v>
      </c>
      <c r="R1322" s="46" t="n">
        <v>1.8067046</v>
      </c>
      <c r="S1322" s="47" t="n">
        <f aca="false">M1322+N1322+O1322</f>
        <v>0.9096251</v>
      </c>
      <c r="T1322" s="47" t="n">
        <f aca="false">M1322+P1322</f>
        <v>1.3800401</v>
      </c>
    </row>
    <row r="1323" customFormat="false" ht="15" hidden="false" customHeight="false" outlineLevel="0" collapsed="false">
      <c r="A1323" s="42" t="s">
        <v>45</v>
      </c>
      <c r="B1323" s="42" t="n">
        <v>-8</v>
      </c>
      <c r="C1323" s="42" t="n">
        <v>22</v>
      </c>
      <c r="D1323" s="42" t="n">
        <v>74290937</v>
      </c>
      <c r="E1323" s="43" t="n">
        <v>0.793576298128007</v>
      </c>
      <c r="F1323" s="43" t="n">
        <v>0.820543161387166</v>
      </c>
      <c r="G1323" s="43" t="n">
        <v>0.828342345646894</v>
      </c>
      <c r="H1323" s="43" t="n">
        <v>0.836876515169325</v>
      </c>
      <c r="I1323" s="42" t="n">
        <v>1</v>
      </c>
      <c r="J1323" s="42" t="n">
        <v>1</v>
      </c>
      <c r="K1323" s="44" t="str">
        <f aca="false">IF(AND(I1323=1,J1323=1),"两者都跟住",IF(AND(I1323=0,J1323=1),"仅 PC-TBD 跟住",IF(AND(I1323=1,J1323=0),"仅 VIT-LPS 跟住","都没跟住")))</f>
        <v>两者都跟住</v>
      </c>
      <c r="L1323" s="45" t="n">
        <f aca="false">F1323-G1323</f>
        <v>-0.00779918425972803</v>
      </c>
      <c r="M1323" s="46" t="n">
        <v>0.331603</v>
      </c>
      <c r="N1323" s="46" t="n">
        <v>0.1682526</v>
      </c>
      <c r="O1323" s="46" t="n">
        <v>0.7212666</v>
      </c>
      <c r="P1323" s="46" t="n">
        <v>0.9481204</v>
      </c>
      <c r="Q1323" s="46" t="n">
        <v>2.1671501</v>
      </c>
      <c r="R1323" s="46" t="n">
        <v>2.1538402</v>
      </c>
      <c r="S1323" s="47" t="n">
        <f aca="false">M1323+N1323+O1323</f>
        <v>1.2211222</v>
      </c>
      <c r="T1323" s="47" t="n">
        <f aca="false">M1323+P1323</f>
        <v>1.2797234</v>
      </c>
    </row>
    <row r="1324" customFormat="false" ht="15" hidden="false" customHeight="false" outlineLevel="0" collapsed="false">
      <c r="A1324" s="42" t="s">
        <v>45</v>
      </c>
      <c r="B1324" s="42" t="n">
        <v>-8</v>
      </c>
      <c r="C1324" s="42" t="n">
        <v>23</v>
      </c>
      <c r="D1324" s="42" t="n">
        <v>74290938</v>
      </c>
      <c r="E1324" s="43" t="n">
        <v>0.788888451308766</v>
      </c>
      <c r="F1324" s="43" t="n">
        <v>0.821322486389333</v>
      </c>
      <c r="G1324" s="43" t="n">
        <v>0.830618186600403</v>
      </c>
      <c r="H1324" s="43" t="n">
        <v>0.832787599032153</v>
      </c>
      <c r="I1324" s="42" t="n">
        <v>1</v>
      </c>
      <c r="J1324" s="42" t="n">
        <v>1</v>
      </c>
      <c r="K1324" s="44" t="str">
        <f aca="false">IF(AND(I1324=1,J1324=1),"两者都跟住",IF(AND(I1324=0,J1324=1),"仅 PC-TBD 跟住",IF(AND(I1324=1,J1324=0),"仅 VIT-LPS 跟住","都没跟住")))</f>
        <v>两者都跟住</v>
      </c>
      <c r="L1324" s="45" t="n">
        <f aca="false">F1324-G1324</f>
        <v>-0.00929570021106996</v>
      </c>
      <c r="M1324" s="46" t="n">
        <v>0.3335997</v>
      </c>
      <c r="N1324" s="46" t="n">
        <v>0.1577914</v>
      </c>
      <c r="O1324" s="46" t="n">
        <v>0.3280687</v>
      </c>
      <c r="P1324" s="46" t="n">
        <v>1.1424126</v>
      </c>
      <c r="Q1324" s="46" t="n">
        <v>2.3474419</v>
      </c>
      <c r="R1324" s="46" t="n">
        <v>1.9752416</v>
      </c>
      <c r="S1324" s="47" t="n">
        <f aca="false">M1324+N1324+O1324</f>
        <v>0.8194598</v>
      </c>
      <c r="T1324" s="47" t="n">
        <f aca="false">M1324+P1324</f>
        <v>1.4760123</v>
      </c>
    </row>
    <row r="1325" customFormat="false" ht="15" hidden="false" customHeight="false" outlineLevel="0" collapsed="false">
      <c r="A1325" s="42" t="s">
        <v>45</v>
      </c>
      <c r="B1325" s="42" t="n">
        <v>-8</v>
      </c>
      <c r="C1325" s="42" t="n">
        <v>24</v>
      </c>
      <c r="D1325" s="42" t="n">
        <v>74290939</v>
      </c>
      <c r="E1325" s="43" t="n">
        <v>0.787146773418617</v>
      </c>
      <c r="F1325" s="43" t="n">
        <v>0.818968057014043</v>
      </c>
      <c r="G1325" s="43" t="n">
        <v>0.831474600908209</v>
      </c>
      <c r="H1325" s="43" t="n">
        <v>0.848620625311098</v>
      </c>
      <c r="I1325" s="42" t="n">
        <v>1</v>
      </c>
      <c r="J1325" s="42" t="n">
        <v>1</v>
      </c>
      <c r="K1325" s="44" t="str">
        <f aca="false">IF(AND(I1325=1,J1325=1),"两者都跟住",IF(AND(I1325=0,J1325=1),"仅 PC-TBD 跟住",IF(AND(I1325=1,J1325=0),"仅 VIT-LPS 跟住","都没跟住")))</f>
        <v>两者都跟住</v>
      </c>
      <c r="L1325" s="45" t="n">
        <f aca="false">F1325-G1325</f>
        <v>-0.0125065438941661</v>
      </c>
      <c r="M1325" s="46" t="n">
        <v>0.317558</v>
      </c>
      <c r="N1325" s="46" t="n">
        <v>0.1733593</v>
      </c>
      <c r="O1325" s="46" t="n">
        <v>0.7231416</v>
      </c>
      <c r="P1325" s="46" t="n">
        <v>0.9082959</v>
      </c>
      <c r="Q1325" s="46" t="n">
        <v>2.3073254</v>
      </c>
      <c r="R1325" s="46" t="n">
        <v>2.0569309</v>
      </c>
      <c r="S1325" s="47" t="n">
        <f aca="false">M1325+N1325+O1325</f>
        <v>1.2140589</v>
      </c>
      <c r="T1325" s="47" t="n">
        <f aca="false">M1325+P1325</f>
        <v>1.2258539</v>
      </c>
    </row>
    <row r="1326" customFormat="false" ht="15" hidden="false" customHeight="false" outlineLevel="0" collapsed="false">
      <c r="A1326" s="42" t="s">
        <v>45</v>
      </c>
      <c r="B1326" s="42" t="n">
        <v>-8</v>
      </c>
      <c r="C1326" s="42" t="n">
        <v>25</v>
      </c>
      <c r="D1326" s="42" t="n">
        <v>74290940</v>
      </c>
      <c r="E1326" s="43" t="n">
        <v>0.778955666388651</v>
      </c>
      <c r="F1326" s="43" t="n">
        <v>0.817171131596901</v>
      </c>
      <c r="G1326" s="43" t="n">
        <v>0.812972371167458</v>
      </c>
      <c r="H1326" s="43" t="n">
        <v>0.848898178623341</v>
      </c>
      <c r="I1326" s="42" t="n">
        <v>1</v>
      </c>
      <c r="J1326" s="42" t="n">
        <v>1</v>
      </c>
      <c r="K1326" s="44" t="str">
        <f aca="false">IF(AND(I1326=1,J1326=1),"两者都跟住",IF(AND(I1326=0,J1326=1),"仅 PC-TBD 跟住",IF(AND(I1326=1,J1326=0),"仅 VIT-LPS 跟住","都没跟住")))</f>
        <v>两者都跟住</v>
      </c>
      <c r="L1326" s="45" t="n">
        <f aca="false">F1326-G1326</f>
        <v>0.00419876042944301</v>
      </c>
      <c r="M1326" s="46" t="n">
        <v>0.3211355</v>
      </c>
      <c r="N1326" s="46" t="n">
        <v>0.112073</v>
      </c>
      <c r="O1326" s="46" t="n">
        <v>0.4495729</v>
      </c>
      <c r="P1326" s="46" t="n">
        <v>0.969934</v>
      </c>
      <c r="Q1326" s="46" t="n">
        <v>2.1749618</v>
      </c>
      <c r="R1326" s="46" t="n">
        <v>2.264567</v>
      </c>
      <c r="S1326" s="47" t="n">
        <f aca="false">M1326+N1326+O1326</f>
        <v>0.8827814</v>
      </c>
      <c r="T1326" s="47" t="n">
        <f aca="false">M1326+P1326</f>
        <v>1.2910695</v>
      </c>
    </row>
    <row r="1327" customFormat="false" ht="15" hidden="false" customHeight="false" outlineLevel="0" collapsed="false">
      <c r="A1327" s="42" t="s">
        <v>45</v>
      </c>
      <c r="B1327" s="42" t="n">
        <v>-8</v>
      </c>
      <c r="C1327" s="42" t="n">
        <v>26</v>
      </c>
      <c r="D1327" s="42" t="n">
        <v>74290941</v>
      </c>
      <c r="E1327" s="43" t="n">
        <v>0.702807081442734</v>
      </c>
      <c r="F1327" s="43" t="n">
        <v>0.790264249332874</v>
      </c>
      <c r="G1327" s="43" t="n">
        <v>0.820659862889296</v>
      </c>
      <c r="H1327" s="43" t="n">
        <v>0.839921673560462</v>
      </c>
      <c r="I1327" s="42" t="n">
        <v>1</v>
      </c>
      <c r="J1327" s="42" t="n">
        <v>1</v>
      </c>
      <c r="K1327" s="44" t="str">
        <f aca="false">IF(AND(I1327=1,J1327=1),"两者都跟住",IF(AND(I1327=0,J1327=1),"仅 PC-TBD 跟住",IF(AND(I1327=1,J1327=0),"仅 VIT-LPS 跟住","都没跟住")))</f>
        <v>两者都跟住</v>
      </c>
      <c r="L1327" s="45" t="n">
        <f aca="false">F1327-G1327</f>
        <v>-0.0303956135564221</v>
      </c>
      <c r="M1327" s="46" t="n">
        <v>0.3158541</v>
      </c>
      <c r="N1327" s="46" t="n">
        <v>0.1654025</v>
      </c>
      <c r="O1327" s="46" t="n">
        <v>0.5428827</v>
      </c>
      <c r="P1327" s="46" t="n">
        <v>0.8388724</v>
      </c>
      <c r="Q1327" s="46" t="n">
        <v>2.0241044</v>
      </c>
      <c r="R1327" s="46" t="n">
        <v>2.2646744</v>
      </c>
      <c r="S1327" s="47" t="n">
        <f aca="false">M1327+N1327+O1327</f>
        <v>1.0241393</v>
      </c>
      <c r="T1327" s="47" t="n">
        <f aca="false">M1327+P1327</f>
        <v>1.1547265</v>
      </c>
    </row>
    <row r="1328" customFormat="false" ht="15" hidden="false" customHeight="false" outlineLevel="0" collapsed="false">
      <c r="A1328" s="42" t="s">
        <v>45</v>
      </c>
      <c r="B1328" s="42" t="n">
        <v>-8</v>
      </c>
      <c r="C1328" s="42" t="n">
        <v>27</v>
      </c>
      <c r="D1328" s="42" t="n">
        <v>74290942</v>
      </c>
      <c r="E1328" s="43" t="n">
        <v>0.749705552539882</v>
      </c>
      <c r="F1328" s="43" t="n">
        <v>0.809567839909026</v>
      </c>
      <c r="G1328" s="43" t="n">
        <v>0.825828237142287</v>
      </c>
      <c r="H1328" s="43" t="n">
        <v>0.830962634919631</v>
      </c>
      <c r="I1328" s="42" t="n">
        <v>1</v>
      </c>
      <c r="J1328" s="42" t="n">
        <v>1</v>
      </c>
      <c r="K1328" s="44" t="str">
        <f aca="false">IF(AND(I1328=1,J1328=1),"两者都跟住",IF(AND(I1328=0,J1328=1),"仅 PC-TBD 跟住",IF(AND(I1328=1,J1328=0),"仅 VIT-LPS 跟住","都没跟住")))</f>
        <v>两者都跟住</v>
      </c>
      <c r="L1328" s="45" t="n">
        <f aca="false">F1328-G1328</f>
        <v>-0.016260397233261</v>
      </c>
      <c r="M1328" s="46" t="n">
        <v>0.1423149</v>
      </c>
      <c r="N1328" s="46" t="n">
        <v>0.0638844</v>
      </c>
      <c r="O1328" s="46" t="n">
        <v>0.1588679</v>
      </c>
      <c r="P1328" s="46" t="n">
        <v>0.4146626</v>
      </c>
      <c r="Q1328" s="46" t="n">
        <v>1.3207821</v>
      </c>
      <c r="R1328" s="46" t="n">
        <v>1.5202983</v>
      </c>
      <c r="S1328" s="47" t="n">
        <f aca="false">M1328+N1328+O1328</f>
        <v>0.3650672</v>
      </c>
      <c r="T1328" s="47" t="n">
        <f aca="false">M1328+P1328</f>
        <v>0.5569775</v>
      </c>
    </row>
    <row r="1329" customFormat="false" ht="15" hidden="false" customHeight="false" outlineLevel="0" collapsed="false">
      <c r="A1329" s="42" t="s">
        <v>45</v>
      </c>
      <c r="B1329" s="42" t="n">
        <v>-8</v>
      </c>
      <c r="C1329" s="42" t="n">
        <v>28</v>
      </c>
      <c r="D1329" s="42" t="n">
        <v>74290943</v>
      </c>
      <c r="E1329" s="43" t="n">
        <v>0.779484707201867</v>
      </c>
      <c r="F1329" s="43" t="n">
        <v>0.812878307183844</v>
      </c>
      <c r="G1329" s="43" t="n">
        <v>0.821565908976985</v>
      </c>
      <c r="H1329" s="43" t="n">
        <v>0.837831362733031</v>
      </c>
      <c r="I1329" s="42" t="n">
        <v>1</v>
      </c>
      <c r="J1329" s="42" t="n">
        <v>1</v>
      </c>
      <c r="K1329" s="44" t="str">
        <f aca="false">IF(AND(I1329=1,J1329=1),"两者都跟住",IF(AND(I1329=0,J1329=1),"仅 PC-TBD 跟住",IF(AND(I1329=1,J1329=0),"仅 VIT-LPS 跟住","都没跟住")))</f>
        <v>两者都跟住</v>
      </c>
      <c r="L1329" s="45" t="n">
        <f aca="false">F1329-G1329</f>
        <v>-0.00868760179314099</v>
      </c>
      <c r="M1329" s="46" t="n">
        <v>0.1457839</v>
      </c>
      <c r="N1329" s="46" t="n">
        <v>0.1163204</v>
      </c>
      <c r="O1329" s="46" t="n">
        <v>0.1662901</v>
      </c>
      <c r="P1329" s="46" t="n">
        <v>0.4711295</v>
      </c>
      <c r="Q1329" s="46" t="n">
        <v>1.5343929</v>
      </c>
      <c r="R1329" s="46" t="n">
        <v>1.4670924</v>
      </c>
      <c r="S1329" s="47" t="n">
        <f aca="false">M1329+N1329+O1329</f>
        <v>0.4283944</v>
      </c>
      <c r="T1329" s="47" t="n">
        <f aca="false">M1329+P1329</f>
        <v>0.6169134</v>
      </c>
    </row>
    <row r="1330" customFormat="false" ht="15" hidden="false" customHeight="false" outlineLevel="0" collapsed="false">
      <c r="A1330" s="42" t="s">
        <v>45</v>
      </c>
      <c r="B1330" s="42" t="n">
        <v>-8</v>
      </c>
      <c r="C1330" s="42" t="n">
        <v>29</v>
      </c>
      <c r="D1330" s="42" t="n">
        <v>74290944</v>
      </c>
      <c r="E1330" s="43" t="n">
        <v>0.769666004191226</v>
      </c>
      <c r="F1330" s="43" t="n">
        <v>0.809699185151778</v>
      </c>
      <c r="G1330" s="43" t="n">
        <v>0.823597642533342</v>
      </c>
      <c r="H1330" s="43" t="n">
        <v>0.829886191826601</v>
      </c>
      <c r="I1330" s="42" t="n">
        <v>1</v>
      </c>
      <c r="J1330" s="42" t="n">
        <v>1</v>
      </c>
      <c r="K1330" s="44" t="str">
        <f aca="false">IF(AND(I1330=1,J1330=1),"两者都跟住",IF(AND(I1330=0,J1330=1),"仅 PC-TBD 跟住",IF(AND(I1330=1,J1330=0),"仅 VIT-LPS 跟住","都没跟住")))</f>
        <v>两者都跟住</v>
      </c>
      <c r="L1330" s="45" t="n">
        <f aca="false">F1330-G1330</f>
        <v>-0.013898457381564</v>
      </c>
      <c r="M1330" s="46" t="n">
        <v>0.1561072</v>
      </c>
      <c r="N1330" s="46" t="n">
        <v>0.1119516</v>
      </c>
      <c r="O1330" s="46" t="n">
        <v>0.1851202</v>
      </c>
      <c r="P1330" s="46" t="n">
        <v>0.4214195</v>
      </c>
      <c r="Q1330" s="46" t="n">
        <v>1.4415576</v>
      </c>
      <c r="R1330" s="46" t="n">
        <v>1.2256032</v>
      </c>
      <c r="S1330" s="47" t="n">
        <f aca="false">M1330+N1330+O1330</f>
        <v>0.453179</v>
      </c>
      <c r="T1330" s="47" t="n">
        <f aca="false">M1330+P1330</f>
        <v>0.5775267</v>
      </c>
    </row>
    <row r="1331" customFormat="false" ht="15" hidden="false" customHeight="false" outlineLevel="0" collapsed="false">
      <c r="A1331" s="42" t="s">
        <v>45</v>
      </c>
      <c r="B1331" s="42" t="n">
        <v>-8</v>
      </c>
      <c r="C1331" s="42" t="n">
        <v>30</v>
      </c>
      <c r="D1331" s="42" t="n">
        <v>74290945</v>
      </c>
      <c r="E1331" s="43" t="n">
        <v>0.77256422267541</v>
      </c>
      <c r="F1331" s="43" t="n">
        <v>0.814989580832804</v>
      </c>
      <c r="G1331" s="43" t="n">
        <v>0.819776976943702</v>
      </c>
      <c r="H1331" s="43" t="n">
        <v>0.844079465751565</v>
      </c>
      <c r="I1331" s="42" t="n">
        <v>1</v>
      </c>
      <c r="J1331" s="42" t="n">
        <v>1</v>
      </c>
      <c r="K1331" s="44" t="str">
        <f aca="false">IF(AND(I1331=1,J1331=1),"两者都跟住",IF(AND(I1331=0,J1331=1),"仅 PC-TBD 跟住",IF(AND(I1331=1,J1331=0),"仅 VIT-LPS 跟住","都没跟住")))</f>
        <v>两者都跟住</v>
      </c>
      <c r="L1331" s="45" t="n">
        <f aca="false">F1331-G1331</f>
        <v>-0.00478739611089796</v>
      </c>
      <c r="M1331" s="46" t="n">
        <v>0.1888133</v>
      </c>
      <c r="N1331" s="46" t="n">
        <v>0.1353739</v>
      </c>
      <c r="O1331" s="46" t="n">
        <v>0.2723958</v>
      </c>
      <c r="P1331" s="46" t="n">
        <v>0.5305151</v>
      </c>
      <c r="Q1331" s="46" t="n">
        <v>1.4826303</v>
      </c>
      <c r="R1331" s="46" t="n">
        <v>1.5597839</v>
      </c>
      <c r="S1331" s="47" t="n">
        <f aca="false">M1331+N1331+O1331</f>
        <v>0.596583</v>
      </c>
      <c r="T1331" s="47" t="n">
        <f aca="false">M1331+P1331</f>
        <v>0.7193284</v>
      </c>
    </row>
    <row r="1332" customFormat="false" ht="15" hidden="false" customHeight="false" outlineLevel="0" collapsed="false">
      <c r="A1332" s="42" t="s">
        <v>45</v>
      </c>
      <c r="B1332" s="42" t="n">
        <v>-8</v>
      </c>
      <c r="C1332" s="42" t="n">
        <v>31</v>
      </c>
      <c r="D1332" s="42" t="n">
        <v>74290946</v>
      </c>
      <c r="E1332" s="43" t="n">
        <v>0.756682457897219</v>
      </c>
      <c r="F1332" s="43" t="n">
        <v>0.787027457845558</v>
      </c>
      <c r="G1332" s="43" t="n">
        <v>0.829357151431062</v>
      </c>
      <c r="H1332" s="43" t="n">
        <v>0.841383639946976</v>
      </c>
      <c r="I1332" s="42" t="n">
        <v>1</v>
      </c>
      <c r="J1332" s="42" t="n">
        <v>1</v>
      </c>
      <c r="K1332" s="44" t="str">
        <f aca="false">IF(AND(I1332=1,J1332=1),"两者都跟住",IF(AND(I1332=0,J1332=1),"仅 PC-TBD 跟住",IF(AND(I1332=1,J1332=0),"仅 VIT-LPS 跟住","都没跟住")))</f>
        <v>两者都跟住</v>
      </c>
      <c r="L1332" s="45" t="n">
        <f aca="false">F1332-G1332</f>
        <v>-0.042329693585504</v>
      </c>
      <c r="M1332" s="46" t="n">
        <v>0.1687025</v>
      </c>
      <c r="N1332" s="46" t="n">
        <v>0.1249713</v>
      </c>
      <c r="O1332" s="46" t="n">
        <v>0.1808713</v>
      </c>
      <c r="P1332" s="46" t="n">
        <v>0.7623534</v>
      </c>
      <c r="Q1332" s="46" t="n">
        <v>1.7823767</v>
      </c>
      <c r="R1332" s="46" t="n">
        <v>2.2156498</v>
      </c>
      <c r="S1332" s="47" t="n">
        <f aca="false">M1332+N1332+O1332</f>
        <v>0.4745451</v>
      </c>
      <c r="T1332" s="47" t="n">
        <f aca="false">M1332+P1332</f>
        <v>0.9310559</v>
      </c>
    </row>
    <row r="1333" customFormat="false" ht="15" hidden="false" customHeight="false" outlineLevel="0" collapsed="false">
      <c r="A1333" s="42" t="s">
        <v>45</v>
      </c>
      <c r="B1333" s="42" t="n">
        <v>-8</v>
      </c>
      <c r="C1333" s="42" t="n">
        <v>32</v>
      </c>
      <c r="D1333" s="42" t="n">
        <v>74290947</v>
      </c>
      <c r="E1333" s="43" t="n">
        <v>0.791868162667562</v>
      </c>
      <c r="F1333" s="43" t="n">
        <v>0.818499686396491</v>
      </c>
      <c r="G1333" s="43" t="n">
        <v>0.8257732097906</v>
      </c>
      <c r="H1333" s="43" t="n">
        <v>0.833680560298541</v>
      </c>
      <c r="I1333" s="42" t="n">
        <v>1</v>
      </c>
      <c r="J1333" s="42" t="n">
        <v>1</v>
      </c>
      <c r="K1333" s="44" t="str">
        <f aca="false">IF(AND(I1333=1,J1333=1),"两者都跟住",IF(AND(I1333=0,J1333=1),"仅 PC-TBD 跟住",IF(AND(I1333=1,J1333=0),"仅 VIT-LPS 跟住","都没跟住")))</f>
        <v>两者都跟住</v>
      </c>
      <c r="L1333" s="45" t="n">
        <f aca="false">F1333-G1333</f>
        <v>-0.00727352339410903</v>
      </c>
      <c r="M1333" s="46" t="n">
        <v>0.1871601</v>
      </c>
      <c r="N1333" s="46" t="n">
        <v>0.145586</v>
      </c>
      <c r="O1333" s="46" t="n">
        <v>0.2109058</v>
      </c>
      <c r="P1333" s="46" t="n">
        <v>0.6866928</v>
      </c>
      <c r="Q1333" s="46" t="n">
        <v>2.1693902</v>
      </c>
      <c r="R1333" s="46" t="n">
        <v>2.1079249</v>
      </c>
      <c r="S1333" s="47" t="n">
        <f aca="false">M1333+N1333+O1333</f>
        <v>0.5436519</v>
      </c>
      <c r="T1333" s="47" t="n">
        <f aca="false">M1333+P1333</f>
        <v>0.8738529</v>
      </c>
    </row>
    <row r="1334" customFormat="false" ht="15" hidden="false" customHeight="false" outlineLevel="0" collapsed="false">
      <c r="A1334" s="42" t="s">
        <v>45</v>
      </c>
      <c r="B1334" s="42" t="n">
        <v>-8</v>
      </c>
      <c r="C1334" s="42" t="n">
        <v>33</v>
      </c>
      <c r="D1334" s="42" t="n">
        <v>74290948</v>
      </c>
      <c r="E1334" s="43" t="n">
        <v>0.745835811090974</v>
      </c>
      <c r="F1334" s="43" t="n">
        <v>0.816612056087647</v>
      </c>
      <c r="G1334" s="43" t="n">
        <v>0.817635439563608</v>
      </c>
      <c r="H1334" s="43" t="n">
        <v>0.835866083195552</v>
      </c>
      <c r="I1334" s="42" t="n">
        <v>1</v>
      </c>
      <c r="J1334" s="42" t="n">
        <v>1</v>
      </c>
      <c r="K1334" s="44" t="str">
        <f aca="false">IF(AND(I1334=1,J1334=1),"两者都跟住",IF(AND(I1334=0,J1334=1),"仅 PC-TBD 跟住",IF(AND(I1334=1,J1334=0),"仅 VIT-LPS 跟住","都没跟住")))</f>
        <v>两者都跟住</v>
      </c>
      <c r="L1334" s="45" t="n">
        <f aca="false">F1334-G1334</f>
        <v>-0.00102338347596098</v>
      </c>
      <c r="M1334" s="46" t="n">
        <v>0.2057374</v>
      </c>
      <c r="N1334" s="46" t="n">
        <v>0.1373962</v>
      </c>
      <c r="O1334" s="46" t="n">
        <v>0.3703126</v>
      </c>
      <c r="P1334" s="46" t="n">
        <v>0.7305675</v>
      </c>
      <c r="Q1334" s="46" t="n">
        <v>2.0167306</v>
      </c>
      <c r="R1334" s="46" t="n">
        <v>2.0952168</v>
      </c>
      <c r="S1334" s="47" t="n">
        <f aca="false">M1334+N1334+O1334</f>
        <v>0.7134462</v>
      </c>
      <c r="T1334" s="47" t="n">
        <f aca="false">M1334+P1334</f>
        <v>0.9363049</v>
      </c>
    </row>
    <row r="1335" customFormat="false" ht="15" hidden="false" customHeight="false" outlineLevel="0" collapsed="false">
      <c r="A1335" s="42" t="s">
        <v>45</v>
      </c>
      <c r="B1335" s="42" t="n">
        <v>-8</v>
      </c>
      <c r="C1335" s="42" t="n">
        <v>34</v>
      </c>
      <c r="D1335" s="42" t="n">
        <v>74290949</v>
      </c>
      <c r="E1335" s="43" t="n">
        <v>0.704261024525472</v>
      </c>
      <c r="F1335" s="43" t="n">
        <v>0.777359473883989</v>
      </c>
      <c r="G1335" s="43" t="n">
        <v>0.828984150841676</v>
      </c>
      <c r="H1335" s="43" t="n">
        <v>0.839213759945627</v>
      </c>
      <c r="I1335" s="42" t="n">
        <v>1</v>
      </c>
      <c r="J1335" s="42" t="n">
        <v>1</v>
      </c>
      <c r="K1335" s="44" t="str">
        <f aca="false">IF(AND(I1335=1,J1335=1),"两者都跟住",IF(AND(I1335=0,J1335=1),"仅 PC-TBD 跟住",IF(AND(I1335=1,J1335=0),"仅 VIT-LPS 跟住","都没跟住")))</f>
        <v>两者都跟住</v>
      </c>
      <c r="L1335" s="45" t="n">
        <f aca="false">F1335-G1335</f>
        <v>-0.051624676957687</v>
      </c>
      <c r="M1335" s="46" t="n">
        <v>0.2048874</v>
      </c>
      <c r="N1335" s="46" t="n">
        <v>0.1125654</v>
      </c>
      <c r="O1335" s="46" t="n">
        <v>0.1506201</v>
      </c>
      <c r="P1335" s="46" t="n">
        <v>0.8036366</v>
      </c>
      <c r="Q1335" s="46" t="n">
        <v>1.7087722</v>
      </c>
      <c r="R1335" s="46" t="n">
        <v>1.8880232</v>
      </c>
      <c r="S1335" s="47" t="n">
        <f aca="false">M1335+N1335+O1335</f>
        <v>0.4680729</v>
      </c>
      <c r="T1335" s="47" t="n">
        <f aca="false">M1335+P1335</f>
        <v>1.008524</v>
      </c>
    </row>
    <row r="1336" customFormat="false" ht="15" hidden="false" customHeight="false" outlineLevel="0" collapsed="false">
      <c r="A1336" s="42" t="s">
        <v>45</v>
      </c>
      <c r="B1336" s="42" t="n">
        <v>-8</v>
      </c>
      <c r="C1336" s="42" t="n">
        <v>35</v>
      </c>
      <c r="D1336" s="42" t="n">
        <v>74290950</v>
      </c>
      <c r="E1336" s="43" t="n">
        <v>0.765453177363399</v>
      </c>
      <c r="F1336" s="43" t="n">
        <v>0.820550022669997</v>
      </c>
      <c r="G1336" s="43" t="n">
        <v>0.824840466612082</v>
      </c>
      <c r="H1336" s="43" t="n">
        <v>0.843426233551159</v>
      </c>
      <c r="I1336" s="42" t="n">
        <v>1</v>
      </c>
      <c r="J1336" s="42" t="n">
        <v>1</v>
      </c>
      <c r="K1336" s="44" t="str">
        <f aca="false">IF(AND(I1336=1,J1336=1),"两者都跟住",IF(AND(I1336=0,J1336=1),"仅 PC-TBD 跟住",IF(AND(I1336=1,J1336=0),"仅 VIT-LPS 跟住","都没跟住")))</f>
        <v>两者都跟住</v>
      </c>
      <c r="L1336" s="45" t="n">
        <f aca="false">F1336-G1336</f>
        <v>-0.004290443942085</v>
      </c>
      <c r="M1336" s="46" t="n">
        <v>0.2183283</v>
      </c>
      <c r="N1336" s="46" t="n">
        <v>0.112882</v>
      </c>
      <c r="O1336" s="46" t="n">
        <v>0.1908022</v>
      </c>
      <c r="P1336" s="46" t="n">
        <v>0.6957786</v>
      </c>
      <c r="Q1336" s="46" t="n">
        <v>1.9111836</v>
      </c>
      <c r="R1336" s="46" t="n">
        <v>1.7749716</v>
      </c>
      <c r="S1336" s="47" t="n">
        <f aca="false">M1336+N1336+O1336</f>
        <v>0.5220125</v>
      </c>
      <c r="T1336" s="47" t="n">
        <f aca="false">M1336+P1336</f>
        <v>0.9141069</v>
      </c>
    </row>
    <row r="1337" customFormat="false" ht="15" hidden="false" customHeight="false" outlineLevel="0" collapsed="false">
      <c r="A1337" s="42" t="s">
        <v>45</v>
      </c>
      <c r="B1337" s="42" t="n">
        <v>-8</v>
      </c>
      <c r="C1337" s="42" t="n">
        <v>36</v>
      </c>
      <c r="D1337" s="42" t="n">
        <v>74290951</v>
      </c>
      <c r="E1337" s="43" t="n">
        <v>0.717582728098073</v>
      </c>
      <c r="F1337" s="43" t="n">
        <v>0.782434428156544</v>
      </c>
      <c r="G1337" s="43" t="n">
        <v>0.823514831108068</v>
      </c>
      <c r="H1337" s="43" t="n">
        <v>0.848873967123168</v>
      </c>
      <c r="I1337" s="42" t="n">
        <v>1</v>
      </c>
      <c r="J1337" s="42" t="n">
        <v>1</v>
      </c>
      <c r="K1337" s="44" t="str">
        <f aca="false">IF(AND(I1337=1,J1337=1),"两者都跟住",IF(AND(I1337=0,J1337=1),"仅 PC-TBD 跟住",IF(AND(I1337=1,J1337=0),"仅 VIT-LPS 跟住","都没跟住")))</f>
        <v>两者都跟住</v>
      </c>
      <c r="L1337" s="45" t="n">
        <f aca="false">F1337-G1337</f>
        <v>-0.041080402951524</v>
      </c>
      <c r="M1337" s="46" t="n">
        <v>0.2161494</v>
      </c>
      <c r="N1337" s="46" t="n">
        <v>0.1281941</v>
      </c>
      <c r="O1337" s="46" t="n">
        <v>0.2987711</v>
      </c>
      <c r="P1337" s="46" t="n">
        <v>0.6041468</v>
      </c>
      <c r="Q1337" s="46" t="n">
        <v>1.9854408</v>
      </c>
      <c r="R1337" s="46" t="n">
        <v>2.2049708</v>
      </c>
      <c r="S1337" s="47" t="n">
        <f aca="false">M1337+N1337+O1337</f>
        <v>0.6431146</v>
      </c>
      <c r="T1337" s="47" t="n">
        <f aca="false">M1337+P1337</f>
        <v>0.8202962</v>
      </c>
    </row>
    <row r="1338" customFormat="false" ht="15" hidden="false" customHeight="false" outlineLevel="0" collapsed="false">
      <c r="A1338" s="42" t="s">
        <v>45</v>
      </c>
      <c r="B1338" s="42" t="n">
        <v>-8</v>
      </c>
      <c r="C1338" s="42" t="n">
        <v>37</v>
      </c>
      <c r="D1338" s="42" t="n">
        <v>74290952</v>
      </c>
      <c r="E1338" s="43" t="n">
        <v>0.716958586029039</v>
      </c>
      <c r="F1338" s="43" t="n">
        <v>0.784862167207618</v>
      </c>
      <c r="G1338" s="43" t="n">
        <v>0.775915532161398</v>
      </c>
      <c r="H1338" s="43" t="n">
        <v>0.799738200695587</v>
      </c>
      <c r="I1338" s="42" t="n">
        <v>1</v>
      </c>
      <c r="J1338" s="42" t="n">
        <v>1</v>
      </c>
      <c r="K1338" s="44" t="str">
        <f aca="false">IF(AND(I1338=1,J1338=1),"两者都跟住",IF(AND(I1338=0,J1338=1),"仅 PC-TBD 跟住",IF(AND(I1338=1,J1338=0),"仅 VIT-LPS 跟住","都没跟住")))</f>
        <v>两者都跟住</v>
      </c>
      <c r="L1338" s="45" t="n">
        <f aca="false">F1338-G1338</f>
        <v>0.00894663504622006</v>
      </c>
      <c r="M1338" s="46" t="n">
        <v>0.1297275</v>
      </c>
      <c r="N1338" s="46" t="n">
        <v>0.077133</v>
      </c>
      <c r="O1338" s="46" t="n">
        <v>0.1687849</v>
      </c>
      <c r="P1338" s="46" t="n">
        <v>0.4239806</v>
      </c>
      <c r="Q1338" s="46" t="n">
        <v>1.2934144</v>
      </c>
      <c r="R1338" s="46" t="n">
        <v>1.3496907</v>
      </c>
      <c r="S1338" s="47" t="n">
        <f aca="false">M1338+N1338+O1338</f>
        <v>0.3756454</v>
      </c>
      <c r="T1338" s="47" t="n">
        <f aca="false">M1338+P1338</f>
        <v>0.5537081</v>
      </c>
    </row>
    <row r="1339" customFormat="false" ht="15" hidden="false" customHeight="false" outlineLevel="0" collapsed="false">
      <c r="A1339" s="42" t="s">
        <v>45</v>
      </c>
      <c r="B1339" s="42" t="n">
        <v>-8</v>
      </c>
      <c r="C1339" s="42" t="n">
        <v>38</v>
      </c>
      <c r="D1339" s="42" t="n">
        <v>74290953</v>
      </c>
      <c r="E1339" s="43" t="n">
        <v>0.776597736578301</v>
      </c>
      <c r="F1339" s="43" t="n">
        <v>0.812871500658692</v>
      </c>
      <c r="G1339" s="43" t="n">
        <v>0.784098289744572</v>
      </c>
      <c r="H1339" s="43" t="n">
        <v>0.80243066394487</v>
      </c>
      <c r="I1339" s="42" t="n">
        <v>1</v>
      </c>
      <c r="J1339" s="42" t="n">
        <v>1</v>
      </c>
      <c r="K1339" s="44" t="str">
        <f aca="false">IF(AND(I1339=1,J1339=1),"两者都跟住",IF(AND(I1339=0,J1339=1),"仅 PC-TBD 跟住",IF(AND(I1339=1,J1339=0),"仅 VIT-LPS 跟住","都没跟住")))</f>
        <v>两者都跟住</v>
      </c>
      <c r="L1339" s="45" t="n">
        <f aca="false">F1339-G1339</f>
        <v>0.02877321091412</v>
      </c>
      <c r="M1339" s="46" t="n">
        <v>0.1418998</v>
      </c>
      <c r="N1339" s="46" t="n">
        <v>0.0965928</v>
      </c>
      <c r="O1339" s="46" t="n">
        <v>0.1370562</v>
      </c>
      <c r="P1339" s="46" t="n">
        <v>0.533277</v>
      </c>
      <c r="Q1339" s="46" t="n">
        <v>1.5318584</v>
      </c>
      <c r="R1339" s="46" t="n">
        <v>1.472703</v>
      </c>
      <c r="S1339" s="47" t="n">
        <f aca="false">M1339+N1339+O1339</f>
        <v>0.3755488</v>
      </c>
      <c r="T1339" s="47" t="n">
        <f aca="false">M1339+P1339</f>
        <v>0.6751768</v>
      </c>
    </row>
    <row r="1340" customFormat="false" ht="15" hidden="false" customHeight="false" outlineLevel="0" collapsed="false">
      <c r="A1340" s="42" t="s">
        <v>45</v>
      </c>
      <c r="B1340" s="42" t="n">
        <v>-8</v>
      </c>
      <c r="C1340" s="42" t="n">
        <v>39</v>
      </c>
      <c r="D1340" s="42" t="n">
        <v>74290954</v>
      </c>
      <c r="E1340" s="43" t="n">
        <v>0.742340185963167</v>
      </c>
      <c r="F1340" s="43" t="n">
        <v>0.812384057089962</v>
      </c>
      <c r="G1340" s="43" t="n">
        <v>0.826392697162928</v>
      </c>
      <c r="H1340" s="43" t="n">
        <v>0.834822895943047</v>
      </c>
      <c r="I1340" s="42" t="n">
        <v>1</v>
      </c>
      <c r="J1340" s="42" t="n">
        <v>1</v>
      </c>
      <c r="K1340" s="44" t="str">
        <f aca="false">IF(AND(I1340=1,J1340=1),"两者都跟住",IF(AND(I1340=0,J1340=1),"仅 PC-TBD 跟住",IF(AND(I1340=1,J1340=0),"仅 VIT-LPS 跟住","都没跟住")))</f>
        <v>两者都跟住</v>
      </c>
      <c r="L1340" s="45" t="n">
        <f aca="false">F1340-G1340</f>
        <v>-0.014008640072966</v>
      </c>
      <c r="M1340" s="46" t="n">
        <v>0.1597896</v>
      </c>
      <c r="N1340" s="46" t="n">
        <v>0.1115312</v>
      </c>
      <c r="O1340" s="46" t="n">
        <v>0.1785883</v>
      </c>
      <c r="P1340" s="46" t="n">
        <v>0.3565732</v>
      </c>
      <c r="Q1340" s="46" t="n">
        <v>1.6492829</v>
      </c>
      <c r="R1340" s="46" t="n">
        <v>1.5710526</v>
      </c>
      <c r="S1340" s="47" t="n">
        <f aca="false">M1340+N1340+O1340</f>
        <v>0.4499091</v>
      </c>
      <c r="T1340" s="47" t="n">
        <f aca="false">M1340+P1340</f>
        <v>0.5163628</v>
      </c>
    </row>
    <row r="1341" customFormat="false" ht="15" hidden="false" customHeight="false" outlineLevel="0" collapsed="false">
      <c r="A1341" s="42" t="s">
        <v>45</v>
      </c>
      <c r="B1341" s="42" t="n">
        <v>-8</v>
      </c>
      <c r="C1341" s="42" t="n">
        <v>40</v>
      </c>
      <c r="D1341" s="42" t="n">
        <v>74290955</v>
      </c>
      <c r="E1341" s="43" t="n">
        <v>0.753235674666833</v>
      </c>
      <c r="F1341" s="43" t="n">
        <v>0.818739899596069</v>
      </c>
      <c r="G1341" s="43" t="n">
        <v>0.831986854155406</v>
      </c>
      <c r="H1341" s="43" t="n">
        <v>0.835501878806988</v>
      </c>
      <c r="I1341" s="42" t="n">
        <v>1</v>
      </c>
      <c r="J1341" s="42" t="n">
        <v>1</v>
      </c>
      <c r="K1341" s="44" t="str">
        <f aca="false">IF(AND(I1341=1,J1341=1),"两者都跟住",IF(AND(I1341=0,J1341=1),"仅 PC-TBD 跟住",IF(AND(I1341=1,J1341=0),"仅 VIT-LPS 跟住","都没跟住")))</f>
        <v>两者都跟住</v>
      </c>
      <c r="L1341" s="45" t="n">
        <f aca="false">F1341-G1341</f>
        <v>-0.013246954559337</v>
      </c>
      <c r="M1341" s="46" t="n">
        <v>0.1556863</v>
      </c>
      <c r="N1341" s="46" t="n">
        <v>0.0961797</v>
      </c>
      <c r="O1341" s="46" t="n">
        <v>0.1482688</v>
      </c>
      <c r="P1341" s="46" t="n">
        <v>0.4263237</v>
      </c>
      <c r="Q1341" s="46" t="n">
        <v>1.3208378</v>
      </c>
      <c r="R1341" s="46" t="n">
        <v>1.4718115</v>
      </c>
      <c r="S1341" s="47" t="n">
        <f aca="false">M1341+N1341+O1341</f>
        <v>0.4001348</v>
      </c>
      <c r="T1341" s="47" t="n">
        <f aca="false">M1341+P1341</f>
        <v>0.58201</v>
      </c>
    </row>
    <row r="1342" customFormat="false" ht="15" hidden="false" customHeight="false" outlineLevel="0" collapsed="false">
      <c r="A1342" s="42" t="s">
        <v>45</v>
      </c>
      <c r="B1342" s="42" t="n">
        <v>-8</v>
      </c>
      <c r="C1342" s="42" t="n">
        <v>41</v>
      </c>
      <c r="D1342" s="42" t="n">
        <v>74290956</v>
      </c>
      <c r="E1342" s="43" t="n">
        <v>0.714214489361135</v>
      </c>
      <c r="F1342" s="43" t="n">
        <v>0.775769835154098</v>
      </c>
      <c r="G1342" s="43" t="n">
        <v>0.785771222747945</v>
      </c>
      <c r="H1342" s="43" t="n">
        <v>0.810936374625246</v>
      </c>
      <c r="I1342" s="42" t="n">
        <v>1</v>
      </c>
      <c r="J1342" s="42" t="n">
        <v>1</v>
      </c>
      <c r="K1342" s="44" t="str">
        <f aca="false">IF(AND(I1342=1,J1342=1),"两者都跟住",IF(AND(I1342=0,J1342=1),"仅 PC-TBD 跟住",IF(AND(I1342=1,J1342=0),"仅 VIT-LPS 跟住","都没跟住")))</f>
        <v>两者都跟住</v>
      </c>
      <c r="L1342" s="45" t="n">
        <f aca="false">F1342-G1342</f>
        <v>-0.0100013875938469</v>
      </c>
      <c r="M1342" s="46" t="n">
        <v>0.2129071</v>
      </c>
      <c r="N1342" s="46" t="n">
        <v>0.1291482</v>
      </c>
      <c r="O1342" s="46" t="n">
        <v>0.1724574</v>
      </c>
      <c r="P1342" s="46" t="n">
        <v>0.6414571</v>
      </c>
      <c r="Q1342" s="46" t="n">
        <v>2.1414115</v>
      </c>
      <c r="R1342" s="46" t="n">
        <v>1.9676247</v>
      </c>
      <c r="S1342" s="47" t="n">
        <f aca="false">M1342+N1342+O1342</f>
        <v>0.5145127</v>
      </c>
      <c r="T1342" s="47" t="n">
        <f aca="false">M1342+P1342</f>
        <v>0.8543642</v>
      </c>
    </row>
    <row r="1343" customFormat="false" ht="15" hidden="false" customHeight="false" outlineLevel="0" collapsed="false">
      <c r="A1343" s="42" t="s">
        <v>45</v>
      </c>
      <c r="B1343" s="42" t="n">
        <v>-8</v>
      </c>
      <c r="C1343" s="42" t="n">
        <v>42</v>
      </c>
      <c r="D1343" s="42" t="n">
        <v>74290957</v>
      </c>
      <c r="E1343" s="43" t="n">
        <v>0.775722040111906</v>
      </c>
      <c r="F1343" s="43" t="n">
        <v>0.814269610817871</v>
      </c>
      <c r="G1343" s="43" t="n">
        <v>0.799618611259627</v>
      </c>
      <c r="H1343" s="43" t="n">
        <v>0.82337114785301</v>
      </c>
      <c r="I1343" s="42" t="n">
        <v>1</v>
      </c>
      <c r="J1343" s="42" t="n">
        <v>1</v>
      </c>
      <c r="K1343" s="44" t="str">
        <f aca="false">IF(AND(I1343=1,J1343=1),"两者都跟住",IF(AND(I1343=0,J1343=1),"仅 PC-TBD 跟住",IF(AND(I1343=1,J1343=0),"仅 VIT-LPS 跟住","都没跟住")))</f>
        <v>两者都跟住</v>
      </c>
      <c r="L1343" s="45" t="n">
        <f aca="false">F1343-G1343</f>
        <v>0.014650999558244</v>
      </c>
      <c r="M1343" s="46" t="n">
        <v>0.2146235</v>
      </c>
      <c r="N1343" s="46" t="n">
        <v>0.104159</v>
      </c>
      <c r="O1343" s="46" t="n">
        <v>0.1778233</v>
      </c>
      <c r="P1343" s="46" t="n">
        <v>0.5182071</v>
      </c>
      <c r="Q1343" s="46" t="n">
        <v>1.6879573</v>
      </c>
      <c r="R1343" s="46" t="n">
        <v>1.9358461</v>
      </c>
      <c r="S1343" s="47" t="n">
        <f aca="false">M1343+N1343+O1343</f>
        <v>0.4966058</v>
      </c>
      <c r="T1343" s="47" t="n">
        <f aca="false">M1343+P1343</f>
        <v>0.7328306</v>
      </c>
    </row>
    <row r="1344" customFormat="false" ht="15" hidden="false" customHeight="false" outlineLevel="0" collapsed="false">
      <c r="A1344" s="42" t="s">
        <v>45</v>
      </c>
      <c r="B1344" s="42" t="n">
        <v>-8</v>
      </c>
      <c r="C1344" s="42" t="n">
        <v>43</v>
      </c>
      <c r="D1344" s="42" t="n">
        <v>74290958</v>
      </c>
      <c r="E1344" s="43" t="n">
        <v>0.779640927453268</v>
      </c>
      <c r="F1344" s="43" t="n">
        <v>0.81090592136156</v>
      </c>
      <c r="G1344" s="43" t="n">
        <v>0.82092417252871</v>
      </c>
      <c r="H1344" s="43" t="n">
        <v>0.833518592892027</v>
      </c>
      <c r="I1344" s="42" t="n">
        <v>1</v>
      </c>
      <c r="J1344" s="42" t="n">
        <v>1</v>
      </c>
      <c r="K1344" s="44" t="str">
        <f aca="false">IF(AND(I1344=1,J1344=1),"两者都跟住",IF(AND(I1344=0,J1344=1),"仅 PC-TBD 跟住",IF(AND(I1344=1,J1344=0),"仅 VIT-LPS 跟住","都没跟住")))</f>
        <v>两者都跟住</v>
      </c>
      <c r="L1344" s="45" t="n">
        <f aca="false">F1344-G1344</f>
        <v>-0.0100182511671499</v>
      </c>
      <c r="M1344" s="46" t="n">
        <v>0.2332022</v>
      </c>
      <c r="N1344" s="46" t="n">
        <v>0.1299295</v>
      </c>
      <c r="O1344" s="46" t="n">
        <v>0.1738597</v>
      </c>
      <c r="P1344" s="46" t="n">
        <v>0.6343242</v>
      </c>
      <c r="Q1344" s="46" t="n">
        <v>2.0978108</v>
      </c>
      <c r="R1344" s="46" t="n">
        <v>1.6843884</v>
      </c>
      <c r="S1344" s="47" t="n">
        <f aca="false">M1344+N1344+O1344</f>
        <v>0.5369914</v>
      </c>
      <c r="T1344" s="47" t="n">
        <f aca="false">M1344+P1344</f>
        <v>0.8675264</v>
      </c>
    </row>
    <row r="1345" customFormat="false" ht="15" hidden="false" customHeight="false" outlineLevel="0" collapsed="false">
      <c r="A1345" s="42" t="s">
        <v>45</v>
      </c>
      <c r="B1345" s="42" t="n">
        <v>-8</v>
      </c>
      <c r="C1345" s="42" t="n">
        <v>44</v>
      </c>
      <c r="D1345" s="42" t="n">
        <v>74290959</v>
      </c>
      <c r="E1345" s="43" t="n">
        <v>0.784265850317879</v>
      </c>
      <c r="F1345" s="43" t="n">
        <v>0.815880158758539</v>
      </c>
      <c r="G1345" s="43" t="n">
        <v>0.822934178559912</v>
      </c>
      <c r="H1345" s="43" t="n">
        <v>0.832607428433769</v>
      </c>
      <c r="I1345" s="42" t="n">
        <v>1</v>
      </c>
      <c r="J1345" s="42" t="n">
        <v>1</v>
      </c>
      <c r="K1345" s="44" t="str">
        <f aca="false">IF(AND(I1345=1,J1345=1),"两者都跟住",IF(AND(I1345=0,J1345=1),"仅 PC-TBD 跟住",IF(AND(I1345=1,J1345=0),"仅 VIT-LPS 跟住","都没跟住")))</f>
        <v>两者都跟住</v>
      </c>
      <c r="L1345" s="45" t="n">
        <f aca="false">F1345-G1345</f>
        <v>-0.00705401980137299</v>
      </c>
      <c r="M1345" s="46" t="n">
        <v>0.2176113</v>
      </c>
      <c r="N1345" s="46" t="n">
        <v>0.0940602</v>
      </c>
      <c r="O1345" s="46" t="n">
        <v>0.1529362</v>
      </c>
      <c r="P1345" s="46" t="n">
        <v>0.6469639</v>
      </c>
      <c r="Q1345" s="46" t="n">
        <v>1.8967641</v>
      </c>
      <c r="R1345" s="46" t="n">
        <v>1.7383135</v>
      </c>
      <c r="S1345" s="47" t="n">
        <f aca="false">M1345+N1345+O1345</f>
        <v>0.4646077</v>
      </c>
      <c r="T1345" s="47" t="n">
        <f aca="false">M1345+P1345</f>
        <v>0.8645752</v>
      </c>
    </row>
    <row r="1346" customFormat="false" ht="15" hidden="false" customHeight="false" outlineLevel="0" collapsed="false">
      <c r="A1346" s="42" t="s">
        <v>45</v>
      </c>
      <c r="B1346" s="42" t="n">
        <v>-8</v>
      </c>
      <c r="C1346" s="42" t="n">
        <v>45</v>
      </c>
      <c r="D1346" s="42" t="n">
        <v>74290960</v>
      </c>
      <c r="E1346" s="43" t="n">
        <v>0.773794947575461</v>
      </c>
      <c r="F1346" s="43" t="n">
        <v>0.816366429883202</v>
      </c>
      <c r="G1346" s="43" t="n">
        <v>0.830883081534077</v>
      </c>
      <c r="H1346" s="43" t="n">
        <v>0.842214292907286</v>
      </c>
      <c r="I1346" s="42" t="n">
        <v>1</v>
      </c>
      <c r="J1346" s="42" t="n">
        <v>1</v>
      </c>
      <c r="K1346" s="44" t="str">
        <f aca="false">IF(AND(I1346=1,J1346=1),"两者都跟住",IF(AND(I1346=0,J1346=1),"仅 PC-TBD 跟住",IF(AND(I1346=1,J1346=0),"仅 VIT-LPS 跟住","都没跟住")))</f>
        <v>两者都跟住</v>
      </c>
      <c r="L1346" s="45" t="n">
        <f aca="false">F1346-G1346</f>
        <v>-0.014516651650875</v>
      </c>
      <c r="M1346" s="46" t="n">
        <v>0.22036</v>
      </c>
      <c r="N1346" s="46" t="n">
        <v>0.1397218</v>
      </c>
      <c r="O1346" s="46" t="n">
        <v>0.2126028</v>
      </c>
      <c r="P1346" s="46" t="n">
        <v>0.6546667</v>
      </c>
      <c r="Q1346" s="46" t="n">
        <v>1.9061936</v>
      </c>
      <c r="R1346" s="46" t="n">
        <v>1.9596424</v>
      </c>
      <c r="S1346" s="47" t="n">
        <f aca="false">M1346+N1346+O1346</f>
        <v>0.5726846</v>
      </c>
      <c r="T1346" s="47" t="n">
        <f aca="false">M1346+P1346</f>
        <v>0.8750267</v>
      </c>
    </row>
    <row r="1347" customFormat="false" ht="15" hidden="false" customHeight="false" outlineLevel="0" collapsed="false">
      <c r="A1347" s="42" t="s">
        <v>45</v>
      </c>
      <c r="B1347" s="42" t="n">
        <v>-8</v>
      </c>
      <c r="C1347" s="42" t="n">
        <v>46</v>
      </c>
      <c r="D1347" s="42" t="n">
        <v>74290961</v>
      </c>
      <c r="E1347" s="43" t="n">
        <v>0.73932668663206</v>
      </c>
      <c r="F1347" s="43" t="n">
        <v>0.780296119509927</v>
      </c>
      <c r="G1347" s="43" t="n">
        <v>0.77622134156937</v>
      </c>
      <c r="H1347" s="43" t="n">
        <v>0.797747695499898</v>
      </c>
      <c r="I1347" s="42" t="n">
        <v>1</v>
      </c>
      <c r="J1347" s="42" t="n">
        <v>1</v>
      </c>
      <c r="K1347" s="44" t="str">
        <f aca="false">IF(AND(I1347=1,J1347=1),"两者都跟住",IF(AND(I1347=0,J1347=1),"仅 PC-TBD 跟住",IF(AND(I1347=1,J1347=0),"仅 VIT-LPS 跟住","都没跟住")))</f>
        <v>两者都跟住</v>
      </c>
      <c r="L1347" s="45" t="n">
        <f aca="false">F1347-G1347</f>
        <v>0.00407477794055711</v>
      </c>
      <c r="M1347" s="46" t="n">
        <v>0.2486223</v>
      </c>
      <c r="N1347" s="46" t="n">
        <v>0.1306726</v>
      </c>
      <c r="O1347" s="46" t="n">
        <v>0.3560338</v>
      </c>
      <c r="P1347" s="46" t="n">
        <v>0.6926043</v>
      </c>
      <c r="Q1347" s="46" t="n">
        <v>2.027824</v>
      </c>
      <c r="R1347" s="46" t="n">
        <v>1.9230538</v>
      </c>
      <c r="S1347" s="47" t="n">
        <f aca="false">M1347+N1347+O1347</f>
        <v>0.7353287</v>
      </c>
      <c r="T1347" s="47" t="n">
        <f aca="false">M1347+P1347</f>
        <v>0.9412266</v>
      </c>
    </row>
    <row r="1348" customFormat="false" ht="15" hidden="false" customHeight="false" outlineLevel="0" collapsed="false">
      <c r="A1348" s="42" t="s">
        <v>45</v>
      </c>
      <c r="B1348" s="42" t="n">
        <v>-8</v>
      </c>
      <c r="C1348" s="42" t="n">
        <v>47</v>
      </c>
      <c r="D1348" s="42" t="n">
        <v>74290962</v>
      </c>
      <c r="E1348" s="43" t="n">
        <v>0.783654655680477</v>
      </c>
      <c r="F1348" s="43" t="n">
        <v>0.813286883561168</v>
      </c>
      <c r="G1348" s="43" t="n">
        <v>0.827818592913149</v>
      </c>
      <c r="H1348" s="43" t="n">
        <v>0.835718556314338</v>
      </c>
      <c r="I1348" s="42" t="n">
        <v>1</v>
      </c>
      <c r="J1348" s="42" t="n">
        <v>1</v>
      </c>
      <c r="K1348" s="44" t="str">
        <f aca="false">IF(AND(I1348=1,J1348=1),"两者都跟住",IF(AND(I1348=0,J1348=1),"仅 PC-TBD 跟住",IF(AND(I1348=1,J1348=0),"仅 VIT-LPS 跟住","都没跟住")))</f>
        <v>两者都跟住</v>
      </c>
      <c r="L1348" s="45" t="n">
        <f aca="false">F1348-G1348</f>
        <v>-0.014531709351981</v>
      </c>
      <c r="M1348" s="46" t="n">
        <v>0.1367115</v>
      </c>
      <c r="N1348" s="46" t="n">
        <v>0.0978956</v>
      </c>
      <c r="O1348" s="46" t="n">
        <v>0.1377953</v>
      </c>
      <c r="P1348" s="46" t="n">
        <v>0.3844562</v>
      </c>
      <c r="Q1348" s="46" t="n">
        <v>1.2573801</v>
      </c>
      <c r="R1348" s="46" t="n">
        <v>1.3651082</v>
      </c>
      <c r="S1348" s="47" t="n">
        <f aca="false">M1348+N1348+O1348</f>
        <v>0.3724024</v>
      </c>
      <c r="T1348" s="47" t="n">
        <f aca="false">M1348+P1348</f>
        <v>0.5211677</v>
      </c>
    </row>
    <row r="1349" customFormat="false" ht="15" hidden="false" customHeight="false" outlineLevel="0" collapsed="false">
      <c r="A1349" s="42" t="s">
        <v>45</v>
      </c>
      <c r="B1349" s="42" t="n">
        <v>-8</v>
      </c>
      <c r="C1349" s="42" t="n">
        <v>48</v>
      </c>
      <c r="D1349" s="42" t="n">
        <v>74290963</v>
      </c>
      <c r="E1349" s="43" t="n">
        <v>0.722850812166469</v>
      </c>
      <c r="F1349" s="43" t="n">
        <v>0.785778419389244</v>
      </c>
      <c r="G1349" s="43" t="n">
        <v>0.828595926727557</v>
      </c>
      <c r="H1349" s="43" t="n">
        <v>0.834421161871581</v>
      </c>
      <c r="I1349" s="42" t="n">
        <v>1</v>
      </c>
      <c r="J1349" s="42" t="n">
        <v>1</v>
      </c>
      <c r="K1349" s="44" t="str">
        <f aca="false">IF(AND(I1349=1,J1349=1),"两者都跟住",IF(AND(I1349=0,J1349=1),"仅 PC-TBD 跟住",IF(AND(I1349=1,J1349=0),"仅 VIT-LPS 跟住","都没跟住")))</f>
        <v>两者都跟住</v>
      </c>
      <c r="L1349" s="45" t="n">
        <f aca="false">F1349-G1349</f>
        <v>-0.042817507338313</v>
      </c>
      <c r="M1349" s="46" t="n">
        <v>0.1642746</v>
      </c>
      <c r="N1349" s="46" t="n">
        <v>0.0968637</v>
      </c>
      <c r="O1349" s="46" t="n">
        <v>0.1008574</v>
      </c>
      <c r="P1349" s="46" t="n">
        <v>0.3499922</v>
      </c>
      <c r="Q1349" s="46" t="n">
        <v>1.3554837</v>
      </c>
      <c r="R1349" s="46" t="n">
        <v>1.4718404</v>
      </c>
      <c r="S1349" s="47" t="n">
        <f aca="false">M1349+N1349+O1349</f>
        <v>0.3619957</v>
      </c>
      <c r="T1349" s="47" t="n">
        <f aca="false">M1349+P1349</f>
        <v>0.5142668</v>
      </c>
    </row>
    <row r="1350" customFormat="false" ht="15" hidden="false" customHeight="false" outlineLevel="0" collapsed="false">
      <c r="A1350" s="42" t="s">
        <v>45</v>
      </c>
      <c r="B1350" s="42" t="n">
        <v>-8</v>
      </c>
      <c r="C1350" s="42" t="n">
        <v>49</v>
      </c>
      <c r="D1350" s="42" t="n">
        <v>74290964</v>
      </c>
      <c r="E1350" s="43" t="n">
        <v>0.753094836241103</v>
      </c>
      <c r="F1350" s="43" t="n">
        <v>0.784382200883733</v>
      </c>
      <c r="G1350" s="43" t="n">
        <v>0.796769562693795</v>
      </c>
      <c r="H1350" s="43" t="n">
        <v>0.813917625554097</v>
      </c>
      <c r="I1350" s="42" t="n">
        <v>1</v>
      </c>
      <c r="J1350" s="42" t="n">
        <v>1</v>
      </c>
      <c r="K1350" s="44" t="str">
        <f aca="false">IF(AND(I1350=1,J1350=1),"两者都跟住",IF(AND(I1350=0,J1350=1),"仅 PC-TBD 跟住",IF(AND(I1350=1,J1350=0),"仅 VIT-LPS 跟住","都没跟住")))</f>
        <v>两者都跟住</v>
      </c>
      <c r="L1350" s="45" t="n">
        <f aca="false">F1350-G1350</f>
        <v>-0.0123873618100619</v>
      </c>
      <c r="M1350" s="46" t="n">
        <v>0.1600696</v>
      </c>
      <c r="N1350" s="46" t="n">
        <v>0.1188102</v>
      </c>
      <c r="O1350" s="46" t="n">
        <v>0.1379248</v>
      </c>
      <c r="P1350" s="46" t="n">
        <v>0.481708</v>
      </c>
      <c r="Q1350" s="46" t="n">
        <v>1.4514443</v>
      </c>
      <c r="R1350" s="46" t="n">
        <v>1.4641269</v>
      </c>
      <c r="S1350" s="47" t="n">
        <f aca="false">M1350+N1350+O1350</f>
        <v>0.4168046</v>
      </c>
      <c r="T1350" s="47" t="n">
        <f aca="false">M1350+P1350</f>
        <v>0.6417776</v>
      </c>
    </row>
    <row r="1351" customFormat="false" ht="15" hidden="false" customHeight="false" outlineLevel="0" collapsed="false">
      <c r="A1351" s="42" t="s">
        <v>45</v>
      </c>
      <c r="B1351" s="42" t="n">
        <v>-8</v>
      </c>
      <c r="C1351" s="42" t="n">
        <v>50</v>
      </c>
      <c r="D1351" s="42" t="n">
        <v>74290965</v>
      </c>
      <c r="E1351" s="43" t="n">
        <v>0.770666775335865</v>
      </c>
      <c r="F1351" s="43" t="n">
        <v>0.810635523644343</v>
      </c>
      <c r="G1351" s="43" t="n">
        <v>0.8205215422178</v>
      </c>
      <c r="H1351" s="43" t="n">
        <v>0.833342204707122</v>
      </c>
      <c r="I1351" s="42" t="n">
        <v>1</v>
      </c>
      <c r="J1351" s="42" t="n">
        <v>1</v>
      </c>
      <c r="K1351" s="44" t="str">
        <f aca="false">IF(AND(I1351=1,J1351=1),"两者都跟住",IF(AND(I1351=0,J1351=1),"仅 PC-TBD 跟住",IF(AND(I1351=1,J1351=0),"仅 VIT-LPS 跟住","都没跟住")))</f>
        <v>两者都跟住</v>
      </c>
      <c r="L1351" s="45" t="n">
        <f aca="false">F1351-G1351</f>
        <v>-0.00988601857345706</v>
      </c>
      <c r="M1351" s="46" t="n">
        <v>0.1574384</v>
      </c>
      <c r="N1351" s="46" t="n">
        <v>0.0960823</v>
      </c>
      <c r="O1351" s="46" t="n">
        <v>0.1613853</v>
      </c>
      <c r="P1351" s="46" t="n">
        <v>0.4625727</v>
      </c>
      <c r="Q1351" s="46" t="n">
        <v>1.3241165</v>
      </c>
      <c r="R1351" s="46" t="n">
        <v>1.5254376</v>
      </c>
      <c r="S1351" s="47" t="n">
        <f aca="false">M1351+N1351+O1351</f>
        <v>0.414906</v>
      </c>
      <c r="T1351" s="47" t="n">
        <f aca="false">M1351+P1351</f>
        <v>0.6200111</v>
      </c>
    </row>
    <row r="1352" customFormat="false" ht="15" hidden="false" customHeight="false" outlineLevel="0" collapsed="false">
      <c r="A1352" s="42" t="s">
        <v>45</v>
      </c>
      <c r="B1352" s="42" t="n">
        <v>-8</v>
      </c>
      <c r="C1352" s="42" t="n">
        <v>51</v>
      </c>
      <c r="D1352" s="42" t="n">
        <v>74290966</v>
      </c>
      <c r="E1352" s="43" t="n">
        <v>0.769000798356887</v>
      </c>
      <c r="F1352" s="43" t="n">
        <v>0.810524370133548</v>
      </c>
      <c r="G1352" s="43" t="n">
        <v>0.822026223708353</v>
      </c>
      <c r="H1352" s="43" t="n">
        <v>0.840733974486036</v>
      </c>
      <c r="I1352" s="42" t="n">
        <v>1</v>
      </c>
      <c r="J1352" s="42" t="n">
        <v>1</v>
      </c>
      <c r="K1352" s="44" t="str">
        <f aca="false">IF(AND(I1352=1,J1352=1),"两者都跟住",IF(AND(I1352=0,J1352=1),"仅 PC-TBD 跟住",IF(AND(I1352=1,J1352=0),"仅 VIT-LPS 跟住","都没跟住")))</f>
        <v>两者都跟住</v>
      </c>
      <c r="L1352" s="45" t="n">
        <f aca="false">F1352-G1352</f>
        <v>-0.0115018535748049</v>
      </c>
      <c r="M1352" s="46" t="n">
        <v>0.2286137</v>
      </c>
      <c r="N1352" s="46" t="n">
        <v>0.1184093</v>
      </c>
      <c r="O1352" s="46" t="n">
        <v>0.1680344</v>
      </c>
      <c r="P1352" s="46" t="n">
        <v>0.5313547</v>
      </c>
      <c r="Q1352" s="46" t="n">
        <v>1.4777038</v>
      </c>
      <c r="R1352" s="46" t="n">
        <v>1.923052</v>
      </c>
      <c r="S1352" s="47" t="n">
        <f aca="false">M1352+N1352+O1352</f>
        <v>0.5150574</v>
      </c>
      <c r="T1352" s="47" t="n">
        <f aca="false">M1352+P1352</f>
        <v>0.7599684</v>
      </c>
    </row>
    <row r="1353" customFormat="false" ht="15" hidden="false" customHeight="false" outlineLevel="0" collapsed="false">
      <c r="A1353" s="42" t="s">
        <v>45</v>
      </c>
      <c r="B1353" s="42" t="n">
        <v>-8</v>
      </c>
      <c r="C1353" s="42" t="n">
        <v>52</v>
      </c>
      <c r="D1353" s="42" t="n">
        <v>74290967</v>
      </c>
      <c r="E1353" s="43" t="n">
        <v>0.769517487933739</v>
      </c>
      <c r="F1353" s="43" t="n">
        <v>0.810919245298591</v>
      </c>
      <c r="G1353" s="43" t="n">
        <v>0.829897085786786</v>
      </c>
      <c r="H1353" s="43" t="n">
        <v>0.843037340349389</v>
      </c>
      <c r="I1353" s="42" t="n">
        <v>1</v>
      </c>
      <c r="J1353" s="42" t="n">
        <v>1</v>
      </c>
      <c r="K1353" s="44" t="str">
        <f aca="false">IF(AND(I1353=1,J1353=1),"两者都跟住",IF(AND(I1353=0,J1353=1),"仅 PC-TBD 跟住",IF(AND(I1353=1,J1353=0),"仅 VIT-LPS 跟住","都没跟住")))</f>
        <v>两者都跟住</v>
      </c>
      <c r="L1353" s="45" t="n">
        <f aca="false">F1353-G1353</f>
        <v>-0.018977840488195</v>
      </c>
      <c r="M1353" s="46" t="n">
        <v>0.2502599</v>
      </c>
      <c r="N1353" s="46" t="n">
        <v>0.1272277</v>
      </c>
      <c r="O1353" s="46" t="n">
        <v>0.1479657</v>
      </c>
      <c r="P1353" s="46" t="n">
        <v>0.5258598</v>
      </c>
      <c r="Q1353" s="46" t="n">
        <v>1.9432904</v>
      </c>
      <c r="R1353" s="46" t="n">
        <v>2.0783206</v>
      </c>
      <c r="S1353" s="47" t="n">
        <f aca="false">M1353+N1353+O1353</f>
        <v>0.5254533</v>
      </c>
      <c r="T1353" s="47" t="n">
        <f aca="false">M1353+P1353</f>
        <v>0.7761197</v>
      </c>
    </row>
    <row r="1354" customFormat="false" ht="15" hidden="false" customHeight="false" outlineLevel="0" collapsed="false">
      <c r="A1354" s="42" t="s">
        <v>45</v>
      </c>
      <c r="B1354" s="42" t="n">
        <v>-8</v>
      </c>
      <c r="C1354" s="42" t="n">
        <v>53</v>
      </c>
      <c r="D1354" s="42" t="n">
        <v>74290968</v>
      </c>
      <c r="E1354" s="43" t="n">
        <v>0.788433004655219</v>
      </c>
      <c r="F1354" s="43" t="n">
        <v>0.810002753661599</v>
      </c>
      <c r="G1354" s="43" t="n">
        <v>0.821519044829678</v>
      </c>
      <c r="H1354" s="43" t="n">
        <v>0.831558932744393</v>
      </c>
      <c r="I1354" s="42" t="n">
        <v>1</v>
      </c>
      <c r="J1354" s="42" t="n">
        <v>1</v>
      </c>
      <c r="K1354" s="44" t="str">
        <f aca="false">IF(AND(I1354=1,J1354=1),"两者都跟住",IF(AND(I1354=0,J1354=1),"仅 PC-TBD 跟住",IF(AND(I1354=1,J1354=0),"仅 VIT-LPS 跟住","都没跟住")))</f>
        <v>两者都跟住</v>
      </c>
      <c r="L1354" s="45" t="n">
        <f aca="false">F1354-G1354</f>
        <v>-0.011516291168079</v>
      </c>
      <c r="M1354" s="46" t="n">
        <v>0.2443999</v>
      </c>
      <c r="N1354" s="46" t="n">
        <v>0.1023422</v>
      </c>
      <c r="O1354" s="46" t="n">
        <v>0.1729168</v>
      </c>
      <c r="P1354" s="46" t="n">
        <v>0.4850858</v>
      </c>
      <c r="Q1354" s="46" t="n">
        <v>2.4329039</v>
      </c>
      <c r="R1354" s="46" t="n">
        <v>2.3123191</v>
      </c>
      <c r="S1354" s="47" t="n">
        <f aca="false">M1354+N1354+O1354</f>
        <v>0.5196589</v>
      </c>
      <c r="T1354" s="47" t="n">
        <f aca="false">M1354+P1354</f>
        <v>0.7294857</v>
      </c>
    </row>
    <row r="1355" customFormat="false" ht="15" hidden="false" customHeight="false" outlineLevel="0" collapsed="false">
      <c r="A1355" s="42" t="s">
        <v>45</v>
      </c>
      <c r="B1355" s="42" t="n">
        <v>-8</v>
      </c>
      <c r="C1355" s="42" t="n">
        <v>54</v>
      </c>
      <c r="D1355" s="42" t="n">
        <v>74290969</v>
      </c>
      <c r="E1355" s="43" t="n">
        <v>0.781123545685178</v>
      </c>
      <c r="F1355" s="43" t="n">
        <v>0.81180822329898</v>
      </c>
      <c r="G1355" s="43" t="n">
        <v>0.821630926505513</v>
      </c>
      <c r="H1355" s="43" t="n">
        <v>0.834939498175351</v>
      </c>
      <c r="I1355" s="42" t="n">
        <v>1</v>
      </c>
      <c r="J1355" s="42" t="n">
        <v>1</v>
      </c>
      <c r="K1355" s="44" t="str">
        <f aca="false">IF(AND(I1355=1,J1355=1),"两者都跟住",IF(AND(I1355=0,J1355=1),"仅 PC-TBD 跟住",IF(AND(I1355=1,J1355=0),"仅 VIT-LPS 跟住","都没跟住")))</f>
        <v>两者都跟住</v>
      </c>
      <c r="L1355" s="45" t="n">
        <f aca="false">F1355-G1355</f>
        <v>-0.009822703206533</v>
      </c>
      <c r="M1355" s="46" t="n">
        <v>0.2614036</v>
      </c>
      <c r="N1355" s="46" t="n">
        <v>0.1190749</v>
      </c>
      <c r="O1355" s="46" t="n">
        <v>0.1472338</v>
      </c>
      <c r="P1355" s="46" t="n">
        <v>0.5411312</v>
      </c>
      <c r="Q1355" s="46" t="n">
        <v>1.7231399</v>
      </c>
      <c r="R1355" s="46" t="n">
        <v>1.8198043</v>
      </c>
      <c r="S1355" s="47" t="n">
        <f aca="false">M1355+N1355+O1355</f>
        <v>0.5277123</v>
      </c>
      <c r="T1355" s="47" t="n">
        <f aca="false">M1355+P1355</f>
        <v>0.8025348</v>
      </c>
    </row>
    <row r="1356" customFormat="false" ht="15" hidden="false" customHeight="false" outlineLevel="0" collapsed="false">
      <c r="A1356" s="42" t="s">
        <v>45</v>
      </c>
      <c r="B1356" s="42" t="n">
        <v>-8</v>
      </c>
      <c r="C1356" s="42" t="n">
        <v>55</v>
      </c>
      <c r="D1356" s="42" t="n">
        <v>74290970</v>
      </c>
      <c r="E1356" s="43" t="n">
        <v>0.775654647782959</v>
      </c>
      <c r="F1356" s="43" t="n">
        <v>0.812235563726793</v>
      </c>
      <c r="G1356" s="43" t="n">
        <v>0.820775114906917</v>
      </c>
      <c r="H1356" s="43" t="n">
        <v>0.842980507594453</v>
      </c>
      <c r="I1356" s="42" t="n">
        <v>1</v>
      </c>
      <c r="J1356" s="42" t="n">
        <v>1</v>
      </c>
      <c r="K1356" s="44" t="str">
        <f aca="false">IF(AND(I1356=1,J1356=1),"两者都跟住",IF(AND(I1356=0,J1356=1),"仅 PC-TBD 跟住",IF(AND(I1356=1,J1356=0),"仅 VIT-LPS 跟住","都没跟住")))</f>
        <v>两者都跟住</v>
      </c>
      <c r="L1356" s="45" t="n">
        <f aca="false">F1356-G1356</f>
        <v>-0.00853955118012406</v>
      </c>
      <c r="M1356" s="46" t="n">
        <v>0.231061</v>
      </c>
      <c r="N1356" s="46" t="n">
        <v>0.1355902</v>
      </c>
      <c r="O1356" s="46" t="n">
        <v>0.1901606</v>
      </c>
      <c r="P1356" s="46" t="n">
        <v>0.5076069</v>
      </c>
      <c r="Q1356" s="46" t="n">
        <v>2.0315534</v>
      </c>
      <c r="R1356" s="46" t="n">
        <v>2.3207721</v>
      </c>
      <c r="S1356" s="47" t="n">
        <f aca="false">M1356+N1356+O1356</f>
        <v>0.5568118</v>
      </c>
      <c r="T1356" s="47" t="n">
        <f aca="false">M1356+P1356</f>
        <v>0.7386679</v>
      </c>
    </row>
    <row r="1357" customFormat="false" ht="15" hidden="false" customHeight="false" outlineLevel="0" collapsed="false">
      <c r="A1357" s="42" t="s">
        <v>45</v>
      </c>
      <c r="B1357" s="42" t="n">
        <v>-8</v>
      </c>
      <c r="C1357" s="42" t="n">
        <v>56</v>
      </c>
      <c r="D1357" s="42" t="n">
        <v>74290971</v>
      </c>
      <c r="E1357" s="43" t="n">
        <v>0.730034090067482</v>
      </c>
      <c r="F1357" s="43" t="n">
        <v>0.775839560189944</v>
      </c>
      <c r="G1357" s="43" t="n">
        <v>0.800607769109847</v>
      </c>
      <c r="H1357" s="43" t="n">
        <v>0.812925981103514</v>
      </c>
      <c r="I1357" s="42" t="n">
        <v>1</v>
      </c>
      <c r="J1357" s="42" t="n">
        <v>1</v>
      </c>
      <c r="K1357" s="44" t="str">
        <f aca="false">IF(AND(I1357=1,J1357=1),"两者都跟住",IF(AND(I1357=0,J1357=1),"仅 PC-TBD 跟住",IF(AND(I1357=1,J1357=0),"仅 VIT-LPS 跟住","都没跟住")))</f>
        <v>两者都跟住</v>
      </c>
      <c r="L1357" s="45" t="n">
        <f aca="false">F1357-G1357</f>
        <v>-0.0247682089199029</v>
      </c>
      <c r="M1357" s="46" t="n">
        <v>0.233098</v>
      </c>
      <c r="N1357" s="46" t="n">
        <v>0.1286594</v>
      </c>
      <c r="O1357" s="46" t="n">
        <v>0.1659255</v>
      </c>
      <c r="P1357" s="46" t="n">
        <v>0.4332225</v>
      </c>
      <c r="Q1357" s="46" t="n">
        <v>2.0739061</v>
      </c>
      <c r="R1357" s="46" t="n">
        <v>1.994682</v>
      </c>
      <c r="S1357" s="47" t="n">
        <f aca="false">M1357+N1357+O1357</f>
        <v>0.5276829</v>
      </c>
      <c r="T1357" s="47" t="n">
        <f aca="false">M1357+P1357</f>
        <v>0.6663205</v>
      </c>
    </row>
    <row r="1358" customFormat="false" ht="15" hidden="false" customHeight="false" outlineLevel="0" collapsed="false">
      <c r="A1358" s="42" t="s">
        <v>45</v>
      </c>
      <c r="B1358" s="42" t="n">
        <v>-8</v>
      </c>
      <c r="C1358" s="42" t="n">
        <v>57</v>
      </c>
      <c r="D1358" s="42" t="n">
        <v>74290972</v>
      </c>
      <c r="E1358" s="43" t="n">
        <v>0.782705391808445</v>
      </c>
      <c r="F1358" s="43" t="n">
        <v>0.815915055513149</v>
      </c>
      <c r="G1358" s="43" t="n">
        <v>0.823904374016634</v>
      </c>
      <c r="H1358" s="43" t="n">
        <v>0.842622760948812</v>
      </c>
      <c r="I1358" s="42" t="n">
        <v>1</v>
      </c>
      <c r="J1358" s="42" t="n">
        <v>1</v>
      </c>
      <c r="K1358" s="44" t="str">
        <f aca="false">IF(AND(I1358=1,J1358=1),"两者都跟住",IF(AND(I1358=0,J1358=1),"仅 PC-TBD 跟住",IF(AND(I1358=1,J1358=0),"仅 VIT-LPS 跟住","都没跟住")))</f>
        <v>两者都跟住</v>
      </c>
      <c r="L1358" s="45" t="n">
        <f aca="false">F1358-G1358</f>
        <v>-0.00798931850348494</v>
      </c>
      <c r="M1358" s="46" t="n">
        <v>0.1474854</v>
      </c>
      <c r="N1358" s="46" t="n">
        <v>0.0891778</v>
      </c>
      <c r="O1358" s="46" t="n">
        <v>0.1596183</v>
      </c>
      <c r="P1358" s="46" t="n">
        <v>0.5100921</v>
      </c>
      <c r="Q1358" s="46" t="n">
        <v>1.537342</v>
      </c>
      <c r="R1358" s="46" t="n">
        <v>1.3759507</v>
      </c>
      <c r="S1358" s="47" t="n">
        <f aca="false">M1358+N1358+O1358</f>
        <v>0.3962815</v>
      </c>
      <c r="T1358" s="47" t="n">
        <f aca="false">M1358+P1358</f>
        <v>0.6575775</v>
      </c>
    </row>
    <row r="1359" customFormat="false" ht="15" hidden="false" customHeight="false" outlineLevel="0" collapsed="false">
      <c r="A1359" s="42" t="s">
        <v>45</v>
      </c>
      <c r="B1359" s="42" t="n">
        <v>-8</v>
      </c>
      <c r="C1359" s="42" t="n">
        <v>58</v>
      </c>
      <c r="D1359" s="42" t="n">
        <v>74290973</v>
      </c>
      <c r="E1359" s="43" t="n">
        <v>0.735518066455556</v>
      </c>
      <c r="F1359" s="43" t="n">
        <v>0.783472130815471</v>
      </c>
      <c r="G1359" s="43" t="n">
        <v>0.822455909887269</v>
      </c>
      <c r="H1359" s="43" t="n">
        <v>0.84166610952626</v>
      </c>
      <c r="I1359" s="42" t="n">
        <v>1</v>
      </c>
      <c r="J1359" s="42" t="n">
        <v>1</v>
      </c>
      <c r="K1359" s="44" t="str">
        <f aca="false">IF(AND(I1359=1,J1359=1),"两者都跟住",IF(AND(I1359=0,J1359=1),"仅 PC-TBD 跟住",IF(AND(I1359=1,J1359=0),"仅 VIT-LPS 跟住","都没跟住")))</f>
        <v>两者都跟住</v>
      </c>
      <c r="L1359" s="45" t="n">
        <f aca="false">F1359-G1359</f>
        <v>-0.0389837790717981</v>
      </c>
      <c r="M1359" s="46" t="n">
        <v>0.1562265</v>
      </c>
      <c r="N1359" s="46" t="n">
        <v>0.1092192</v>
      </c>
      <c r="O1359" s="46" t="n">
        <v>0.1248057</v>
      </c>
      <c r="P1359" s="46" t="n">
        <v>0.4298955</v>
      </c>
      <c r="Q1359" s="46" t="n">
        <v>1.5216521</v>
      </c>
      <c r="R1359" s="46" t="n">
        <v>1.4046823</v>
      </c>
      <c r="S1359" s="47" t="n">
        <f aca="false">M1359+N1359+O1359</f>
        <v>0.3902514</v>
      </c>
      <c r="T1359" s="47" t="n">
        <f aca="false">M1359+P1359</f>
        <v>0.586122</v>
      </c>
    </row>
    <row r="1360" customFormat="false" ht="15" hidden="false" customHeight="false" outlineLevel="0" collapsed="false">
      <c r="A1360" s="42" t="s">
        <v>45</v>
      </c>
      <c r="B1360" s="42" t="n">
        <v>-8</v>
      </c>
      <c r="C1360" s="42" t="n">
        <v>59</v>
      </c>
      <c r="D1360" s="42" t="n">
        <v>74290974</v>
      </c>
      <c r="E1360" s="43" t="n">
        <v>0.775677446462059</v>
      </c>
      <c r="F1360" s="43" t="n">
        <v>0.817935821249064</v>
      </c>
      <c r="G1360" s="43" t="n">
        <v>0.82444449487246</v>
      </c>
      <c r="H1360" s="43" t="n">
        <v>0.84891847132202</v>
      </c>
      <c r="I1360" s="42" t="n">
        <v>1</v>
      </c>
      <c r="J1360" s="42" t="n">
        <v>1</v>
      </c>
      <c r="K1360" s="44" t="str">
        <f aca="false">IF(AND(I1360=1,J1360=1),"两者都跟住",IF(AND(I1360=0,J1360=1),"仅 PC-TBD 跟住",IF(AND(I1360=1,J1360=0),"仅 VIT-LPS 跟住","都没跟住")))</f>
        <v>两者都跟住</v>
      </c>
      <c r="L1360" s="45" t="n">
        <f aca="false">F1360-G1360</f>
        <v>-0.00650867362339591</v>
      </c>
      <c r="M1360" s="46" t="n">
        <v>0.1545502</v>
      </c>
      <c r="N1360" s="46" t="n">
        <v>0.0885634</v>
      </c>
      <c r="O1360" s="46" t="n">
        <v>0.1801251</v>
      </c>
      <c r="P1360" s="46" t="n">
        <v>0.4917241</v>
      </c>
      <c r="Q1360" s="46" t="n">
        <v>1.3663161</v>
      </c>
      <c r="R1360" s="46" t="n">
        <v>1.4482375</v>
      </c>
      <c r="S1360" s="47" t="n">
        <f aca="false">M1360+N1360+O1360</f>
        <v>0.4232387</v>
      </c>
      <c r="T1360" s="47" t="n">
        <f aca="false">M1360+P1360</f>
        <v>0.6462743</v>
      </c>
    </row>
    <row r="1361" customFormat="false" ht="15" hidden="false" customHeight="false" outlineLevel="0" collapsed="false">
      <c r="A1361" s="42" t="s">
        <v>45</v>
      </c>
      <c r="B1361" s="42" t="n">
        <v>-8</v>
      </c>
      <c r="C1361" s="42" t="n">
        <v>60</v>
      </c>
      <c r="D1361" s="42" t="n">
        <v>74290975</v>
      </c>
      <c r="E1361" s="43" t="n">
        <v>0.754884541131447</v>
      </c>
      <c r="F1361" s="43" t="n">
        <v>0.814543210075262</v>
      </c>
      <c r="G1361" s="43" t="n">
        <v>0.831296962955806</v>
      </c>
      <c r="H1361" s="43" t="n">
        <v>0.833772945275123</v>
      </c>
      <c r="I1361" s="42" t="n">
        <v>1</v>
      </c>
      <c r="J1361" s="42" t="n">
        <v>1</v>
      </c>
      <c r="K1361" s="44" t="str">
        <f aca="false">IF(AND(I1361=1,J1361=1),"两者都跟住",IF(AND(I1361=0,J1361=1),"仅 PC-TBD 跟住",IF(AND(I1361=1,J1361=0),"仅 VIT-LPS 跟住","都没跟住")))</f>
        <v>两者都跟住</v>
      </c>
      <c r="L1361" s="45" t="n">
        <f aca="false">F1361-G1361</f>
        <v>-0.016753752880544</v>
      </c>
      <c r="M1361" s="46" t="n">
        <v>0.1552791</v>
      </c>
      <c r="N1361" s="46" t="n">
        <v>0.0711123</v>
      </c>
      <c r="O1361" s="46" t="n">
        <v>0.1189568</v>
      </c>
      <c r="P1361" s="46" t="n">
        <v>0.3683468</v>
      </c>
      <c r="Q1361" s="46" t="n">
        <v>1.4729953</v>
      </c>
      <c r="R1361" s="46" t="n">
        <v>1.2102063</v>
      </c>
      <c r="S1361" s="47" t="n">
        <f aca="false">M1361+N1361+O1361</f>
        <v>0.3453482</v>
      </c>
      <c r="T1361" s="47" t="n">
        <f aca="false">M1361+P1361</f>
        <v>0.5236259</v>
      </c>
    </row>
    <row r="1362" customFormat="false" ht="15" hidden="false" customHeight="false" outlineLevel="0" collapsed="false">
      <c r="A1362" s="42" t="s">
        <v>45</v>
      </c>
      <c r="B1362" s="42" t="n">
        <v>-8</v>
      </c>
      <c r="C1362" s="42" t="n">
        <v>61</v>
      </c>
      <c r="D1362" s="42" t="n">
        <v>74290976</v>
      </c>
      <c r="E1362" s="43" t="n">
        <v>0.791746339162573</v>
      </c>
      <c r="F1362" s="43" t="n">
        <v>0.813757458673342</v>
      </c>
      <c r="G1362" s="43" t="n">
        <v>0.82692796679188</v>
      </c>
      <c r="H1362" s="43" t="n">
        <v>0.834599553925735</v>
      </c>
      <c r="I1362" s="42" t="n">
        <v>1</v>
      </c>
      <c r="J1362" s="42" t="n">
        <v>1</v>
      </c>
      <c r="K1362" s="44" t="str">
        <f aca="false">IF(AND(I1362=1,J1362=1),"两者都跟住",IF(AND(I1362=0,J1362=1),"仅 PC-TBD 跟住",IF(AND(I1362=1,J1362=0),"仅 VIT-LPS 跟住","都没跟住")))</f>
        <v>两者都跟住</v>
      </c>
      <c r="L1362" s="45" t="n">
        <f aca="false">F1362-G1362</f>
        <v>-0.0131705081185379</v>
      </c>
      <c r="M1362" s="46" t="n">
        <v>0.2652716</v>
      </c>
      <c r="N1362" s="46" t="n">
        <v>0.1073732</v>
      </c>
      <c r="O1362" s="46" t="n">
        <v>0.1614699</v>
      </c>
      <c r="P1362" s="46" t="n">
        <v>0.4437729</v>
      </c>
      <c r="Q1362" s="46" t="n">
        <v>1.8756195</v>
      </c>
      <c r="R1362" s="46" t="n">
        <v>2.2909539</v>
      </c>
      <c r="S1362" s="47" t="n">
        <f aca="false">M1362+N1362+O1362</f>
        <v>0.5341147</v>
      </c>
      <c r="T1362" s="47" t="n">
        <f aca="false">M1362+P1362</f>
        <v>0.7090445</v>
      </c>
    </row>
    <row r="1363" customFormat="false" ht="15" hidden="false" customHeight="false" outlineLevel="0" collapsed="false">
      <c r="A1363" s="42" t="s">
        <v>45</v>
      </c>
      <c r="B1363" s="42" t="n">
        <v>-8</v>
      </c>
      <c r="C1363" s="42" t="n">
        <v>62</v>
      </c>
      <c r="D1363" s="42" t="n">
        <v>74290977</v>
      </c>
      <c r="E1363" s="43" t="n">
        <v>0.778200176767666</v>
      </c>
      <c r="F1363" s="43" t="n">
        <v>0.810084321970992</v>
      </c>
      <c r="G1363" s="43" t="n">
        <v>0.817757920612777</v>
      </c>
      <c r="H1363" s="43" t="n">
        <v>0.832561294269998</v>
      </c>
      <c r="I1363" s="42" t="n">
        <v>1</v>
      </c>
      <c r="J1363" s="42" t="n">
        <v>1</v>
      </c>
      <c r="K1363" s="44" t="str">
        <f aca="false">IF(AND(I1363=1,J1363=1),"两者都跟住",IF(AND(I1363=0,J1363=1),"仅 PC-TBD 跟住",IF(AND(I1363=1,J1363=0),"仅 VIT-LPS 跟住","都没跟住")))</f>
        <v>两者都跟住</v>
      </c>
      <c r="L1363" s="45" t="n">
        <f aca="false">F1363-G1363</f>
        <v>-0.00767359864178496</v>
      </c>
      <c r="M1363" s="46" t="n">
        <v>0.2818905</v>
      </c>
      <c r="N1363" s="46" t="n">
        <v>0.1558097</v>
      </c>
      <c r="O1363" s="46" t="n">
        <v>0.1934313</v>
      </c>
      <c r="P1363" s="46" t="n">
        <v>0.4895015</v>
      </c>
      <c r="Q1363" s="46" t="n">
        <v>2.2771278</v>
      </c>
      <c r="R1363" s="46" t="n">
        <v>1.8122053</v>
      </c>
      <c r="S1363" s="47" t="n">
        <f aca="false">M1363+N1363+O1363</f>
        <v>0.6311315</v>
      </c>
      <c r="T1363" s="47" t="n">
        <f aca="false">M1363+P1363</f>
        <v>0.771392</v>
      </c>
    </row>
    <row r="1364" customFormat="false" ht="15" hidden="false" customHeight="false" outlineLevel="0" collapsed="false">
      <c r="A1364" s="42" t="s">
        <v>45</v>
      </c>
      <c r="B1364" s="42" t="n">
        <v>-8</v>
      </c>
      <c r="C1364" s="42" t="n">
        <v>63</v>
      </c>
      <c r="D1364" s="42" t="n">
        <v>74290978</v>
      </c>
      <c r="E1364" s="43" t="n">
        <v>0.774523724844384</v>
      </c>
      <c r="F1364" s="43" t="n">
        <v>0.806505190833259</v>
      </c>
      <c r="G1364" s="43" t="n">
        <v>0.807604441703485</v>
      </c>
      <c r="H1364" s="43" t="n">
        <v>0.831419235458869</v>
      </c>
      <c r="I1364" s="42" t="n">
        <v>1</v>
      </c>
      <c r="J1364" s="42" t="n">
        <v>1</v>
      </c>
      <c r="K1364" s="44" t="str">
        <f aca="false">IF(AND(I1364=1,J1364=1),"两者都跟住",IF(AND(I1364=0,J1364=1),"仅 PC-TBD 跟住",IF(AND(I1364=1,J1364=0),"仅 VIT-LPS 跟住","都没跟住")))</f>
        <v>两者都跟住</v>
      </c>
      <c r="L1364" s="45" t="n">
        <f aca="false">F1364-G1364</f>
        <v>-0.001099250870226</v>
      </c>
      <c r="M1364" s="46" t="n">
        <v>0.2664456</v>
      </c>
      <c r="N1364" s="46" t="n">
        <v>0.1349738</v>
      </c>
      <c r="O1364" s="46" t="n">
        <v>0.1970717</v>
      </c>
      <c r="P1364" s="46" t="n">
        <v>0.5102147</v>
      </c>
      <c r="Q1364" s="46" t="n">
        <v>1.6785513</v>
      </c>
      <c r="R1364" s="46" t="n">
        <v>1.9857527</v>
      </c>
      <c r="S1364" s="47" t="n">
        <f aca="false">M1364+N1364+O1364</f>
        <v>0.5984911</v>
      </c>
      <c r="T1364" s="47" t="n">
        <f aca="false">M1364+P1364</f>
        <v>0.7766603</v>
      </c>
    </row>
    <row r="1365" customFormat="false" ht="15" hidden="false" customHeight="false" outlineLevel="0" collapsed="false">
      <c r="A1365" s="42" t="s">
        <v>45</v>
      </c>
      <c r="B1365" s="42" t="n">
        <v>-8</v>
      </c>
      <c r="C1365" s="42" t="n">
        <v>64</v>
      </c>
      <c r="D1365" s="42" t="n">
        <v>74290979</v>
      </c>
      <c r="E1365" s="43" t="n">
        <v>0.765614576825989</v>
      </c>
      <c r="F1365" s="43" t="n">
        <v>0.809224297102464</v>
      </c>
      <c r="G1365" s="43" t="n">
        <v>0.81514670698613</v>
      </c>
      <c r="H1365" s="43" t="n">
        <v>0.843810303520289</v>
      </c>
      <c r="I1365" s="42" t="n">
        <v>1</v>
      </c>
      <c r="J1365" s="42" t="n">
        <v>1</v>
      </c>
      <c r="K1365" s="44" t="str">
        <f aca="false">IF(AND(I1365=1,J1365=1),"两者都跟住",IF(AND(I1365=0,J1365=1),"仅 PC-TBD 跟住",IF(AND(I1365=1,J1365=0),"仅 VIT-LPS 跟住","都没跟住")))</f>
        <v>两者都跟住</v>
      </c>
      <c r="L1365" s="45" t="n">
        <f aca="false">F1365-G1365</f>
        <v>-0.00592240988366599</v>
      </c>
      <c r="M1365" s="46" t="n">
        <v>0.2639115</v>
      </c>
      <c r="N1365" s="46" t="n">
        <v>0.1387456</v>
      </c>
      <c r="O1365" s="46" t="n">
        <v>0.1515439</v>
      </c>
      <c r="P1365" s="46" t="n">
        <v>0.6005959</v>
      </c>
      <c r="Q1365" s="46" t="n">
        <v>1.4073219</v>
      </c>
      <c r="R1365" s="46" t="n">
        <v>1.9144447</v>
      </c>
      <c r="S1365" s="47" t="n">
        <f aca="false">M1365+N1365+O1365</f>
        <v>0.554201</v>
      </c>
      <c r="T1365" s="47" t="n">
        <f aca="false">M1365+P1365</f>
        <v>0.8645074</v>
      </c>
    </row>
    <row r="1366" customFormat="false" ht="15" hidden="false" customHeight="false" outlineLevel="0" collapsed="false">
      <c r="A1366" s="42" t="s">
        <v>45</v>
      </c>
      <c r="B1366" s="42" t="n">
        <v>-8</v>
      </c>
      <c r="C1366" s="42" t="n">
        <v>65</v>
      </c>
      <c r="D1366" s="42" t="n">
        <v>74290980</v>
      </c>
      <c r="E1366" s="43" t="n">
        <v>0.780605768458934</v>
      </c>
      <c r="F1366" s="43" t="n">
        <v>0.816591265410318</v>
      </c>
      <c r="G1366" s="43" t="n">
        <v>0.823131005572377</v>
      </c>
      <c r="H1366" s="43" t="n">
        <v>0.851246627848136</v>
      </c>
      <c r="I1366" s="42" t="n">
        <v>1</v>
      </c>
      <c r="J1366" s="42" t="n">
        <v>1</v>
      </c>
      <c r="K1366" s="44" t="str">
        <f aca="false">IF(AND(I1366=1,J1366=1),"两者都跟住",IF(AND(I1366=0,J1366=1),"仅 PC-TBD 跟住",IF(AND(I1366=1,J1366=0),"仅 VIT-LPS 跟住","都没跟住")))</f>
        <v>两者都跟住</v>
      </c>
      <c r="L1366" s="45" t="n">
        <f aca="false">F1366-G1366</f>
        <v>-0.00653974016205894</v>
      </c>
      <c r="M1366" s="46" t="n">
        <v>0.2346226</v>
      </c>
      <c r="N1366" s="46" t="n">
        <v>0.1635832</v>
      </c>
      <c r="O1366" s="46" t="n">
        <v>0.1785499</v>
      </c>
      <c r="P1366" s="46" t="n">
        <v>0.5410784</v>
      </c>
      <c r="Q1366" s="46" t="n">
        <v>1.9666641</v>
      </c>
      <c r="R1366" s="46" t="n">
        <v>1.94613</v>
      </c>
      <c r="S1366" s="47" t="n">
        <f aca="false">M1366+N1366+O1366</f>
        <v>0.5767557</v>
      </c>
      <c r="T1366" s="47" t="n">
        <f aca="false">M1366+P1366</f>
        <v>0.775701</v>
      </c>
    </row>
    <row r="1367" customFormat="false" ht="15" hidden="false" customHeight="false" outlineLevel="0" collapsed="false">
      <c r="A1367" s="42" t="s">
        <v>45</v>
      </c>
      <c r="B1367" s="42" t="n">
        <v>-8</v>
      </c>
      <c r="C1367" s="42" t="n">
        <v>66</v>
      </c>
      <c r="D1367" s="42" t="n">
        <v>74290981</v>
      </c>
      <c r="E1367" s="43" t="n">
        <v>0.787344472274199</v>
      </c>
      <c r="F1367" s="43" t="n">
        <v>0.813283049188716</v>
      </c>
      <c r="G1367" s="43" t="n">
        <v>0.821215510458528</v>
      </c>
      <c r="H1367" s="43" t="n">
        <v>0.830410112727393</v>
      </c>
      <c r="I1367" s="42" t="n">
        <v>1</v>
      </c>
      <c r="J1367" s="42" t="n">
        <v>1</v>
      </c>
      <c r="K1367" s="44" t="str">
        <f aca="false">IF(AND(I1367=1,J1367=1),"两者都跟住",IF(AND(I1367=0,J1367=1),"仅 PC-TBD 跟住",IF(AND(I1367=1,J1367=0),"仅 VIT-LPS 跟住","都没跟住")))</f>
        <v>两者都跟住</v>
      </c>
      <c r="L1367" s="45" t="n">
        <f aca="false">F1367-G1367</f>
        <v>-0.00793246126981206</v>
      </c>
      <c r="M1367" s="46" t="n">
        <v>0.2492806</v>
      </c>
      <c r="N1367" s="46" t="n">
        <v>0.1274015</v>
      </c>
      <c r="O1367" s="46" t="n">
        <v>0.2142035</v>
      </c>
      <c r="P1367" s="46" t="n">
        <v>0.4858216</v>
      </c>
      <c r="Q1367" s="46" t="n">
        <v>1.8425979</v>
      </c>
      <c r="R1367" s="46" t="n">
        <v>2.188092</v>
      </c>
      <c r="S1367" s="47" t="n">
        <f aca="false">M1367+N1367+O1367</f>
        <v>0.5908856</v>
      </c>
      <c r="T1367" s="47" t="n">
        <f aca="false">M1367+P1367</f>
        <v>0.7351022</v>
      </c>
    </row>
    <row r="1368" customFormat="false" ht="15" hidden="false" customHeight="false" outlineLevel="0" collapsed="false">
      <c r="A1368" s="42" t="s">
        <v>45</v>
      </c>
      <c r="B1368" s="42" t="n">
        <v>-8</v>
      </c>
      <c r="C1368" s="42" t="n">
        <v>67</v>
      </c>
      <c r="D1368" s="42" t="n">
        <v>74290982</v>
      </c>
      <c r="E1368" s="43" t="n">
        <v>0.775133918540837</v>
      </c>
      <c r="F1368" s="43" t="n">
        <v>0.813305906721197</v>
      </c>
      <c r="G1368" s="43" t="n">
        <v>0.810719215802995</v>
      </c>
      <c r="H1368" s="43" t="n">
        <v>0.823922114771424</v>
      </c>
      <c r="I1368" s="42" t="n">
        <v>1</v>
      </c>
      <c r="J1368" s="42" t="n">
        <v>1</v>
      </c>
      <c r="K1368" s="44" t="str">
        <f aca="false">IF(AND(I1368=1,J1368=1),"两者都跟住",IF(AND(I1368=0,J1368=1),"仅 PC-TBD 跟住",IF(AND(I1368=1,J1368=0),"仅 VIT-LPS 跟住","都没跟住")))</f>
        <v>两者都跟住</v>
      </c>
      <c r="L1368" s="45" t="n">
        <f aca="false">F1368-G1368</f>
        <v>0.00258669091820196</v>
      </c>
      <c r="M1368" s="46" t="n">
        <v>0.1489044</v>
      </c>
      <c r="N1368" s="46" t="n">
        <v>0.0842561</v>
      </c>
      <c r="O1368" s="46" t="n">
        <v>0.1103714</v>
      </c>
      <c r="P1368" s="46" t="n">
        <v>0.4878572</v>
      </c>
      <c r="Q1368" s="46" t="n">
        <v>1.3638604</v>
      </c>
      <c r="R1368" s="46" t="n">
        <v>1.4404983</v>
      </c>
      <c r="S1368" s="47" t="n">
        <f aca="false">M1368+N1368+O1368</f>
        <v>0.3435319</v>
      </c>
      <c r="T1368" s="47" t="n">
        <f aca="false">M1368+P1368</f>
        <v>0.6367616</v>
      </c>
    </row>
    <row r="1369" customFormat="false" ht="15" hidden="false" customHeight="false" outlineLevel="0" collapsed="false">
      <c r="A1369" s="42" t="s">
        <v>45</v>
      </c>
      <c r="B1369" s="42" t="n">
        <v>-8</v>
      </c>
      <c r="C1369" s="42" t="n">
        <v>68</v>
      </c>
      <c r="D1369" s="42" t="n">
        <v>74290983</v>
      </c>
      <c r="E1369" s="43" t="n">
        <v>0.740231561677289</v>
      </c>
      <c r="F1369" s="43" t="n">
        <v>0.777432592683607</v>
      </c>
      <c r="G1369" s="43" t="n">
        <v>0.774140862148513</v>
      </c>
      <c r="H1369" s="43" t="n">
        <v>0.804926289613393</v>
      </c>
      <c r="I1369" s="42" t="n">
        <v>1</v>
      </c>
      <c r="J1369" s="42" t="n">
        <v>1</v>
      </c>
      <c r="K1369" s="44" t="str">
        <f aca="false">IF(AND(I1369=1,J1369=1),"两者都跟住",IF(AND(I1369=0,J1369=1),"仅 PC-TBD 跟住",IF(AND(I1369=1,J1369=0),"仅 VIT-LPS 跟住","都没跟住")))</f>
        <v>两者都跟住</v>
      </c>
      <c r="L1369" s="45" t="n">
        <f aca="false">F1369-G1369</f>
        <v>0.00329173053509402</v>
      </c>
      <c r="M1369" s="46" t="n">
        <v>0.1792386</v>
      </c>
      <c r="N1369" s="46" t="n">
        <v>0.1071512</v>
      </c>
      <c r="O1369" s="46" t="n">
        <v>0.1953108</v>
      </c>
      <c r="P1369" s="46" t="n">
        <v>0.4839471</v>
      </c>
      <c r="Q1369" s="46" t="n">
        <v>1.3470789</v>
      </c>
      <c r="R1369" s="46" t="n">
        <v>1.3697649</v>
      </c>
      <c r="S1369" s="47" t="n">
        <f aca="false">M1369+N1369+O1369</f>
        <v>0.4817006</v>
      </c>
      <c r="T1369" s="47" t="n">
        <f aca="false">M1369+P1369</f>
        <v>0.6631857</v>
      </c>
    </row>
    <row r="1370" customFormat="false" ht="15" hidden="false" customHeight="false" outlineLevel="0" collapsed="false">
      <c r="A1370" s="42" t="s">
        <v>45</v>
      </c>
      <c r="B1370" s="42" t="n">
        <v>-8</v>
      </c>
      <c r="C1370" s="42" t="n">
        <v>69</v>
      </c>
      <c r="D1370" s="42" t="n">
        <v>74290984</v>
      </c>
      <c r="E1370" s="43" t="n">
        <v>0.777980669279177</v>
      </c>
      <c r="F1370" s="43" t="n">
        <v>0.813790457454422</v>
      </c>
      <c r="G1370" s="43" t="n">
        <v>0.819675631841979</v>
      </c>
      <c r="H1370" s="43" t="n">
        <v>0.835301017569963</v>
      </c>
      <c r="I1370" s="42" t="n">
        <v>1</v>
      </c>
      <c r="J1370" s="42" t="n">
        <v>1</v>
      </c>
      <c r="K1370" s="44" t="str">
        <f aca="false">IF(AND(I1370=1,J1370=1),"两者都跟住",IF(AND(I1370=0,J1370=1),"仅 PC-TBD 跟住",IF(AND(I1370=1,J1370=0),"仅 VIT-LPS 跟住","都没跟住")))</f>
        <v>两者都跟住</v>
      </c>
      <c r="L1370" s="45" t="n">
        <f aca="false">F1370-G1370</f>
        <v>-0.00588517438755698</v>
      </c>
      <c r="M1370" s="46" t="n">
        <v>0.1235954</v>
      </c>
      <c r="N1370" s="46" t="n">
        <v>0.11448</v>
      </c>
      <c r="O1370" s="46" t="n">
        <v>0.1788881</v>
      </c>
      <c r="P1370" s="46" t="n">
        <v>0.3976434</v>
      </c>
      <c r="Q1370" s="46" t="n">
        <v>1.3976331</v>
      </c>
      <c r="R1370" s="46" t="n">
        <v>1.4400144</v>
      </c>
      <c r="S1370" s="47" t="n">
        <f aca="false">M1370+N1370+O1370</f>
        <v>0.4169635</v>
      </c>
      <c r="T1370" s="47" t="n">
        <f aca="false">M1370+P1370</f>
        <v>0.5212388</v>
      </c>
    </row>
    <row r="1371" customFormat="false" ht="15" hidden="false" customHeight="false" outlineLevel="0" collapsed="false">
      <c r="A1371" s="42" t="s">
        <v>45</v>
      </c>
      <c r="B1371" s="42" t="n">
        <v>-8</v>
      </c>
      <c r="C1371" s="42" t="n">
        <v>70</v>
      </c>
      <c r="D1371" s="42" t="n">
        <v>74290985</v>
      </c>
      <c r="E1371" s="43" t="n">
        <v>0.787487962482686</v>
      </c>
      <c r="F1371" s="43" t="n">
        <v>0.817098772391468</v>
      </c>
      <c r="G1371" s="43" t="n">
        <v>0.822908035348684</v>
      </c>
      <c r="H1371" s="43" t="n">
        <v>0.837984685884253</v>
      </c>
      <c r="I1371" s="42" t="n">
        <v>1</v>
      </c>
      <c r="J1371" s="42" t="n">
        <v>1</v>
      </c>
      <c r="K1371" s="44" t="str">
        <f aca="false">IF(AND(I1371=1,J1371=1),"两者都跟住",IF(AND(I1371=0,J1371=1),"仅 PC-TBD 跟住",IF(AND(I1371=1,J1371=0),"仅 VIT-LPS 跟住","都没跟住")))</f>
        <v>两者都跟住</v>
      </c>
      <c r="L1371" s="45" t="n">
        <f aca="false">F1371-G1371</f>
        <v>-0.00580926295721596</v>
      </c>
      <c r="M1371" s="46" t="n">
        <v>0.1637464</v>
      </c>
      <c r="N1371" s="46" t="n">
        <v>0.0746257</v>
      </c>
      <c r="O1371" s="46" t="n">
        <v>0.1152341</v>
      </c>
      <c r="P1371" s="46" t="n">
        <v>0.4543444</v>
      </c>
      <c r="Q1371" s="46" t="n">
        <v>1.4902517</v>
      </c>
      <c r="R1371" s="46" t="n">
        <v>1.3602823</v>
      </c>
      <c r="S1371" s="47" t="n">
        <f aca="false">M1371+N1371+O1371</f>
        <v>0.3536062</v>
      </c>
      <c r="T1371" s="47" t="n">
        <f aca="false">M1371+P1371</f>
        <v>0.6180908</v>
      </c>
    </row>
    <row r="1372" customFormat="false" ht="15" hidden="false" customHeight="false" outlineLevel="0" collapsed="false">
      <c r="A1372" s="42" t="s">
        <v>45</v>
      </c>
      <c r="B1372" s="42" t="n">
        <v>-8</v>
      </c>
      <c r="C1372" s="42" t="n">
        <v>71</v>
      </c>
      <c r="D1372" s="42" t="n">
        <v>74290986</v>
      </c>
      <c r="E1372" s="43" t="n">
        <v>0.772194702400028</v>
      </c>
      <c r="F1372" s="43" t="n">
        <v>0.818241891832508</v>
      </c>
      <c r="G1372" s="43" t="n">
        <v>0.829349531940866</v>
      </c>
      <c r="H1372" s="43" t="n">
        <v>0.842861111395999</v>
      </c>
      <c r="I1372" s="42" t="n">
        <v>1</v>
      </c>
      <c r="J1372" s="42" t="n">
        <v>1</v>
      </c>
      <c r="K1372" s="44" t="str">
        <f aca="false">IF(AND(I1372=1,J1372=1),"两者都跟住",IF(AND(I1372=0,J1372=1),"仅 PC-TBD 跟住",IF(AND(I1372=1,J1372=0),"仅 VIT-LPS 跟住","都没跟住")))</f>
        <v>两者都跟住</v>
      </c>
      <c r="L1372" s="45" t="n">
        <f aca="false">F1372-G1372</f>
        <v>-0.0111076401083581</v>
      </c>
      <c r="M1372" s="46" t="n">
        <v>0.2060237</v>
      </c>
      <c r="N1372" s="46" t="n">
        <v>0.1353284</v>
      </c>
      <c r="O1372" s="46" t="n">
        <v>0.1385706</v>
      </c>
      <c r="P1372" s="46" t="n">
        <v>0.4840918</v>
      </c>
      <c r="Q1372" s="46" t="n">
        <v>2.1605681</v>
      </c>
      <c r="R1372" s="46" t="n">
        <v>1.582999</v>
      </c>
      <c r="S1372" s="47" t="n">
        <f aca="false">M1372+N1372+O1372</f>
        <v>0.4799227</v>
      </c>
      <c r="T1372" s="47" t="n">
        <f aca="false">M1372+P1372</f>
        <v>0.6901155</v>
      </c>
    </row>
    <row r="1373" customFormat="false" ht="15" hidden="false" customHeight="false" outlineLevel="0" collapsed="false">
      <c r="A1373" s="42" t="s">
        <v>45</v>
      </c>
      <c r="B1373" s="42" t="n">
        <v>-8</v>
      </c>
      <c r="C1373" s="42" t="n">
        <v>72</v>
      </c>
      <c r="D1373" s="42" t="n">
        <v>74290987</v>
      </c>
      <c r="E1373" s="43" t="n">
        <v>0.780014907905474</v>
      </c>
      <c r="F1373" s="43" t="n">
        <v>0.813236443439814</v>
      </c>
      <c r="G1373" s="43" t="n">
        <v>0.813759217416077</v>
      </c>
      <c r="H1373" s="43" t="n">
        <v>0.832659827456006</v>
      </c>
      <c r="I1373" s="42" t="n">
        <v>1</v>
      </c>
      <c r="J1373" s="42" t="n">
        <v>1</v>
      </c>
      <c r="K1373" s="44" t="str">
        <f aca="false">IF(AND(I1373=1,J1373=1),"两者都跟住",IF(AND(I1373=0,J1373=1),"仅 PC-TBD 跟住",IF(AND(I1373=1,J1373=0),"仅 VIT-LPS 跟住","都没跟住")))</f>
        <v>两者都跟住</v>
      </c>
      <c r="L1373" s="45" t="n">
        <f aca="false">F1373-G1373</f>
        <v>-0.000522773976262991</v>
      </c>
      <c r="M1373" s="46" t="n">
        <v>0.2383522</v>
      </c>
      <c r="N1373" s="46" t="n">
        <v>0.1280151</v>
      </c>
      <c r="O1373" s="46" t="n">
        <v>0.1418205</v>
      </c>
      <c r="P1373" s="46" t="n">
        <v>0.4359679</v>
      </c>
      <c r="Q1373" s="46" t="n">
        <v>1.973894</v>
      </c>
      <c r="R1373" s="46" t="n">
        <v>1.6102806</v>
      </c>
      <c r="S1373" s="47" t="n">
        <f aca="false">M1373+N1373+O1373</f>
        <v>0.5081878</v>
      </c>
      <c r="T1373" s="47" t="n">
        <f aca="false">M1373+P1373</f>
        <v>0.6743201</v>
      </c>
    </row>
    <row r="1374" customFormat="false" ht="15" hidden="false" customHeight="false" outlineLevel="0" collapsed="false">
      <c r="A1374" s="42" t="s">
        <v>45</v>
      </c>
      <c r="B1374" s="42" t="n">
        <v>-8</v>
      </c>
      <c r="C1374" s="42" t="n">
        <v>73</v>
      </c>
      <c r="D1374" s="42" t="n">
        <v>74290988</v>
      </c>
      <c r="E1374" s="43" t="n">
        <v>0.710389439100171</v>
      </c>
      <c r="F1374" s="43" t="n">
        <v>0.783992438018077</v>
      </c>
      <c r="G1374" s="43" t="n">
        <v>0.825337701818501</v>
      </c>
      <c r="H1374" s="43" t="n">
        <v>0.836765916709329</v>
      </c>
      <c r="I1374" s="42" t="n">
        <v>1</v>
      </c>
      <c r="J1374" s="42" t="n">
        <v>1</v>
      </c>
      <c r="K1374" s="44" t="str">
        <f aca="false">IF(AND(I1374=1,J1374=1),"两者都跟住",IF(AND(I1374=0,J1374=1),"仅 PC-TBD 跟住",IF(AND(I1374=1,J1374=0),"仅 VIT-LPS 跟住","都没跟住")))</f>
        <v>两者都跟住</v>
      </c>
      <c r="L1374" s="45" t="n">
        <f aca="false">F1374-G1374</f>
        <v>-0.0413452638004239</v>
      </c>
      <c r="M1374" s="46" t="n">
        <v>0.1949446</v>
      </c>
      <c r="N1374" s="46" t="n">
        <v>0.1224933</v>
      </c>
      <c r="O1374" s="46" t="n">
        <v>0.1708289</v>
      </c>
      <c r="P1374" s="46" t="n">
        <v>0.6432732</v>
      </c>
      <c r="Q1374" s="46" t="n">
        <v>1.9332098</v>
      </c>
      <c r="R1374" s="46" t="n">
        <v>2.0866796</v>
      </c>
      <c r="S1374" s="47" t="n">
        <f aca="false">M1374+N1374+O1374</f>
        <v>0.4882668</v>
      </c>
      <c r="T1374" s="47" t="n">
        <f aca="false">M1374+P1374</f>
        <v>0.8382178</v>
      </c>
    </row>
    <row r="1375" customFormat="false" ht="15" hidden="false" customHeight="false" outlineLevel="0" collapsed="false">
      <c r="A1375" s="42" t="s">
        <v>45</v>
      </c>
      <c r="B1375" s="42" t="n">
        <v>-8</v>
      </c>
      <c r="C1375" s="42" t="n">
        <v>74</v>
      </c>
      <c r="D1375" s="42" t="n">
        <v>74290989</v>
      </c>
      <c r="E1375" s="43" t="n">
        <v>0.772769648960574</v>
      </c>
      <c r="F1375" s="43" t="n">
        <v>0.819565528326278</v>
      </c>
      <c r="G1375" s="43" t="n">
        <v>0.824148777752264</v>
      </c>
      <c r="H1375" s="43" t="n">
        <v>0.833610345788108</v>
      </c>
      <c r="I1375" s="42" t="n">
        <v>1</v>
      </c>
      <c r="J1375" s="42" t="n">
        <v>1</v>
      </c>
      <c r="K1375" s="44" t="str">
        <f aca="false">IF(AND(I1375=1,J1375=1),"两者都跟住",IF(AND(I1375=0,J1375=1),"仅 PC-TBD 跟住",IF(AND(I1375=1,J1375=0),"仅 VIT-LPS 跟住","都没跟住")))</f>
        <v>两者都跟住</v>
      </c>
      <c r="L1375" s="45" t="n">
        <f aca="false">F1375-G1375</f>
        <v>-0.00458324942598598</v>
      </c>
      <c r="M1375" s="46" t="n">
        <v>0.2466516</v>
      </c>
      <c r="N1375" s="46" t="n">
        <v>0.1205135</v>
      </c>
      <c r="O1375" s="46" t="n">
        <v>0.1432754</v>
      </c>
      <c r="P1375" s="46" t="n">
        <v>0.5225335</v>
      </c>
      <c r="Q1375" s="46" t="n">
        <v>1.9837982</v>
      </c>
      <c r="R1375" s="46" t="n">
        <v>1.9241869</v>
      </c>
      <c r="S1375" s="47" t="n">
        <f aca="false">M1375+N1375+O1375</f>
        <v>0.5104405</v>
      </c>
      <c r="T1375" s="47" t="n">
        <f aca="false">M1375+P1375</f>
        <v>0.7691851</v>
      </c>
    </row>
    <row r="1376" customFormat="false" ht="15" hidden="false" customHeight="false" outlineLevel="0" collapsed="false">
      <c r="A1376" s="42" t="s">
        <v>45</v>
      </c>
      <c r="B1376" s="42" t="n">
        <v>-8</v>
      </c>
      <c r="C1376" s="42" t="n">
        <v>75</v>
      </c>
      <c r="D1376" s="42" t="n">
        <v>74290990</v>
      </c>
      <c r="E1376" s="43" t="n">
        <v>0.764384376711328</v>
      </c>
      <c r="F1376" s="43" t="n">
        <v>0.805697551980397</v>
      </c>
      <c r="G1376" s="43" t="n">
        <v>0.821988547368242</v>
      </c>
      <c r="H1376" s="43" t="n">
        <v>0.826561510768583</v>
      </c>
      <c r="I1376" s="42" t="n">
        <v>1</v>
      </c>
      <c r="J1376" s="42" t="n">
        <v>1</v>
      </c>
      <c r="K1376" s="44" t="str">
        <f aca="false">IF(AND(I1376=1,J1376=1),"两者都跟住",IF(AND(I1376=0,J1376=1),"仅 PC-TBD 跟住",IF(AND(I1376=1,J1376=0),"仅 VIT-LPS 跟住","都没跟住")))</f>
        <v>两者都跟住</v>
      </c>
      <c r="L1376" s="45" t="n">
        <f aca="false">F1376-G1376</f>
        <v>-0.016290995387845</v>
      </c>
      <c r="M1376" s="46" t="n">
        <v>0.2574666</v>
      </c>
      <c r="N1376" s="46" t="n">
        <v>0.1323304</v>
      </c>
      <c r="O1376" s="46" t="n">
        <v>0.2048547</v>
      </c>
      <c r="P1376" s="46" t="n">
        <v>0.5879845</v>
      </c>
      <c r="Q1376" s="46" t="n">
        <v>2.0610625</v>
      </c>
      <c r="R1376" s="46" t="n">
        <v>2.2099926</v>
      </c>
      <c r="S1376" s="47" t="n">
        <f aca="false">M1376+N1376+O1376</f>
        <v>0.5946517</v>
      </c>
      <c r="T1376" s="47" t="n">
        <f aca="false">M1376+P1376</f>
        <v>0.8454511</v>
      </c>
    </row>
    <row r="1377" customFormat="false" ht="15" hidden="false" customHeight="false" outlineLevel="0" collapsed="false">
      <c r="A1377" s="42" t="s">
        <v>45</v>
      </c>
      <c r="B1377" s="42" t="n">
        <v>-8</v>
      </c>
      <c r="C1377" s="42" t="n">
        <v>76</v>
      </c>
      <c r="D1377" s="42" t="n">
        <v>74290991</v>
      </c>
      <c r="E1377" s="43" t="n">
        <v>0.771425456310715</v>
      </c>
      <c r="F1377" s="43" t="n">
        <v>0.813834239414997</v>
      </c>
      <c r="G1377" s="43" t="n">
        <v>0.825873125373848</v>
      </c>
      <c r="H1377" s="43" t="n">
        <v>0.841355670845259</v>
      </c>
      <c r="I1377" s="42" t="n">
        <v>1</v>
      </c>
      <c r="J1377" s="42" t="n">
        <v>1</v>
      </c>
      <c r="K1377" s="44" t="str">
        <f aca="false">IF(AND(I1377=1,J1377=1),"两者都跟住",IF(AND(I1377=0,J1377=1),"仅 PC-TBD 跟住",IF(AND(I1377=1,J1377=0),"仅 VIT-LPS 跟住","都没跟住")))</f>
        <v>两者都跟住</v>
      </c>
      <c r="L1377" s="45" t="n">
        <f aca="false">F1377-G1377</f>
        <v>-0.0120388859588511</v>
      </c>
      <c r="M1377" s="46" t="n">
        <v>0.2426675</v>
      </c>
      <c r="N1377" s="46" t="n">
        <v>0.1347981</v>
      </c>
      <c r="O1377" s="46" t="n">
        <v>0.203876</v>
      </c>
      <c r="P1377" s="46" t="n">
        <v>0.5391491</v>
      </c>
      <c r="Q1377" s="46" t="n">
        <v>2.1016536</v>
      </c>
      <c r="R1377" s="46" t="n">
        <v>2.1823802</v>
      </c>
      <c r="S1377" s="47" t="n">
        <f aca="false">M1377+N1377+O1377</f>
        <v>0.5813416</v>
      </c>
      <c r="T1377" s="47" t="n">
        <f aca="false">M1377+P1377</f>
        <v>0.7818166</v>
      </c>
    </row>
    <row r="1378" customFormat="false" ht="15" hidden="false" customHeight="false" outlineLevel="0" collapsed="false">
      <c r="A1378" s="42" t="s">
        <v>45</v>
      </c>
      <c r="B1378" s="42" t="n">
        <v>-8</v>
      </c>
      <c r="C1378" s="42" t="n">
        <v>77</v>
      </c>
      <c r="D1378" s="42" t="n">
        <v>74290992</v>
      </c>
      <c r="E1378" s="43" t="n">
        <v>0.788834275319554</v>
      </c>
      <c r="F1378" s="43" t="n">
        <v>0.816937859510006</v>
      </c>
      <c r="G1378" s="43" t="n">
        <v>0.822562538217386</v>
      </c>
      <c r="H1378" s="43" t="n">
        <v>0.842046206502992</v>
      </c>
      <c r="I1378" s="42" t="n">
        <v>1</v>
      </c>
      <c r="J1378" s="42" t="n">
        <v>1</v>
      </c>
      <c r="K1378" s="44" t="str">
        <f aca="false">IF(AND(I1378=1,J1378=1),"两者都跟住",IF(AND(I1378=0,J1378=1),"仅 PC-TBD 跟住",IF(AND(I1378=1,J1378=0),"仅 VIT-LPS 跟住","都没跟住")))</f>
        <v>两者都跟住</v>
      </c>
      <c r="L1378" s="45" t="n">
        <f aca="false">F1378-G1378</f>
        <v>-0.00562467870738004</v>
      </c>
      <c r="M1378" s="46" t="n">
        <v>0.1162522</v>
      </c>
      <c r="N1378" s="46" t="n">
        <v>0.0629694</v>
      </c>
      <c r="O1378" s="46" t="n">
        <v>0.1502547</v>
      </c>
      <c r="P1378" s="46" t="n">
        <v>0.3490023</v>
      </c>
      <c r="Q1378" s="46" t="n">
        <v>1.1186572</v>
      </c>
      <c r="R1378" s="46" t="n">
        <v>1.1672603</v>
      </c>
      <c r="S1378" s="47" t="n">
        <f aca="false">M1378+N1378+O1378</f>
        <v>0.3294763</v>
      </c>
      <c r="T1378" s="47" t="n">
        <f aca="false">M1378+P1378</f>
        <v>0.4652545</v>
      </c>
    </row>
    <row r="1379" customFormat="false" ht="15" hidden="false" customHeight="false" outlineLevel="0" collapsed="false">
      <c r="A1379" s="42" t="s">
        <v>45</v>
      </c>
      <c r="B1379" s="42" t="n">
        <v>-8</v>
      </c>
      <c r="C1379" s="42" t="n">
        <v>78</v>
      </c>
      <c r="D1379" s="42" t="n">
        <v>74290993</v>
      </c>
      <c r="E1379" s="43" t="n">
        <v>0.672831334131651</v>
      </c>
      <c r="F1379" s="43" t="n">
        <v>0.784372332254751</v>
      </c>
      <c r="G1379" s="43" t="n">
        <v>0.830157225309385</v>
      </c>
      <c r="H1379" s="43" t="n">
        <v>0.834381150809021</v>
      </c>
      <c r="I1379" s="42" t="n">
        <v>1</v>
      </c>
      <c r="J1379" s="42" t="n">
        <v>1</v>
      </c>
      <c r="K1379" s="44" t="str">
        <f aca="false">IF(AND(I1379=1,J1379=1),"两者都跟住",IF(AND(I1379=0,J1379=1),"仅 PC-TBD 跟住",IF(AND(I1379=1,J1379=0),"仅 VIT-LPS 跟住","都没跟住")))</f>
        <v>两者都跟住</v>
      </c>
      <c r="L1379" s="45" t="n">
        <f aca="false">F1379-G1379</f>
        <v>-0.045784893054634</v>
      </c>
      <c r="M1379" s="46" t="n">
        <v>0.1349276</v>
      </c>
      <c r="N1379" s="46" t="n">
        <v>0.0915915</v>
      </c>
      <c r="O1379" s="46" t="n">
        <v>0.1643151</v>
      </c>
      <c r="P1379" s="46" t="n">
        <v>0.471736</v>
      </c>
      <c r="Q1379" s="46" t="n">
        <v>1.0967573</v>
      </c>
      <c r="R1379" s="46" t="n">
        <v>1.131141</v>
      </c>
      <c r="S1379" s="47" t="n">
        <f aca="false">M1379+N1379+O1379</f>
        <v>0.3908342</v>
      </c>
      <c r="T1379" s="47" t="n">
        <f aca="false">M1379+P1379</f>
        <v>0.6066636</v>
      </c>
    </row>
    <row r="1380" customFormat="false" ht="15" hidden="false" customHeight="false" outlineLevel="0" collapsed="false">
      <c r="A1380" s="42" t="s">
        <v>45</v>
      </c>
      <c r="B1380" s="42" t="n">
        <v>-8</v>
      </c>
      <c r="C1380" s="42" t="n">
        <v>79</v>
      </c>
      <c r="D1380" s="42" t="n">
        <v>74290994</v>
      </c>
      <c r="E1380" s="43" t="n">
        <v>0.78708279015399</v>
      </c>
      <c r="F1380" s="43" t="n">
        <v>0.818319146557462</v>
      </c>
      <c r="G1380" s="43" t="n">
        <v>0.831180121670634</v>
      </c>
      <c r="H1380" s="43" t="n">
        <v>0.832735297740712</v>
      </c>
      <c r="I1380" s="42" t="n">
        <v>1</v>
      </c>
      <c r="J1380" s="42" t="n">
        <v>1</v>
      </c>
      <c r="K1380" s="44" t="str">
        <f aca="false">IF(AND(I1380=1,J1380=1),"两者都跟住",IF(AND(I1380=0,J1380=1),"仅 PC-TBD 跟住",IF(AND(I1380=1,J1380=0),"仅 VIT-LPS 跟住","都没跟住")))</f>
        <v>两者都跟住</v>
      </c>
      <c r="L1380" s="45" t="n">
        <f aca="false">F1380-G1380</f>
        <v>-0.0128609751131721</v>
      </c>
      <c r="M1380" s="46" t="n">
        <v>0.1551311</v>
      </c>
      <c r="N1380" s="46" t="n">
        <v>0.1146262</v>
      </c>
      <c r="O1380" s="46" t="n">
        <v>0.1138172</v>
      </c>
      <c r="P1380" s="46" t="n">
        <v>0.4087279</v>
      </c>
      <c r="Q1380" s="46" t="n">
        <v>1.5150145</v>
      </c>
      <c r="R1380" s="46" t="n">
        <v>1.4572395</v>
      </c>
      <c r="S1380" s="47" t="n">
        <f aca="false">M1380+N1380+O1380</f>
        <v>0.3835745</v>
      </c>
      <c r="T1380" s="47" t="n">
        <f aca="false">M1380+P1380</f>
        <v>0.563859</v>
      </c>
    </row>
    <row r="1381" customFormat="false" ht="15" hidden="false" customHeight="false" outlineLevel="0" collapsed="false">
      <c r="A1381" s="42" t="s">
        <v>45</v>
      </c>
      <c r="B1381" s="42" t="n">
        <v>-8</v>
      </c>
      <c r="C1381" s="42" t="n">
        <v>80</v>
      </c>
      <c r="D1381" s="42" t="n">
        <v>74290995</v>
      </c>
      <c r="E1381" s="43" t="n">
        <v>0.784291178799065</v>
      </c>
      <c r="F1381" s="43" t="n">
        <v>0.810938640443011</v>
      </c>
      <c r="G1381" s="43" t="n">
        <v>0.824466895350257</v>
      </c>
      <c r="H1381" s="43" t="n">
        <v>0.839266325095623</v>
      </c>
      <c r="I1381" s="42" t="n">
        <v>1</v>
      </c>
      <c r="J1381" s="42" t="n">
        <v>1</v>
      </c>
      <c r="K1381" s="44" t="str">
        <f aca="false">IF(AND(I1381=1,J1381=1),"两者都跟住",IF(AND(I1381=0,J1381=1),"仅 PC-TBD 跟住",IF(AND(I1381=1,J1381=0),"仅 VIT-LPS 跟住","都没跟住")))</f>
        <v>两者都跟住</v>
      </c>
      <c r="L1381" s="45" t="n">
        <f aca="false">F1381-G1381</f>
        <v>-0.013528254907246</v>
      </c>
      <c r="M1381" s="46" t="n">
        <v>0.1308454</v>
      </c>
      <c r="N1381" s="46" t="n">
        <v>0.0859495</v>
      </c>
      <c r="O1381" s="46" t="n">
        <v>0.1599823</v>
      </c>
      <c r="P1381" s="46" t="n">
        <v>0.5710321</v>
      </c>
      <c r="Q1381" s="46" t="n">
        <v>1.2207476</v>
      </c>
      <c r="R1381" s="46" t="n">
        <v>1.2797976</v>
      </c>
      <c r="S1381" s="47" t="n">
        <f aca="false">M1381+N1381+O1381</f>
        <v>0.3767772</v>
      </c>
      <c r="T1381" s="47" t="n">
        <f aca="false">M1381+P1381</f>
        <v>0.7018775</v>
      </c>
    </row>
    <row r="1382" customFormat="false" ht="15" hidden="false" customHeight="false" outlineLevel="0" collapsed="false">
      <c r="A1382" s="42" t="s">
        <v>45</v>
      </c>
      <c r="B1382" s="42" t="n">
        <v>-8</v>
      </c>
      <c r="C1382" s="42" t="n">
        <v>81</v>
      </c>
      <c r="D1382" s="42" t="n">
        <v>74290996</v>
      </c>
      <c r="E1382" s="43" t="n">
        <v>0.793641836169186</v>
      </c>
      <c r="F1382" s="43" t="n">
        <v>0.814289924062898</v>
      </c>
      <c r="G1382" s="43" t="n">
        <v>0.829311659269228</v>
      </c>
      <c r="H1382" s="43" t="n">
        <v>0.828994707094613</v>
      </c>
      <c r="I1382" s="42" t="n">
        <v>1</v>
      </c>
      <c r="J1382" s="42" t="n">
        <v>1</v>
      </c>
      <c r="K1382" s="44" t="str">
        <f aca="false">IF(AND(I1382=1,J1382=1),"两者都跟住",IF(AND(I1382=0,J1382=1),"仅 PC-TBD 跟住",IF(AND(I1382=1,J1382=0),"仅 VIT-LPS 跟住","都没跟住")))</f>
        <v>两者都跟住</v>
      </c>
      <c r="L1382" s="45" t="n">
        <f aca="false">F1382-G1382</f>
        <v>-0.01502173520633</v>
      </c>
      <c r="M1382" s="46" t="n">
        <v>0.2662733</v>
      </c>
      <c r="N1382" s="46" t="n">
        <v>0.1224562</v>
      </c>
      <c r="O1382" s="46" t="n">
        <v>0.1997634</v>
      </c>
      <c r="P1382" s="46" t="n">
        <v>0.5558305</v>
      </c>
      <c r="Q1382" s="46" t="n">
        <v>1.864166</v>
      </c>
      <c r="R1382" s="46" t="n">
        <v>1.8176964</v>
      </c>
      <c r="S1382" s="47" t="n">
        <f aca="false">M1382+N1382+O1382</f>
        <v>0.5884929</v>
      </c>
      <c r="T1382" s="47" t="n">
        <f aca="false">M1382+P1382</f>
        <v>0.8221038</v>
      </c>
    </row>
    <row r="1383" customFormat="false" ht="15" hidden="false" customHeight="false" outlineLevel="0" collapsed="false">
      <c r="A1383" s="42" t="s">
        <v>45</v>
      </c>
      <c r="B1383" s="42" t="n">
        <v>-8</v>
      </c>
      <c r="C1383" s="42" t="n">
        <v>82</v>
      </c>
      <c r="D1383" s="42" t="n">
        <v>74290997</v>
      </c>
      <c r="E1383" s="43" t="n">
        <v>0.769562112628884</v>
      </c>
      <c r="F1383" s="43" t="n">
        <v>0.806946645787782</v>
      </c>
      <c r="G1383" s="43" t="n">
        <v>0.824969431455432</v>
      </c>
      <c r="H1383" s="43" t="n">
        <v>0.826936388464872</v>
      </c>
      <c r="I1383" s="42" t="n">
        <v>1</v>
      </c>
      <c r="J1383" s="42" t="n">
        <v>1</v>
      </c>
      <c r="K1383" s="44" t="str">
        <f aca="false">IF(AND(I1383=1,J1383=1),"两者都跟住",IF(AND(I1383=0,J1383=1),"仅 PC-TBD 跟住",IF(AND(I1383=1,J1383=0),"仅 VIT-LPS 跟住","都没跟住")))</f>
        <v>两者都跟住</v>
      </c>
      <c r="L1383" s="45" t="n">
        <f aca="false">F1383-G1383</f>
        <v>-0.01802278566765</v>
      </c>
      <c r="M1383" s="46" t="n">
        <v>0.2123412</v>
      </c>
      <c r="N1383" s="46" t="n">
        <v>0.1573126</v>
      </c>
      <c r="O1383" s="46" t="n">
        <v>0.1384236</v>
      </c>
      <c r="P1383" s="46" t="n">
        <v>0.5189561</v>
      </c>
      <c r="Q1383" s="46" t="n">
        <v>2.1405152</v>
      </c>
      <c r="R1383" s="46" t="n">
        <v>2.0810216</v>
      </c>
      <c r="S1383" s="47" t="n">
        <f aca="false">M1383+N1383+O1383</f>
        <v>0.5080774</v>
      </c>
      <c r="T1383" s="47" t="n">
        <f aca="false">M1383+P1383</f>
        <v>0.7312973</v>
      </c>
    </row>
    <row r="1384" customFormat="false" ht="15" hidden="false" customHeight="false" outlineLevel="0" collapsed="false">
      <c r="A1384" s="42" t="s">
        <v>45</v>
      </c>
      <c r="B1384" s="42" t="n">
        <v>-8</v>
      </c>
      <c r="C1384" s="42" t="n">
        <v>83</v>
      </c>
      <c r="D1384" s="42" t="n">
        <v>74290998</v>
      </c>
      <c r="E1384" s="43" t="n">
        <v>0.718076787637314</v>
      </c>
      <c r="F1384" s="43" t="n">
        <v>0.780869750070059</v>
      </c>
      <c r="G1384" s="43" t="n">
        <v>0.782107420807856</v>
      </c>
      <c r="H1384" s="43" t="n">
        <v>0.805676069946419</v>
      </c>
      <c r="I1384" s="42" t="n">
        <v>1</v>
      </c>
      <c r="J1384" s="42" t="n">
        <v>1</v>
      </c>
      <c r="K1384" s="44" t="str">
        <f aca="false">IF(AND(I1384=1,J1384=1),"两者都跟住",IF(AND(I1384=0,J1384=1),"仅 PC-TBD 跟住",IF(AND(I1384=1,J1384=0),"仅 VIT-LPS 跟住","都没跟住")))</f>
        <v>两者都跟住</v>
      </c>
      <c r="L1384" s="45" t="n">
        <f aca="false">F1384-G1384</f>
        <v>-0.00123767073779701</v>
      </c>
      <c r="M1384" s="46" t="n">
        <v>0.2720115</v>
      </c>
      <c r="N1384" s="46" t="n">
        <v>0.1340293</v>
      </c>
      <c r="O1384" s="46" t="n">
        <v>0.1098192</v>
      </c>
      <c r="P1384" s="46" t="n">
        <v>0.4693672</v>
      </c>
      <c r="Q1384" s="46" t="n">
        <v>1.9508971</v>
      </c>
      <c r="R1384" s="46" t="n">
        <v>1.6340673</v>
      </c>
      <c r="S1384" s="47" t="n">
        <f aca="false">M1384+N1384+O1384</f>
        <v>0.51586</v>
      </c>
      <c r="T1384" s="47" t="n">
        <f aca="false">M1384+P1384</f>
        <v>0.7413787</v>
      </c>
    </row>
    <row r="1385" customFormat="false" ht="15" hidden="false" customHeight="false" outlineLevel="0" collapsed="false">
      <c r="A1385" s="42" t="s">
        <v>45</v>
      </c>
      <c r="B1385" s="42" t="n">
        <v>-8</v>
      </c>
      <c r="C1385" s="42" t="n">
        <v>84</v>
      </c>
      <c r="D1385" s="42" t="n">
        <v>74290999</v>
      </c>
      <c r="E1385" s="43" t="n">
        <v>0.734132607269811</v>
      </c>
      <c r="F1385" s="43" t="n">
        <v>0.808577085982796</v>
      </c>
      <c r="G1385" s="43" t="n">
        <v>0.817171312849536</v>
      </c>
      <c r="H1385" s="43" t="n">
        <v>0.823988916078425</v>
      </c>
      <c r="I1385" s="42" t="n">
        <v>1</v>
      </c>
      <c r="J1385" s="42" t="n">
        <v>1</v>
      </c>
      <c r="K1385" s="44" t="str">
        <f aca="false">IF(AND(I1385=1,J1385=1),"两者都跟住",IF(AND(I1385=0,J1385=1),"仅 PC-TBD 跟住",IF(AND(I1385=1,J1385=0),"仅 VIT-LPS 跟住","都没跟住")))</f>
        <v>两者都跟住</v>
      </c>
      <c r="L1385" s="45" t="n">
        <f aca="false">F1385-G1385</f>
        <v>-0.00859422686674005</v>
      </c>
      <c r="M1385" s="46" t="n">
        <v>0.2508876</v>
      </c>
      <c r="N1385" s="46" t="n">
        <v>0.1190184</v>
      </c>
      <c r="O1385" s="46" t="n">
        <v>0.2001143</v>
      </c>
      <c r="P1385" s="46" t="n">
        <v>0.4455396</v>
      </c>
      <c r="Q1385" s="46" t="n">
        <v>1.882981</v>
      </c>
      <c r="R1385" s="46" t="n">
        <v>2.1479784</v>
      </c>
      <c r="S1385" s="47" t="n">
        <f aca="false">M1385+N1385+O1385</f>
        <v>0.5700203</v>
      </c>
      <c r="T1385" s="47" t="n">
        <f aca="false">M1385+P1385</f>
        <v>0.6964272</v>
      </c>
    </row>
    <row r="1386" customFormat="false" ht="15" hidden="false" customHeight="false" outlineLevel="0" collapsed="false">
      <c r="A1386" s="42" t="s">
        <v>45</v>
      </c>
      <c r="B1386" s="42" t="n">
        <v>-8</v>
      </c>
      <c r="C1386" s="42" t="n">
        <v>85</v>
      </c>
      <c r="D1386" s="42" t="n">
        <v>74291000</v>
      </c>
      <c r="E1386" s="43" t="n">
        <v>0.784586132343487</v>
      </c>
      <c r="F1386" s="43" t="n">
        <v>0.824903078493256</v>
      </c>
      <c r="G1386" s="43" t="n">
        <v>0.828657329079739</v>
      </c>
      <c r="H1386" s="43" t="n">
        <v>0.838745233478783</v>
      </c>
      <c r="I1386" s="42" t="n">
        <v>1</v>
      </c>
      <c r="J1386" s="42" t="n">
        <v>1</v>
      </c>
      <c r="K1386" s="44" t="str">
        <f aca="false">IF(AND(I1386=1,J1386=1),"两者都跟住",IF(AND(I1386=0,J1386=1),"仅 PC-TBD 跟住",IF(AND(I1386=1,J1386=0),"仅 VIT-LPS 跟住","都没跟住")))</f>
        <v>两者都跟住</v>
      </c>
      <c r="L1386" s="45" t="n">
        <f aca="false">F1386-G1386</f>
        <v>-0.00375425058648304</v>
      </c>
      <c r="M1386" s="46" t="n">
        <v>0.228987</v>
      </c>
      <c r="N1386" s="46" t="n">
        <v>0.137971</v>
      </c>
      <c r="O1386" s="46" t="n">
        <v>0.1854235</v>
      </c>
      <c r="P1386" s="46" t="n">
        <v>0.5966869</v>
      </c>
      <c r="Q1386" s="46" t="n">
        <v>2.1280826</v>
      </c>
      <c r="R1386" s="46" t="n">
        <v>2.091704</v>
      </c>
      <c r="S1386" s="47" t="n">
        <f aca="false">M1386+N1386+O1386</f>
        <v>0.5523815</v>
      </c>
      <c r="T1386" s="47" t="n">
        <f aca="false">M1386+P1386</f>
        <v>0.8256739</v>
      </c>
    </row>
    <row r="1387" customFormat="false" ht="15" hidden="false" customHeight="false" outlineLevel="0" collapsed="false">
      <c r="A1387" s="42" t="s">
        <v>45</v>
      </c>
      <c r="B1387" s="42" t="n">
        <v>-8</v>
      </c>
      <c r="C1387" s="42" t="n">
        <v>86</v>
      </c>
      <c r="D1387" s="42" t="n">
        <v>74291001</v>
      </c>
      <c r="E1387" s="43" t="n">
        <v>0.707344531441668</v>
      </c>
      <c r="F1387" s="43" t="n">
        <v>0.786843285941763</v>
      </c>
      <c r="G1387" s="43" t="n">
        <v>0.79050449773321</v>
      </c>
      <c r="H1387" s="43" t="n">
        <v>0.811500968004073</v>
      </c>
      <c r="I1387" s="42" t="n">
        <v>1</v>
      </c>
      <c r="J1387" s="42" t="n">
        <v>1</v>
      </c>
      <c r="K1387" s="44" t="str">
        <f aca="false">IF(AND(I1387=1,J1387=1),"两者都跟住",IF(AND(I1387=0,J1387=1),"仅 PC-TBD 跟住",IF(AND(I1387=1,J1387=0),"仅 VIT-LPS 跟住","都没跟住")))</f>
        <v>两者都跟住</v>
      </c>
      <c r="L1387" s="45" t="n">
        <f aca="false">F1387-G1387</f>
        <v>-0.00366121179144696</v>
      </c>
      <c r="M1387" s="46" t="n">
        <v>0.2856138</v>
      </c>
      <c r="N1387" s="46" t="n">
        <v>0.1342997</v>
      </c>
      <c r="O1387" s="46" t="n">
        <v>0.1556514</v>
      </c>
      <c r="P1387" s="46" t="n">
        <v>0.5909201</v>
      </c>
      <c r="Q1387" s="46" t="n">
        <v>1.9130967</v>
      </c>
      <c r="R1387" s="46" t="n">
        <v>2.2160836</v>
      </c>
      <c r="S1387" s="47" t="n">
        <f aca="false">M1387+N1387+O1387</f>
        <v>0.5755649</v>
      </c>
      <c r="T1387" s="47" t="n">
        <f aca="false">M1387+P1387</f>
        <v>0.8765339</v>
      </c>
    </row>
    <row r="1388" customFormat="false" ht="15" hidden="false" customHeight="false" outlineLevel="0" collapsed="false">
      <c r="A1388" s="42" t="s">
        <v>45</v>
      </c>
      <c r="B1388" s="42" t="n">
        <v>-8</v>
      </c>
      <c r="C1388" s="42" t="n">
        <v>87</v>
      </c>
      <c r="D1388" s="42" t="n">
        <v>74291002</v>
      </c>
      <c r="E1388" s="43" t="n">
        <v>0.748457928529685</v>
      </c>
      <c r="F1388" s="43" t="n">
        <v>0.812679717981532</v>
      </c>
      <c r="G1388" s="43" t="n">
        <v>0.820548298508368</v>
      </c>
      <c r="H1388" s="43" t="n">
        <v>0.836549078875288</v>
      </c>
      <c r="I1388" s="42" t="n">
        <v>1</v>
      </c>
      <c r="J1388" s="42" t="n">
        <v>1</v>
      </c>
      <c r="K1388" s="44" t="str">
        <f aca="false">IF(AND(I1388=1,J1388=1),"两者都跟住",IF(AND(I1388=0,J1388=1),"仅 PC-TBD 跟住",IF(AND(I1388=1,J1388=0),"仅 VIT-LPS 跟住","都没跟住")))</f>
        <v>两者都跟住</v>
      </c>
      <c r="L1388" s="45" t="n">
        <f aca="false">F1388-G1388</f>
        <v>-0.00786858052683592</v>
      </c>
      <c r="M1388" s="46" t="n">
        <v>0.1697966</v>
      </c>
      <c r="N1388" s="46" t="n">
        <v>0.1040492</v>
      </c>
      <c r="O1388" s="46" t="n">
        <v>0.1368598</v>
      </c>
      <c r="P1388" s="46" t="n">
        <v>0.4260931</v>
      </c>
      <c r="Q1388" s="46" t="n">
        <v>1.5841682</v>
      </c>
      <c r="R1388" s="46" t="n">
        <v>2.0817608</v>
      </c>
      <c r="S1388" s="47" t="n">
        <f aca="false">M1388+N1388+O1388</f>
        <v>0.4107056</v>
      </c>
      <c r="T1388" s="47" t="n">
        <f aca="false">M1388+P1388</f>
        <v>0.5958897</v>
      </c>
    </row>
    <row r="1389" customFormat="false" ht="15" hidden="false" customHeight="false" outlineLevel="0" collapsed="false">
      <c r="A1389" s="42" t="s">
        <v>45</v>
      </c>
      <c r="B1389" s="42" t="n">
        <v>-8</v>
      </c>
      <c r="C1389" s="42" t="n">
        <v>88</v>
      </c>
      <c r="D1389" s="42" t="n">
        <v>74291003</v>
      </c>
      <c r="E1389" s="43" t="n">
        <v>0.712027556133726</v>
      </c>
      <c r="F1389" s="43" t="n">
        <v>0.783034438583628</v>
      </c>
      <c r="G1389" s="43" t="n">
        <v>0.814188642330516</v>
      </c>
      <c r="H1389" s="43" t="n">
        <v>0.838254455810397</v>
      </c>
      <c r="I1389" s="42" t="n">
        <v>1</v>
      </c>
      <c r="J1389" s="42" t="n">
        <v>1</v>
      </c>
      <c r="K1389" s="44" t="str">
        <f aca="false">IF(AND(I1389=1,J1389=1),"两者都跟住",IF(AND(I1389=0,J1389=1),"仅 PC-TBD 跟住",IF(AND(I1389=1,J1389=0),"仅 VIT-LPS 跟住","都没跟住")))</f>
        <v>两者都跟住</v>
      </c>
      <c r="L1389" s="45" t="n">
        <f aca="false">F1389-G1389</f>
        <v>-0.031154203746888</v>
      </c>
      <c r="M1389" s="46" t="n">
        <v>0.1430599</v>
      </c>
      <c r="N1389" s="46" t="n">
        <v>0.1192918</v>
      </c>
      <c r="O1389" s="46" t="n">
        <v>0.1612797</v>
      </c>
      <c r="P1389" s="46" t="n">
        <v>0.4779519</v>
      </c>
      <c r="Q1389" s="46" t="n">
        <v>1.7779712</v>
      </c>
      <c r="R1389" s="46" t="n">
        <v>1.6695071</v>
      </c>
      <c r="S1389" s="47" t="n">
        <f aca="false">M1389+N1389+O1389</f>
        <v>0.4236314</v>
      </c>
      <c r="T1389" s="47" t="n">
        <f aca="false">M1389+P1389</f>
        <v>0.6210118</v>
      </c>
    </row>
    <row r="1390" customFormat="false" ht="15" hidden="false" customHeight="false" outlineLevel="0" collapsed="false">
      <c r="A1390" s="42" t="s">
        <v>45</v>
      </c>
      <c r="B1390" s="42" t="n">
        <v>-8</v>
      </c>
      <c r="C1390" s="42" t="n">
        <v>89</v>
      </c>
      <c r="D1390" s="42" t="n">
        <v>74291004</v>
      </c>
      <c r="E1390" s="43" t="n">
        <v>0.776229377391997</v>
      </c>
      <c r="F1390" s="43" t="n">
        <v>0.820091965977646</v>
      </c>
      <c r="G1390" s="43" t="n">
        <v>0.823707189006973</v>
      </c>
      <c r="H1390" s="43" t="n">
        <v>0.845089671983423</v>
      </c>
      <c r="I1390" s="42" t="n">
        <v>1</v>
      </c>
      <c r="J1390" s="42" t="n">
        <v>1</v>
      </c>
      <c r="K1390" s="44" t="str">
        <f aca="false">IF(AND(I1390=1,J1390=1),"两者都跟住",IF(AND(I1390=0,J1390=1),"仅 PC-TBD 跟住",IF(AND(I1390=1,J1390=0),"仅 VIT-LPS 跟住","都没跟住")))</f>
        <v>两者都跟住</v>
      </c>
      <c r="L1390" s="45" t="n">
        <f aca="false">F1390-G1390</f>
        <v>-0.00361522302932704</v>
      </c>
      <c r="M1390" s="46" t="n">
        <v>0.1497126</v>
      </c>
      <c r="N1390" s="46" t="n">
        <v>0.0885424</v>
      </c>
      <c r="O1390" s="46" t="n">
        <v>0.1685635</v>
      </c>
      <c r="P1390" s="46" t="n">
        <v>0.4142126</v>
      </c>
      <c r="Q1390" s="46" t="n">
        <v>1.3542426</v>
      </c>
      <c r="R1390" s="46" t="n">
        <v>1.8538775</v>
      </c>
      <c r="S1390" s="47" t="n">
        <f aca="false">M1390+N1390+O1390</f>
        <v>0.4068185</v>
      </c>
      <c r="T1390" s="47" t="n">
        <f aca="false">M1390+P1390</f>
        <v>0.5639252</v>
      </c>
    </row>
    <row r="1391" customFormat="false" ht="15" hidden="false" customHeight="false" outlineLevel="0" collapsed="false">
      <c r="A1391" s="42" t="s">
        <v>45</v>
      </c>
      <c r="B1391" s="42" t="n">
        <v>-8</v>
      </c>
      <c r="C1391" s="42" t="n">
        <v>90</v>
      </c>
      <c r="D1391" s="42" t="n">
        <v>74291005</v>
      </c>
      <c r="E1391" s="43" t="n">
        <v>0.730024212148509</v>
      </c>
      <c r="F1391" s="43" t="n">
        <v>0.788203971000139</v>
      </c>
      <c r="G1391" s="43" t="n">
        <v>0.793144532836314</v>
      </c>
      <c r="H1391" s="43" t="n">
        <v>0.806596260817975</v>
      </c>
      <c r="I1391" s="42" t="n">
        <v>1</v>
      </c>
      <c r="J1391" s="42" t="n">
        <v>1</v>
      </c>
      <c r="K1391" s="44" t="str">
        <f aca="false">IF(AND(I1391=1,J1391=1),"两者都跟住",IF(AND(I1391=0,J1391=1),"仅 PC-TBD 跟住",IF(AND(I1391=1,J1391=0),"仅 VIT-LPS 跟住","都没跟住")))</f>
        <v>两者都跟住</v>
      </c>
      <c r="L1391" s="45" t="n">
        <f aca="false">F1391-G1391</f>
        <v>-0.00494056183617508</v>
      </c>
      <c r="M1391" s="46" t="n">
        <v>0.1326799</v>
      </c>
      <c r="N1391" s="46" t="n">
        <v>0.084043</v>
      </c>
      <c r="O1391" s="46" t="n">
        <v>0.145796</v>
      </c>
      <c r="P1391" s="46" t="n">
        <v>0.4632473</v>
      </c>
      <c r="Q1391" s="46" t="n">
        <v>1.7146734</v>
      </c>
      <c r="R1391" s="46" t="n">
        <v>2.4527868</v>
      </c>
      <c r="S1391" s="47" t="n">
        <f aca="false">M1391+N1391+O1391</f>
        <v>0.3625189</v>
      </c>
      <c r="T1391" s="47" t="n">
        <f aca="false">M1391+P1391</f>
        <v>0.5959272</v>
      </c>
    </row>
    <row r="1392" customFormat="false" ht="15" hidden="false" customHeight="false" outlineLevel="0" collapsed="false">
      <c r="A1392" s="42" t="s">
        <v>45</v>
      </c>
      <c r="B1392" s="42" t="n">
        <v>-8</v>
      </c>
      <c r="C1392" s="42" t="n">
        <v>91</v>
      </c>
      <c r="D1392" s="42" t="n">
        <v>74291006</v>
      </c>
      <c r="E1392" s="43" t="n">
        <v>0.797989269001415</v>
      </c>
      <c r="F1392" s="43" t="n">
        <v>0.825092561306376</v>
      </c>
      <c r="G1392" s="43" t="n">
        <v>0.830551365148204</v>
      </c>
      <c r="H1392" s="43" t="n">
        <v>0.838422176327947</v>
      </c>
      <c r="I1392" s="42" t="n">
        <v>1</v>
      </c>
      <c r="J1392" s="42" t="n">
        <v>1</v>
      </c>
      <c r="K1392" s="44" t="str">
        <f aca="false">IF(AND(I1392=1,J1392=1),"两者都跟住",IF(AND(I1392=0,J1392=1),"仅 PC-TBD 跟住",IF(AND(I1392=1,J1392=0),"仅 VIT-LPS 跟住","都没跟住")))</f>
        <v>两者都跟住</v>
      </c>
      <c r="L1392" s="45" t="n">
        <f aca="false">F1392-G1392</f>
        <v>-0.00545880384182806</v>
      </c>
      <c r="M1392" s="46" t="n">
        <v>0.2805449</v>
      </c>
      <c r="N1392" s="46" t="n">
        <v>0.1303569</v>
      </c>
      <c r="O1392" s="46" t="n">
        <v>0.1879091</v>
      </c>
      <c r="P1392" s="46" t="n">
        <v>0.6271329</v>
      </c>
      <c r="Q1392" s="46" t="n">
        <v>1.8443513</v>
      </c>
      <c r="R1392" s="46" t="n">
        <v>1.8797679</v>
      </c>
      <c r="S1392" s="47" t="n">
        <f aca="false">M1392+N1392+O1392</f>
        <v>0.5988109</v>
      </c>
      <c r="T1392" s="47" t="n">
        <f aca="false">M1392+P1392</f>
        <v>0.9076778</v>
      </c>
    </row>
    <row r="1393" customFormat="false" ht="15" hidden="false" customHeight="false" outlineLevel="0" collapsed="false">
      <c r="A1393" s="42" t="s">
        <v>45</v>
      </c>
      <c r="B1393" s="42" t="n">
        <v>-8</v>
      </c>
      <c r="C1393" s="42" t="n">
        <v>92</v>
      </c>
      <c r="D1393" s="42" t="n">
        <v>74291007</v>
      </c>
      <c r="E1393" s="43" t="n">
        <v>0.770606010194092</v>
      </c>
      <c r="F1393" s="43" t="n">
        <v>0.81792689821257</v>
      </c>
      <c r="G1393" s="43" t="n">
        <v>0.798871679530194</v>
      </c>
      <c r="H1393" s="43" t="n">
        <v>0.822531913003161</v>
      </c>
      <c r="I1393" s="42" t="n">
        <v>1</v>
      </c>
      <c r="J1393" s="42" t="n">
        <v>1</v>
      </c>
      <c r="K1393" s="44" t="str">
        <f aca="false">IF(AND(I1393=1,J1393=1),"两者都跟住",IF(AND(I1393=0,J1393=1),"仅 PC-TBD 跟住",IF(AND(I1393=1,J1393=0),"仅 VIT-LPS 跟住","都没跟住")))</f>
        <v>两者都跟住</v>
      </c>
      <c r="L1393" s="45" t="n">
        <f aca="false">F1393-G1393</f>
        <v>0.019055218682376</v>
      </c>
      <c r="M1393" s="46" t="n">
        <v>0.2500513</v>
      </c>
      <c r="N1393" s="46" t="n">
        <v>0.1303451</v>
      </c>
      <c r="O1393" s="46" t="n">
        <v>0.196276</v>
      </c>
      <c r="P1393" s="46" t="n">
        <v>0.5157928</v>
      </c>
      <c r="Q1393" s="46" t="n">
        <v>2.1570976</v>
      </c>
      <c r="R1393" s="46" t="n">
        <v>2.1436846</v>
      </c>
      <c r="S1393" s="47" t="n">
        <f aca="false">M1393+N1393+O1393</f>
        <v>0.5766724</v>
      </c>
      <c r="T1393" s="47" t="n">
        <f aca="false">M1393+P1393</f>
        <v>0.7658441</v>
      </c>
    </row>
    <row r="1394" customFormat="false" ht="15" hidden="false" customHeight="false" outlineLevel="0" collapsed="false">
      <c r="A1394" s="42" t="s">
        <v>45</v>
      </c>
      <c r="B1394" s="42" t="n">
        <v>-8</v>
      </c>
      <c r="C1394" s="42" t="n">
        <v>93</v>
      </c>
      <c r="D1394" s="42" t="n">
        <v>74291008</v>
      </c>
      <c r="E1394" s="43" t="n">
        <v>0.741972416500488</v>
      </c>
      <c r="F1394" s="43" t="n">
        <v>0.810476051471009</v>
      </c>
      <c r="G1394" s="43" t="n">
        <v>0.810190065077715</v>
      </c>
      <c r="H1394" s="43" t="n">
        <v>0.832122046032916</v>
      </c>
      <c r="I1394" s="42" t="n">
        <v>1</v>
      </c>
      <c r="J1394" s="42" t="n">
        <v>1</v>
      </c>
      <c r="K1394" s="44" t="str">
        <f aca="false">IF(AND(I1394=1,J1394=1),"两者都跟住",IF(AND(I1394=0,J1394=1),"仅 PC-TBD 跟住",IF(AND(I1394=1,J1394=0),"仅 VIT-LPS 跟住","都没跟住")))</f>
        <v>两者都跟住</v>
      </c>
      <c r="L1394" s="45" t="n">
        <f aca="false">F1394-G1394</f>
        <v>0.000285986393294024</v>
      </c>
      <c r="M1394" s="46" t="n">
        <v>0.2929215</v>
      </c>
      <c r="N1394" s="46" t="n">
        <v>0.1397673</v>
      </c>
      <c r="O1394" s="46" t="n">
        <v>0.1081443</v>
      </c>
      <c r="P1394" s="46" t="n">
        <v>0.5850533</v>
      </c>
      <c r="Q1394" s="46" t="n">
        <v>2.1665053</v>
      </c>
      <c r="R1394" s="46" t="n">
        <v>2.0380797</v>
      </c>
      <c r="S1394" s="47" t="n">
        <f aca="false">M1394+N1394+O1394</f>
        <v>0.5408331</v>
      </c>
      <c r="T1394" s="47" t="n">
        <f aca="false">M1394+P1394</f>
        <v>0.8779748</v>
      </c>
    </row>
    <row r="1395" customFormat="false" ht="15" hidden="false" customHeight="false" outlineLevel="0" collapsed="false">
      <c r="A1395" s="42" t="s">
        <v>45</v>
      </c>
      <c r="B1395" s="42" t="n">
        <v>-8</v>
      </c>
      <c r="C1395" s="42" t="n">
        <v>94</v>
      </c>
      <c r="D1395" s="42" t="n">
        <v>74291009</v>
      </c>
      <c r="E1395" s="43" t="n">
        <v>0.788474164187282</v>
      </c>
      <c r="F1395" s="43" t="n">
        <v>0.815601978266832</v>
      </c>
      <c r="G1395" s="43" t="n">
        <v>0.827019104276542</v>
      </c>
      <c r="H1395" s="43" t="n">
        <v>0.842525596636775</v>
      </c>
      <c r="I1395" s="42" t="n">
        <v>1</v>
      </c>
      <c r="J1395" s="42" t="n">
        <v>1</v>
      </c>
      <c r="K1395" s="44" t="str">
        <f aca="false">IF(AND(I1395=1,J1395=1),"两者都跟住",IF(AND(I1395=0,J1395=1),"仅 PC-TBD 跟住",IF(AND(I1395=1,J1395=0),"仅 VIT-LPS 跟住","都没跟住")))</f>
        <v>两者都跟住</v>
      </c>
      <c r="L1395" s="45" t="n">
        <f aca="false">F1395-G1395</f>
        <v>-0.01141712600971</v>
      </c>
      <c r="M1395" s="46" t="n">
        <v>0.2853264</v>
      </c>
      <c r="N1395" s="46" t="n">
        <v>0.1425375</v>
      </c>
      <c r="O1395" s="46" t="n">
        <v>0.156019</v>
      </c>
      <c r="P1395" s="46" t="n">
        <v>0.5309056</v>
      </c>
      <c r="Q1395" s="46" t="n">
        <v>2.0946755</v>
      </c>
      <c r="R1395" s="46" t="n">
        <v>1.9710061</v>
      </c>
      <c r="S1395" s="47" t="n">
        <f aca="false">M1395+N1395+O1395</f>
        <v>0.5838829</v>
      </c>
      <c r="T1395" s="47" t="n">
        <f aca="false">M1395+P1395</f>
        <v>0.816232</v>
      </c>
    </row>
    <row r="1396" customFormat="false" ht="15" hidden="false" customHeight="false" outlineLevel="0" collapsed="false">
      <c r="A1396" s="42" t="s">
        <v>45</v>
      </c>
      <c r="B1396" s="42" t="n">
        <v>-8</v>
      </c>
      <c r="C1396" s="42" t="n">
        <v>95</v>
      </c>
      <c r="D1396" s="42" t="n">
        <v>74291010</v>
      </c>
      <c r="E1396" s="43" t="n">
        <v>0.770604507068676</v>
      </c>
      <c r="F1396" s="43" t="n">
        <v>0.818777974169031</v>
      </c>
      <c r="G1396" s="43" t="n">
        <v>0.826122388416993</v>
      </c>
      <c r="H1396" s="43" t="n">
        <v>0.835187487258593</v>
      </c>
      <c r="I1396" s="42" t="n">
        <v>1</v>
      </c>
      <c r="J1396" s="42" t="n">
        <v>1</v>
      </c>
      <c r="K1396" s="44" t="str">
        <f aca="false">IF(AND(I1396=1,J1396=1),"两者都跟住",IF(AND(I1396=0,J1396=1),"仅 PC-TBD 跟住",IF(AND(I1396=1,J1396=0),"仅 VIT-LPS 跟住","都没跟住")))</f>
        <v>两者都跟住</v>
      </c>
      <c r="L1396" s="45" t="n">
        <f aca="false">F1396-G1396</f>
        <v>-0.00734441424796206</v>
      </c>
      <c r="M1396" s="46" t="n">
        <v>0.25366</v>
      </c>
      <c r="N1396" s="46" t="n">
        <v>0.1346081</v>
      </c>
      <c r="O1396" s="46" t="n">
        <v>0.1698376</v>
      </c>
      <c r="P1396" s="46" t="n">
        <v>0.4713886</v>
      </c>
      <c r="Q1396" s="46" t="n">
        <v>2.0435933</v>
      </c>
      <c r="R1396" s="46" t="n">
        <v>1.8484141</v>
      </c>
      <c r="S1396" s="47" t="n">
        <f aca="false">M1396+N1396+O1396</f>
        <v>0.5581057</v>
      </c>
      <c r="T1396" s="47" t="n">
        <f aca="false">M1396+P1396</f>
        <v>0.7250486</v>
      </c>
    </row>
    <row r="1397" customFormat="false" ht="15" hidden="false" customHeight="false" outlineLevel="0" collapsed="false">
      <c r="A1397" s="42" t="s">
        <v>45</v>
      </c>
      <c r="B1397" s="42" t="n">
        <v>-8</v>
      </c>
      <c r="C1397" s="42" t="n">
        <v>96</v>
      </c>
      <c r="D1397" s="42" t="n">
        <v>74291011</v>
      </c>
      <c r="E1397" s="43" t="n">
        <v>0.784851454482062</v>
      </c>
      <c r="F1397" s="43" t="n">
        <v>0.815146108155092</v>
      </c>
      <c r="G1397" s="43" t="n">
        <v>0.788533285180509</v>
      </c>
      <c r="H1397" s="43" t="n">
        <v>0.802904147389526</v>
      </c>
      <c r="I1397" s="42" t="n">
        <v>1</v>
      </c>
      <c r="J1397" s="42" t="n">
        <v>1</v>
      </c>
      <c r="K1397" s="44" t="str">
        <f aca="false">IF(AND(I1397=1,J1397=1),"两者都跟住",IF(AND(I1397=0,J1397=1),"仅 PC-TBD 跟住",IF(AND(I1397=1,J1397=0),"仅 VIT-LPS 跟住","都没跟住")))</f>
        <v>两者都跟住</v>
      </c>
      <c r="L1397" s="45" t="n">
        <f aca="false">F1397-G1397</f>
        <v>0.026612822974583</v>
      </c>
      <c r="M1397" s="46" t="n">
        <v>0.2562102</v>
      </c>
      <c r="N1397" s="46" t="n">
        <v>0.1308184</v>
      </c>
      <c r="O1397" s="46" t="n">
        <v>0.1249482</v>
      </c>
      <c r="P1397" s="46" t="n">
        <v>0.5220451</v>
      </c>
      <c r="Q1397" s="46" t="n">
        <v>1.6890582</v>
      </c>
      <c r="R1397" s="46" t="n">
        <v>2.3868914</v>
      </c>
      <c r="S1397" s="47" t="n">
        <f aca="false">M1397+N1397+O1397</f>
        <v>0.5119768</v>
      </c>
      <c r="T1397" s="47" t="n">
        <f aca="false">M1397+P1397</f>
        <v>0.7782553</v>
      </c>
    </row>
    <row r="1398" customFormat="false" ht="15" hidden="false" customHeight="false" outlineLevel="0" collapsed="false">
      <c r="A1398" s="42" t="s">
        <v>45</v>
      </c>
      <c r="B1398" s="42" t="n">
        <v>-8</v>
      </c>
      <c r="C1398" s="42" t="n">
        <v>97</v>
      </c>
      <c r="D1398" s="42" t="n">
        <v>74291012</v>
      </c>
      <c r="E1398" s="43" t="n">
        <v>0.683326969273729</v>
      </c>
      <c r="F1398" s="43" t="n">
        <v>0.807723228941781</v>
      </c>
      <c r="G1398" s="43" t="n">
        <v>0.824953570516046</v>
      </c>
      <c r="H1398" s="43" t="n">
        <v>0.824328682073238</v>
      </c>
      <c r="I1398" s="42" t="n">
        <v>1</v>
      </c>
      <c r="J1398" s="42" t="n">
        <v>1</v>
      </c>
      <c r="K1398" s="44" t="str">
        <f aca="false">IF(AND(I1398=1,J1398=1),"两者都跟住",IF(AND(I1398=0,J1398=1),"仅 PC-TBD 跟住",IF(AND(I1398=1,J1398=0),"仅 VIT-LPS 跟住","都没跟住")))</f>
        <v>两者都跟住</v>
      </c>
      <c r="L1398" s="45" t="n">
        <f aca="false">F1398-G1398</f>
        <v>-0.0172303415742651</v>
      </c>
      <c r="M1398" s="46" t="n">
        <v>0.15175</v>
      </c>
      <c r="N1398" s="46" t="n">
        <v>0.0574425</v>
      </c>
      <c r="O1398" s="46" t="n">
        <v>0.1062351</v>
      </c>
      <c r="P1398" s="46" t="n">
        <v>0.4260756</v>
      </c>
      <c r="Q1398" s="46" t="n">
        <v>1.4247935</v>
      </c>
      <c r="R1398" s="46" t="n">
        <v>1.3163636</v>
      </c>
      <c r="S1398" s="47" t="n">
        <f aca="false">M1398+N1398+O1398</f>
        <v>0.3154276</v>
      </c>
      <c r="T1398" s="47" t="n">
        <f aca="false">M1398+P1398</f>
        <v>0.5778256</v>
      </c>
    </row>
    <row r="1399" customFormat="false" ht="15" hidden="false" customHeight="false" outlineLevel="0" collapsed="false">
      <c r="A1399" s="42" t="s">
        <v>45</v>
      </c>
      <c r="B1399" s="42" t="n">
        <v>-8</v>
      </c>
      <c r="C1399" s="42" t="n">
        <v>98</v>
      </c>
      <c r="D1399" s="42" t="n">
        <v>74291013</v>
      </c>
      <c r="E1399" s="43" t="n">
        <v>0.758381201491784</v>
      </c>
      <c r="F1399" s="43" t="n">
        <v>0.81240853336077</v>
      </c>
      <c r="G1399" s="43" t="n">
        <v>0.821769458239536</v>
      </c>
      <c r="H1399" s="43" t="n">
        <v>0.831852567640005</v>
      </c>
      <c r="I1399" s="42" t="n">
        <v>1</v>
      </c>
      <c r="J1399" s="42" t="n">
        <v>1</v>
      </c>
      <c r="K1399" s="44" t="str">
        <f aca="false">IF(AND(I1399=1,J1399=1),"两者都跟住",IF(AND(I1399=0,J1399=1),"仅 PC-TBD 跟住",IF(AND(I1399=1,J1399=0),"仅 VIT-LPS 跟住","都没跟住")))</f>
        <v>两者都跟住</v>
      </c>
      <c r="L1399" s="45" t="n">
        <f aca="false">F1399-G1399</f>
        <v>-0.00936092487876594</v>
      </c>
      <c r="M1399" s="46" t="n">
        <v>0.1509486</v>
      </c>
      <c r="N1399" s="46" t="n">
        <v>0.0967862</v>
      </c>
      <c r="O1399" s="46" t="n">
        <v>0.1289571</v>
      </c>
      <c r="P1399" s="46" t="n">
        <v>0.4555763</v>
      </c>
      <c r="Q1399" s="46" t="n">
        <v>1.2046032</v>
      </c>
      <c r="R1399" s="46" t="n">
        <v>1.4229748</v>
      </c>
      <c r="S1399" s="47" t="n">
        <f aca="false">M1399+N1399+O1399</f>
        <v>0.3766919</v>
      </c>
      <c r="T1399" s="47" t="n">
        <f aca="false">M1399+P1399</f>
        <v>0.6065249</v>
      </c>
    </row>
    <row r="1400" customFormat="false" ht="15" hidden="false" customHeight="false" outlineLevel="0" collapsed="false">
      <c r="A1400" s="42" t="s">
        <v>45</v>
      </c>
      <c r="B1400" s="42" t="n">
        <v>-8</v>
      </c>
      <c r="C1400" s="42" t="n">
        <v>99</v>
      </c>
      <c r="D1400" s="42" t="n">
        <v>74291014</v>
      </c>
      <c r="E1400" s="43" t="n">
        <v>0.77369507536686</v>
      </c>
      <c r="F1400" s="43" t="n">
        <v>0.808275964333697</v>
      </c>
      <c r="G1400" s="43" t="n">
        <v>0.829630150931282</v>
      </c>
      <c r="H1400" s="43" t="n">
        <v>0.83558680318104</v>
      </c>
      <c r="I1400" s="42" t="n">
        <v>1</v>
      </c>
      <c r="J1400" s="42" t="n">
        <v>1</v>
      </c>
      <c r="K1400" s="44" t="str">
        <f aca="false">IF(AND(I1400=1,J1400=1),"两者都跟住",IF(AND(I1400=0,J1400=1),"仅 PC-TBD 跟住",IF(AND(I1400=1,J1400=0),"仅 VIT-LPS 跟住","都没跟住")))</f>
        <v>两者都跟住</v>
      </c>
      <c r="L1400" s="45" t="n">
        <f aca="false">F1400-G1400</f>
        <v>-0.021354186597585</v>
      </c>
      <c r="M1400" s="46" t="n">
        <v>0.127107</v>
      </c>
      <c r="N1400" s="46" t="n">
        <v>0.0606953</v>
      </c>
      <c r="O1400" s="46" t="n">
        <v>0.1118631</v>
      </c>
      <c r="P1400" s="46" t="n">
        <v>0.4007532</v>
      </c>
      <c r="Q1400" s="46" t="n">
        <v>1.3327264</v>
      </c>
      <c r="R1400" s="46" t="n">
        <v>1.1967466</v>
      </c>
      <c r="S1400" s="47" t="n">
        <f aca="false">M1400+N1400+O1400</f>
        <v>0.2996654</v>
      </c>
      <c r="T1400" s="47" t="n">
        <f aca="false">M1400+P1400</f>
        <v>0.5278602</v>
      </c>
    </row>
    <row r="1401" customFormat="false" ht="15" hidden="false" customHeight="false" outlineLevel="0" collapsed="false">
      <c r="A1401" s="42" t="s">
        <v>45</v>
      </c>
      <c r="B1401" s="42" t="n">
        <v>-8</v>
      </c>
      <c r="C1401" s="42" t="n">
        <v>100</v>
      </c>
      <c r="D1401" s="42" t="n">
        <v>74291015</v>
      </c>
      <c r="E1401" s="43" t="n">
        <v>0.771888743572808</v>
      </c>
      <c r="F1401" s="43" t="n">
        <v>0.800875443999911</v>
      </c>
      <c r="G1401" s="43" t="n">
        <v>0.805469325449825</v>
      </c>
      <c r="H1401" s="43" t="n">
        <v>0.825607862410406</v>
      </c>
      <c r="I1401" s="42" t="n">
        <v>1</v>
      </c>
      <c r="J1401" s="42" t="n">
        <v>1</v>
      </c>
      <c r="K1401" s="44" t="str">
        <f aca="false">IF(AND(I1401=1,J1401=1),"两者都跟住",IF(AND(I1401=0,J1401=1),"仅 PC-TBD 跟住",IF(AND(I1401=1,J1401=0),"仅 VIT-LPS 跟住","都没跟住")))</f>
        <v>两者都跟住</v>
      </c>
      <c r="L1401" s="45" t="n">
        <f aca="false">F1401-G1401</f>
        <v>-0.00459388144991402</v>
      </c>
      <c r="M1401" s="46" t="n">
        <v>0.1350805</v>
      </c>
      <c r="N1401" s="46" t="n">
        <v>0.1017789</v>
      </c>
      <c r="O1401" s="46" t="n">
        <v>0.1540446</v>
      </c>
      <c r="P1401" s="46" t="n">
        <v>0.4056012</v>
      </c>
      <c r="Q1401" s="46" t="n">
        <v>1.5214711</v>
      </c>
      <c r="R1401" s="46" t="n">
        <v>1.5074285</v>
      </c>
      <c r="S1401" s="47" t="n">
        <f aca="false">M1401+N1401+O1401</f>
        <v>0.390904</v>
      </c>
      <c r="T1401" s="47" t="n">
        <f aca="false">M1401+P1401</f>
        <v>0.5406817</v>
      </c>
    </row>
  </sheetData>
  <autoFilter ref="A1:T1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10" t="s">
        <v>98</v>
      </c>
    </row>
    <row r="3" customFormat="false" ht="15" hidden="false" customHeight="false" outlineLevel="0" collapsed="false">
      <c r="A3" s="4" t="s">
        <v>99</v>
      </c>
      <c r="B3" s="4" t="s">
        <v>100</v>
      </c>
    </row>
    <row r="4" customFormat="false" ht="36" hidden="false" customHeight="true" outlineLevel="0" collapsed="false">
      <c r="A4" s="48" t="s">
        <v>101</v>
      </c>
      <c r="B4" s="8" t="s">
        <v>102</v>
      </c>
    </row>
    <row r="5" customFormat="false" ht="36" hidden="false" customHeight="true" outlineLevel="0" collapsed="false">
      <c r="A5" s="48" t="s">
        <v>103</v>
      </c>
      <c r="B5" s="8" t="s">
        <v>104</v>
      </c>
    </row>
    <row r="6" customFormat="false" ht="36" hidden="false" customHeight="true" outlineLevel="0" collapsed="false">
      <c r="A6" s="49" t="s">
        <v>105</v>
      </c>
      <c r="B6" s="6" t="s">
        <v>106</v>
      </c>
    </row>
    <row r="7" customFormat="false" ht="36" hidden="false" customHeight="true" outlineLevel="0" collapsed="false">
      <c r="A7" s="48" t="s">
        <v>107</v>
      </c>
      <c r="B7" s="8" t="s">
        <v>108</v>
      </c>
    </row>
    <row r="8" customFormat="false" ht="36" hidden="false" customHeight="true" outlineLevel="0" collapsed="false">
      <c r="A8" s="48" t="s">
        <v>109</v>
      </c>
      <c r="B8" s="8" t="s">
        <v>110</v>
      </c>
    </row>
    <row r="9" customFormat="false" ht="36" hidden="false" customHeight="true" outlineLevel="0" collapsed="false">
      <c r="A9" s="48" t="s">
        <v>111</v>
      </c>
      <c r="B9" s="6" t="s">
        <v>112</v>
      </c>
    </row>
    <row r="10" customFormat="false" ht="36" hidden="false" customHeight="true" outlineLevel="0" collapsed="false">
      <c r="A10" s="48" t="s">
        <v>113</v>
      </c>
      <c r="B10" s="6" t="s">
        <v>114</v>
      </c>
    </row>
    <row r="11" customFormat="false" ht="36" hidden="false" customHeight="true" outlineLevel="0" collapsed="false">
      <c r="A11" s="48" t="s">
        <v>115</v>
      </c>
      <c r="B11" s="6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2026-10-07T04:00:47Z</dcterms:created>
  <dc:creator>openpyxl</dc:creator>
  <dc:description/>
  <dc:language>en-US</dc:language>
  <cp:lastModifiedBy/>
  <dcterms:modified xsi:type="dcterms:W3CDTF">2026-10-07T04:00:48Z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